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se\Downloads\"/>
    </mc:Choice>
  </mc:AlternateContent>
  <xr:revisionPtr revIDLastSave="0" documentId="8_{5BF8AAD5-2A07-46F0-B566-18BF23D18F7E}" xr6:coauthVersionLast="47" xr6:coauthVersionMax="47" xr10:uidLastSave="{00000000-0000-0000-0000-000000000000}"/>
  <bookViews>
    <workbookView xWindow="-108" yWindow="-108" windowWidth="23256" windowHeight="12456" tabRatio="923" firstSheet="3" activeTab="7" xr2:uid="{F4511513-6F27-4BCD-ABF0-AB6EC0469E98}"/>
  </bookViews>
  <sheets>
    <sheet name="Planilha1" sheetId="1" state="hidden" r:id="rId1"/>
    <sheet name="Planilha2" sheetId="2" state="hidden" r:id="rId2"/>
    <sheet name="TOTAIS (PLANILHA INATIVA)" sheetId="7" r:id="rId3"/>
    <sheet name="VENDAS (PLANILHA INATIVA)" sheetId="8" r:id="rId4"/>
    <sheet name="RELATÓRIO HAVANNA" sheetId="60" r:id="rId5"/>
    <sheet name="VENDAS HAVANNA 2026" sheetId="10" r:id="rId6"/>
    <sheet name="PEDIDOS DO MÊS" sheetId="67" r:id="rId7"/>
    <sheet name="PCP + MO " sheetId="4" r:id="rId8"/>
    <sheet name="VENDAS 2026" sheetId="34" r:id="rId9"/>
    <sheet name="PEDIDOS EM ABERTO HAVANNA" sheetId="68" r:id="rId10"/>
  </sheets>
  <definedNames>
    <definedName name="_xlnm._FilterDatabase" localSheetId="7" hidden="1">'PCP + MO '!$A$1:$V$1622</definedName>
    <definedName name="_xlnm._FilterDatabase" localSheetId="0" hidden="1">Planilha1!$A$1:$U$181</definedName>
    <definedName name="_xlnm._FilterDatabase" localSheetId="1" hidden="1">Planilha2!$A$1:$Q$52</definedName>
    <definedName name="_xlnm._FilterDatabase" localSheetId="4" hidden="1">'RELATÓRIO HAVANNA'!$A$3:$H$570</definedName>
    <definedName name="_xlnm._FilterDatabase" localSheetId="2" hidden="1">'TOTAIS (PLANILHA INATIVA)'!$F$3:$I$18</definedName>
    <definedName name="_xlnm.Print_Area" localSheetId="7">'PCP + MO '!$B$1:$J$762</definedName>
  </definedNames>
  <calcPr calcId="191028"/>
  <pivotCaches>
    <pivotCache cacheId="16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22" i="4" l="1"/>
  <c r="L1622" i="4"/>
  <c r="O1621" i="4"/>
  <c r="L1621" i="4"/>
  <c r="O1620" i="4"/>
  <c r="O1619" i="4"/>
  <c r="L1620" i="4"/>
  <c r="M1620" i="4"/>
  <c r="L1619" i="4"/>
  <c r="M1619" i="4"/>
  <c r="O1512" i="4"/>
  <c r="L1512" i="4"/>
  <c r="M1512" i="4" s="1"/>
  <c r="D1512" i="4"/>
  <c r="O1618" i="4"/>
  <c r="L1618" i="4"/>
  <c r="M1618" i="4" s="1"/>
  <c r="O1617" i="4"/>
  <c r="O1616" i="4"/>
  <c r="L1617" i="4"/>
  <c r="M1617" i="4" s="1"/>
  <c r="L1616" i="4"/>
  <c r="M1616" i="4" s="1"/>
  <c r="O1615" i="4"/>
  <c r="O1614" i="4"/>
  <c r="L1615" i="4"/>
  <c r="M1615" i="4" s="1"/>
  <c r="L1614" i="4"/>
  <c r="M1614" i="4" s="1"/>
  <c r="O1613" i="4"/>
  <c r="L1613" i="4"/>
  <c r="O1612" i="4"/>
  <c r="L1612" i="4"/>
  <c r="M1612" i="4" s="1"/>
  <c r="O1611" i="4"/>
  <c r="O1610" i="4"/>
  <c r="L1611" i="4"/>
  <c r="L1610" i="4"/>
  <c r="O1609" i="4"/>
  <c r="O1608" i="4"/>
  <c r="O1607" i="4"/>
  <c r="L1609" i="4"/>
  <c r="M1609" i="4" s="1"/>
  <c r="L1608" i="4"/>
  <c r="M1608" i="4" s="1"/>
  <c r="L1607" i="4"/>
  <c r="M1607" i="4" s="1"/>
  <c r="O1606" i="4"/>
  <c r="L1606" i="4"/>
  <c r="O1605" i="4"/>
  <c r="L1605" i="4"/>
  <c r="O1604" i="4"/>
  <c r="L1604" i="4"/>
  <c r="M1604" i="4"/>
  <c r="O1603" i="4"/>
  <c r="L1603" i="4"/>
  <c r="M1603" i="4" s="1"/>
  <c r="O1602" i="4"/>
  <c r="L1602" i="4"/>
  <c r="M1602" i="4" s="1"/>
  <c r="O1601" i="4"/>
  <c r="L1601" i="4"/>
  <c r="M1601" i="4" s="1"/>
  <c r="O1371" i="4"/>
  <c r="O1370" i="4"/>
  <c r="O1369" i="4"/>
  <c r="O1368" i="4"/>
  <c r="L1369" i="4"/>
  <c r="L1370" i="4"/>
  <c r="L1371" i="4"/>
  <c r="L1368" i="4"/>
  <c r="O1600" i="4"/>
  <c r="O1599" i="4"/>
  <c r="O1598" i="4"/>
  <c r="M1598" i="4"/>
  <c r="O1562" i="4"/>
  <c r="L1562" i="4"/>
  <c r="O1561" i="4"/>
  <c r="L1561" i="4"/>
  <c r="M1561" i="4" s="1"/>
  <c r="O1597" i="4"/>
  <c r="L1597" i="4"/>
  <c r="O1596" i="4"/>
  <c r="L1596" i="4"/>
  <c r="M1596" i="4"/>
  <c r="O1595" i="4"/>
  <c r="O1594" i="4"/>
  <c r="O1593" i="4"/>
  <c r="L1595" i="4"/>
  <c r="M1595" i="4"/>
  <c r="O1592" i="4"/>
  <c r="L1594" i="4"/>
  <c r="M1594" i="4" s="1"/>
  <c r="L1593" i="4"/>
  <c r="M1593" i="4" s="1"/>
  <c r="L1592" i="4"/>
  <c r="M1592" i="4" s="1"/>
  <c r="O1591" i="4"/>
  <c r="L1591" i="4"/>
  <c r="M1591" i="4" s="1"/>
  <c r="O1590" i="4"/>
  <c r="L1590" i="4"/>
  <c r="M1590" i="4" s="1"/>
  <c r="O1585" i="4"/>
  <c r="O1586" i="4"/>
  <c r="O1587" i="4"/>
  <c r="O1588" i="4"/>
  <c r="O1589" i="4"/>
  <c r="L1586" i="4"/>
  <c r="M1586" i="4" s="1"/>
  <c r="L1587" i="4"/>
  <c r="M1587" i="4"/>
  <c r="L1588" i="4"/>
  <c r="M1588" i="4"/>
  <c r="L1589" i="4"/>
  <c r="M1589" i="4" s="1"/>
  <c r="D1585" i="4"/>
  <c r="D1560" i="4"/>
  <c r="L1585" i="4"/>
  <c r="M1585" i="4" s="1"/>
  <c r="O1560" i="4"/>
  <c r="L1560" i="4"/>
  <c r="M1560" i="4" s="1"/>
  <c r="O1559" i="4"/>
  <c r="L1559" i="4"/>
  <c r="M1559" i="4" s="1"/>
  <c r="D1559" i="4"/>
  <c r="O1584" i="4"/>
  <c r="L1584" i="4"/>
  <c r="M1584" i="4" s="1"/>
  <c r="D1584" i="4"/>
  <c r="O1581" i="4"/>
  <c r="O1582" i="4"/>
  <c r="O1583" i="4"/>
  <c r="L1583" i="4"/>
  <c r="M1583" i="4" s="1"/>
  <c r="D1583" i="4"/>
  <c r="L1582" i="4"/>
  <c r="M1582" i="4" s="1"/>
  <c r="D1582" i="4"/>
  <c r="L1581" i="4"/>
  <c r="M1581" i="4" s="1"/>
  <c r="D1581" i="4"/>
  <c r="O1580" i="4"/>
  <c r="L1580" i="4"/>
  <c r="M1580" i="4" s="1"/>
  <c r="D1580" i="4"/>
  <c r="O1579" i="4"/>
  <c r="L1579" i="4"/>
  <c r="M1579" i="4" s="1"/>
  <c r="D1579" i="4"/>
  <c r="D1578" i="4"/>
  <c r="D1577" i="4"/>
  <c r="D1576" i="4"/>
  <c r="O1578" i="4"/>
  <c r="O1577" i="4"/>
  <c r="O1576" i="4"/>
  <c r="O1575" i="4"/>
  <c r="L1578" i="4"/>
  <c r="M1578" i="4" s="1"/>
  <c r="L1577" i="4"/>
  <c r="M1577" i="4" s="1"/>
  <c r="L1576" i="4"/>
  <c r="M1576" i="4" s="1"/>
  <c r="L1575" i="4"/>
  <c r="M1575" i="4" s="1"/>
  <c r="D1575" i="4"/>
  <c r="O1517" i="4"/>
  <c r="O1518" i="4"/>
  <c r="O1564" i="4"/>
  <c r="O1519" i="4"/>
  <c r="O1520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65" i="4"/>
  <c r="O1542" i="4"/>
  <c r="O1543" i="4"/>
  <c r="O1544" i="4"/>
  <c r="O1545" i="4"/>
  <c r="O1546" i="4"/>
  <c r="O1547" i="4"/>
  <c r="O1548" i="4"/>
  <c r="O1521" i="4"/>
  <c r="O1522" i="4"/>
  <c r="O1523" i="4"/>
  <c r="O1524" i="4"/>
  <c r="O1566" i="4"/>
  <c r="O1549" i="4"/>
  <c r="O1567" i="4"/>
  <c r="O1550" i="4"/>
  <c r="O1551" i="4"/>
  <c r="O1552" i="4"/>
  <c r="O1553" i="4"/>
  <c r="O1554" i="4"/>
  <c r="O1555" i="4"/>
  <c r="O1556" i="4"/>
  <c r="O1568" i="4"/>
  <c r="O1569" i="4"/>
  <c r="O1570" i="4"/>
  <c r="O1571" i="4"/>
  <c r="O1557" i="4"/>
  <c r="O1572" i="4"/>
  <c r="O1573" i="4"/>
  <c r="O1574" i="4"/>
  <c r="O1558" i="4"/>
  <c r="O1515" i="4"/>
  <c r="L1558" i="4"/>
  <c r="M1558" i="4" s="1"/>
  <c r="D1558" i="4"/>
  <c r="L1574" i="4"/>
  <c r="M1574" i="4" s="1"/>
  <c r="D1574" i="4"/>
  <c r="L1573" i="4"/>
  <c r="M1573" i="4" s="1"/>
  <c r="D1573" i="4"/>
  <c r="L1572" i="4"/>
  <c r="M1572" i="4" s="1"/>
  <c r="D1572" i="4"/>
  <c r="L1557" i="4"/>
  <c r="M1557" i="4" s="1"/>
  <c r="D1557" i="4"/>
  <c r="L1571" i="4"/>
  <c r="D1571" i="4"/>
  <c r="D1570" i="4"/>
  <c r="L1570" i="4"/>
  <c r="L1569" i="4"/>
  <c r="D1569" i="4"/>
  <c r="L1568" i="4"/>
  <c r="M1568" i="4" s="1"/>
  <c r="D1568" i="4"/>
  <c r="D1556" i="4"/>
  <c r="D1555" i="4"/>
  <c r="D1554" i="4"/>
  <c r="D1553" i="4"/>
  <c r="D1552" i="4"/>
  <c r="L1556" i="4"/>
  <c r="M1556" i="4" s="1"/>
  <c r="L1555" i="4"/>
  <c r="M1555" i="4" s="1"/>
  <c r="L1554" i="4"/>
  <c r="M1554" i="4" s="1"/>
  <c r="L1553" i="4"/>
  <c r="M1553" i="4" s="1"/>
  <c r="L1552" i="4"/>
  <c r="M1552" i="4" s="1"/>
  <c r="L1551" i="4"/>
  <c r="M1551" i="4" s="1"/>
  <c r="D1551" i="4"/>
  <c r="L1550" i="4"/>
  <c r="M1550" i="4" s="1"/>
  <c r="D1550" i="4"/>
  <c r="C20" i="34"/>
  <c r="D20" i="34"/>
  <c r="L1567" i="4"/>
  <c r="D1567" i="4"/>
  <c r="L1549" i="4"/>
  <c r="D1549" i="4"/>
  <c r="E14" i="34"/>
  <c r="L1521" i="4"/>
  <c r="L1522" i="4"/>
  <c r="L1523" i="4"/>
  <c r="L1566" i="4"/>
  <c r="L1548" i="4"/>
  <c r="D1566" i="4"/>
  <c r="D1524" i="4"/>
  <c r="D1523" i="4"/>
  <c r="D1522" i="4"/>
  <c r="D1521" i="4"/>
  <c r="D1547" i="4"/>
  <c r="D1548" i="4"/>
  <c r="D1546" i="4"/>
  <c r="D1545" i="4"/>
  <c r="D1544" i="4"/>
  <c r="D1543" i="4"/>
  <c r="L1546" i="4"/>
  <c r="M1546" i="4" s="1"/>
  <c r="L1545" i="4"/>
  <c r="M1545" i="4" s="1"/>
  <c r="L1543" i="4"/>
  <c r="M1543" i="4" s="1"/>
  <c r="L1544" i="4"/>
  <c r="M1544" i="4" s="1"/>
  <c r="L1542" i="4"/>
  <c r="M1542" i="4" s="1"/>
  <c r="L1547" i="4"/>
  <c r="D1542" i="4"/>
  <c r="L1565" i="4"/>
  <c r="D1565" i="4"/>
  <c r="D1541" i="4"/>
  <c r="D1540" i="4"/>
  <c r="D1539" i="4"/>
  <c r="L1541" i="4"/>
  <c r="L1540" i="4"/>
  <c r="L1539" i="4"/>
  <c r="L1538" i="4"/>
  <c r="D1538" i="4"/>
  <c r="D1537" i="4"/>
  <c r="D1536" i="4"/>
  <c r="L1537" i="4"/>
  <c r="L1536" i="4"/>
  <c r="L1535" i="4"/>
  <c r="D1535" i="4"/>
  <c r="L1534" i="4"/>
  <c r="M1534" i="4" s="1"/>
  <c r="D1534" i="4"/>
  <c r="D1533" i="4"/>
  <c r="L1533" i="4"/>
  <c r="M1533" i="4" s="1"/>
  <c r="L1532" i="4"/>
  <c r="M1532" i="4" s="1"/>
  <c r="D1532" i="4"/>
  <c r="D1531" i="4"/>
  <c r="L1531" i="4"/>
  <c r="M1531" i="4" s="1"/>
  <c r="L1530" i="4"/>
  <c r="M1530" i="4" s="1"/>
  <c r="D1530" i="4"/>
  <c r="D1529" i="4"/>
  <c r="L1529" i="4"/>
  <c r="M1529" i="4" s="1"/>
  <c r="L1528" i="4"/>
  <c r="M1528" i="4" s="1"/>
  <c r="D1528" i="4"/>
  <c r="L1527" i="4"/>
  <c r="M1527" i="4" s="1"/>
  <c r="D1527" i="4"/>
  <c r="D1526" i="4"/>
  <c r="L1526" i="4"/>
  <c r="M1526" i="4" s="1"/>
  <c r="L1525" i="4"/>
  <c r="M1525" i="4" s="1"/>
  <c r="D1525" i="4"/>
  <c r="D1520" i="4"/>
  <c r="L1520" i="4"/>
  <c r="M1520" i="4" s="1"/>
  <c r="L1519" i="4"/>
  <c r="M1519" i="4" s="1"/>
  <c r="D1519" i="4"/>
  <c r="L1564" i="4"/>
  <c r="D1564" i="4"/>
  <c r="O1514" i="4"/>
  <c r="D1518" i="4"/>
  <c r="L1518" i="4"/>
  <c r="L1517" i="4"/>
  <c r="D1517" i="4"/>
  <c r="D1515" i="4"/>
  <c r="L1515" i="4"/>
  <c r="M1515" i="4" s="1"/>
  <c r="L1514" i="4"/>
  <c r="M1514" i="4" s="1"/>
  <c r="D1514" i="4"/>
  <c r="O1516" i="4"/>
  <c r="L1516" i="4"/>
  <c r="M1516" i="4" s="1"/>
  <c r="D1516" i="4"/>
  <c r="O1513" i="4"/>
  <c r="L1513" i="4"/>
  <c r="M1513" i="4" s="1"/>
  <c r="D1513" i="4"/>
  <c r="O1511" i="4"/>
  <c r="O1510" i="4"/>
  <c r="D1511" i="4"/>
  <c r="D1510" i="4"/>
  <c r="D1509" i="4"/>
  <c r="D1508" i="4"/>
  <c r="L1511" i="4"/>
  <c r="M1511" i="4" s="1"/>
  <c r="L1510" i="4"/>
  <c r="M1510" i="4" s="1"/>
  <c r="L1509" i="4"/>
  <c r="M1509" i="4" s="1"/>
  <c r="L1508" i="4"/>
  <c r="M1508" i="4" s="1"/>
  <c r="L1507" i="4"/>
  <c r="M1507" i="4" s="1"/>
  <c r="O1509" i="4"/>
  <c r="O1508" i="4"/>
  <c r="O1507" i="4"/>
  <c r="D1507" i="4"/>
  <c r="O1506" i="4"/>
  <c r="L1506" i="4"/>
  <c r="M1506" i="4" s="1"/>
  <c r="D1506" i="4"/>
  <c r="O1505" i="4"/>
  <c r="L1505" i="4"/>
  <c r="M1505" i="4" s="1"/>
  <c r="D1505" i="4"/>
  <c r="O1461" i="4"/>
  <c r="D1461" i="4"/>
  <c r="L1461" i="4"/>
  <c r="F574" i="60"/>
  <c r="H558" i="60"/>
  <c r="H559" i="60"/>
  <c r="H560" i="60"/>
  <c r="H561" i="60"/>
  <c r="H562" i="60"/>
  <c r="H563" i="60"/>
  <c r="H564" i="60"/>
  <c r="H565" i="60"/>
  <c r="H566" i="60"/>
  <c r="H567" i="60"/>
  <c r="H568" i="60"/>
  <c r="H569" i="60"/>
  <c r="H570" i="60"/>
  <c r="O1500" i="4"/>
  <c r="O1501" i="4"/>
  <c r="O1502" i="4"/>
  <c r="O1503" i="4"/>
  <c r="O1504" i="4"/>
  <c r="D1504" i="4"/>
  <c r="L1504" i="4"/>
  <c r="M1504" i="4" s="1"/>
  <c r="L1503" i="4"/>
  <c r="M1503" i="4" s="1"/>
  <c r="D1503" i="4"/>
  <c r="O1499" i="4"/>
  <c r="D1502" i="4"/>
  <c r="D1501" i="4"/>
  <c r="D1500" i="4"/>
  <c r="L1501" i="4"/>
  <c r="M1501" i="4" s="1"/>
  <c r="L1502" i="4"/>
  <c r="M1502" i="4" s="1"/>
  <c r="L1500" i="4"/>
  <c r="M1500" i="4" s="1"/>
  <c r="L1499" i="4"/>
  <c r="M1499" i="4" s="1"/>
  <c r="D1499" i="4"/>
  <c r="D1498" i="4"/>
  <c r="D1497" i="4"/>
  <c r="D1496" i="4"/>
  <c r="D1495" i="4"/>
  <c r="O1498" i="4"/>
  <c r="O1497" i="4"/>
  <c r="O1496" i="4"/>
  <c r="O1495" i="4"/>
  <c r="O1494" i="4"/>
  <c r="L1498" i="4"/>
  <c r="L1497" i="4"/>
  <c r="L1496" i="4"/>
  <c r="L1495" i="4"/>
  <c r="L1494" i="4"/>
  <c r="D1494" i="4"/>
  <c r="D1493" i="4"/>
  <c r="D1492" i="4"/>
  <c r="O1493" i="4"/>
  <c r="O1492" i="4"/>
  <c r="O1491" i="4"/>
  <c r="L1493" i="4"/>
  <c r="M1493" i="4" s="1"/>
  <c r="L1492" i="4"/>
  <c r="M1492" i="4" s="1"/>
  <c r="L1491" i="4"/>
  <c r="M1491" i="4" s="1"/>
  <c r="D1491" i="4"/>
  <c r="O1490" i="4"/>
  <c r="L1490" i="4"/>
  <c r="M1490" i="4" s="1"/>
  <c r="D1490" i="4"/>
  <c r="O1489" i="4"/>
  <c r="L1489" i="4"/>
  <c r="M1489" i="4" s="1"/>
  <c r="D1489" i="4"/>
  <c r="D1488" i="4"/>
  <c r="O1488" i="4"/>
  <c r="L1488" i="4"/>
  <c r="M1488" i="4" s="1"/>
  <c r="O1487" i="4"/>
  <c r="L1487" i="4"/>
  <c r="M1487" i="4" s="1"/>
  <c r="D1487" i="4"/>
  <c r="D1486" i="4"/>
  <c r="O1486" i="4"/>
  <c r="O1485" i="4"/>
  <c r="L1486" i="4"/>
  <c r="M1486" i="4" s="1"/>
  <c r="L1485" i="4"/>
  <c r="M1485" i="4" s="1"/>
  <c r="D1485" i="4"/>
  <c r="O1484" i="4"/>
  <c r="O1483" i="4"/>
  <c r="L1484" i="4"/>
  <c r="L1483" i="4"/>
  <c r="M1483" i="4" s="1"/>
  <c r="D1484" i="4"/>
  <c r="D1483" i="4"/>
  <c r="D1482" i="4"/>
  <c r="O1482" i="4"/>
  <c r="O1481" i="4"/>
  <c r="L1482" i="4"/>
  <c r="M1482" i="4" s="1"/>
  <c r="L1481" i="4"/>
  <c r="M1481" i="4" s="1"/>
  <c r="D1480" i="4"/>
  <c r="D1479" i="4"/>
  <c r="D1478" i="4"/>
  <c r="O1480" i="4"/>
  <c r="O1479" i="4"/>
  <c r="O1478" i="4"/>
  <c r="O1477" i="4"/>
  <c r="L1480" i="4"/>
  <c r="M1480" i="4" s="1"/>
  <c r="L1479" i="4"/>
  <c r="M1479" i="4" s="1"/>
  <c r="L1478" i="4"/>
  <c r="M1478" i="4" s="1"/>
  <c r="L1477" i="4"/>
  <c r="M1477" i="4" s="1"/>
  <c r="O1476" i="4"/>
  <c r="O1475" i="4"/>
  <c r="O1474" i="4"/>
  <c r="O1473" i="4"/>
  <c r="L1476" i="4"/>
  <c r="M1476" i="4" s="1"/>
  <c r="L1475" i="4"/>
  <c r="M1475" i="4" s="1"/>
  <c r="L1474" i="4"/>
  <c r="M1474" i="4" s="1"/>
  <c r="L1473" i="4"/>
  <c r="M1473" i="4" s="1"/>
  <c r="D1476" i="4"/>
  <c r="D1475" i="4"/>
  <c r="D1474" i="4"/>
  <c r="D1481" i="4"/>
  <c r="D1477" i="4"/>
  <c r="D1473" i="4"/>
  <c r="O1472" i="4"/>
  <c r="L1472" i="4"/>
  <c r="M1472" i="4" s="1"/>
  <c r="D1472" i="4"/>
  <c r="O1471" i="4"/>
  <c r="L1471" i="4"/>
  <c r="M1471" i="4" s="1"/>
  <c r="D1471" i="4"/>
  <c r="O1470" i="4"/>
  <c r="O1469" i="4"/>
  <c r="D1470" i="4"/>
  <c r="L1470" i="4"/>
  <c r="M1470" i="4" s="1"/>
  <c r="L1469" i="4"/>
  <c r="M1469" i="4" s="1"/>
  <c r="D1451" i="4"/>
  <c r="D1457" i="4"/>
  <c r="D1458" i="4"/>
  <c r="D1459" i="4"/>
  <c r="D1460" i="4"/>
  <c r="D1462" i="4"/>
  <c r="D1463" i="4"/>
  <c r="D1464" i="4"/>
  <c r="D1465" i="4"/>
  <c r="D1466" i="4"/>
  <c r="D1467" i="4"/>
  <c r="D1468" i="4"/>
  <c r="D1469" i="4"/>
  <c r="O1468" i="4"/>
  <c r="L1468" i="4"/>
  <c r="M1468" i="4" s="1"/>
  <c r="O1467" i="4"/>
  <c r="O1466" i="4"/>
  <c r="L1467" i="4"/>
  <c r="M1467" i="4" s="1"/>
  <c r="L1466" i="4"/>
  <c r="M1466" i="4" s="1"/>
  <c r="O1465" i="4"/>
  <c r="L1465" i="4"/>
  <c r="M1465" i="4" s="1"/>
  <c r="O1464" i="4"/>
  <c r="L1464" i="4"/>
  <c r="M1464" i="4" s="1"/>
  <c r="O1463" i="4"/>
  <c r="L1463" i="4"/>
  <c r="M1463" i="4" s="1"/>
  <c r="O1462" i="4"/>
  <c r="L1462" i="4"/>
  <c r="M1462" i="4" s="1"/>
  <c r="O1460" i="4"/>
  <c r="P1460" i="4" s="1"/>
  <c r="O1459" i="4"/>
  <c r="O1458" i="4"/>
  <c r="L1460" i="4"/>
  <c r="L1459" i="4"/>
  <c r="L1458" i="4"/>
  <c r="O1457" i="4"/>
  <c r="L1457" i="4"/>
  <c r="O1451" i="4"/>
  <c r="L1451" i="4"/>
  <c r="M1451" i="4" s="1"/>
  <c r="B20" i="34"/>
  <c r="O1456" i="4"/>
  <c r="L1456" i="4"/>
  <c r="M1456" i="4" s="1"/>
  <c r="D1456" i="4"/>
  <c r="D1455" i="4"/>
  <c r="D1454" i="4"/>
  <c r="D1119" i="4"/>
  <c r="D1118" i="4"/>
  <c r="O1455" i="4"/>
  <c r="O1454" i="4"/>
  <c r="L1455" i="4"/>
  <c r="M1455" i="4" s="1"/>
  <c r="L1454" i="4"/>
  <c r="M1454" i="4" s="1"/>
  <c r="O257" i="4"/>
  <c r="O1453" i="4"/>
  <c r="L1453" i="4"/>
  <c r="M1453" i="4" s="1"/>
  <c r="D1453" i="4"/>
  <c r="O1452" i="4"/>
  <c r="L1452" i="4"/>
  <c r="R1452" i="4"/>
  <c r="S1452" i="4"/>
  <c r="T1452" i="4"/>
  <c r="U1452" i="4"/>
  <c r="D1452" i="4"/>
  <c r="O736" i="4"/>
  <c r="O735" i="4"/>
  <c r="O462" i="4"/>
  <c r="O438" i="4"/>
  <c r="O437" i="4"/>
  <c r="O436" i="4"/>
  <c r="O127" i="4"/>
  <c r="O126" i="4"/>
  <c r="O125" i="4"/>
  <c r="O124" i="4"/>
  <c r="O123" i="4"/>
  <c r="O122" i="4"/>
  <c r="O1005" i="4"/>
  <c r="O903" i="4"/>
  <c r="O616" i="4"/>
  <c r="O615" i="4"/>
  <c r="O733" i="4"/>
  <c r="O417" i="4"/>
  <c r="O416" i="4"/>
  <c r="O897" i="4"/>
  <c r="O896" i="4"/>
  <c r="O818" i="4"/>
  <c r="O712" i="4"/>
  <c r="O538" i="4"/>
  <c r="O435" i="4"/>
  <c r="O289" i="4"/>
  <c r="O246" i="4"/>
  <c r="O193" i="4"/>
  <c r="O832" i="4"/>
  <c r="O831" i="4"/>
  <c r="O415" i="4"/>
  <c r="O319" i="4"/>
  <c r="O318" i="4"/>
  <c r="O588" i="4"/>
  <c r="O587" i="4"/>
  <c r="O946" i="4"/>
  <c r="O945" i="4"/>
  <c r="O944" i="4"/>
  <c r="O674" i="4"/>
  <c r="O934" i="4"/>
  <c r="O776" i="4"/>
  <c r="O363" i="4"/>
  <c r="O781" i="4"/>
  <c r="O725" i="4"/>
  <c r="O724" i="4"/>
  <c r="O673" i="4"/>
  <c r="O672" i="4"/>
  <c r="O496" i="4"/>
  <c r="O841" i="4"/>
  <c r="O1004" i="4"/>
  <c r="O1003" i="4"/>
  <c r="O1002" i="4"/>
  <c r="O785" i="4"/>
  <c r="O333" i="4"/>
  <c r="O332" i="4"/>
  <c r="O933" i="4"/>
  <c r="O943" i="4"/>
  <c r="O942" i="4"/>
  <c r="O825" i="4"/>
  <c r="O330" i="4"/>
  <c r="O894" i="4"/>
  <c r="O365" i="4"/>
  <c r="O1007" i="4"/>
  <c r="O1012" i="4"/>
  <c r="O872" i="4"/>
  <c r="O871" i="4"/>
  <c r="O784" i="4"/>
  <c r="O614" i="4"/>
  <c r="O613" i="4"/>
  <c r="O444" i="4"/>
  <c r="O362" i="4"/>
  <c r="O245" i="4"/>
  <c r="O192" i="4"/>
  <c r="O361" i="4"/>
  <c r="O329" i="4"/>
  <c r="O349" i="4"/>
  <c r="O814" i="4"/>
  <c r="O813" i="4"/>
  <c r="O775" i="4"/>
  <c r="O774" i="4"/>
  <c r="O773" i="4"/>
  <c r="O772" i="4"/>
  <c r="O648" i="4"/>
  <c r="O902" i="4"/>
  <c r="O348" i="4"/>
  <c r="O347" i="4"/>
  <c r="O346" i="4"/>
  <c r="O345" i="4"/>
  <c r="O344" i="4"/>
  <c r="O117" i="4"/>
  <c r="O116" i="4"/>
  <c r="O99" i="4"/>
  <c r="O98" i="4"/>
  <c r="O97" i="4"/>
  <c r="O483" i="4"/>
  <c r="O482" i="4"/>
  <c r="O481" i="4"/>
  <c r="O996" i="4"/>
  <c r="O995" i="4"/>
  <c r="O465" i="4"/>
  <c r="O464" i="4"/>
  <c r="O409" i="4"/>
  <c r="O837" i="4"/>
  <c r="O829" i="4"/>
  <c r="O710" i="4"/>
  <c r="O644" i="4"/>
  <c r="O511" i="4"/>
  <c r="O446" i="4"/>
  <c r="O355" i="4"/>
  <c r="O283" i="4"/>
  <c r="O414" i="4"/>
  <c r="O413" i="4"/>
  <c r="O480" i="4"/>
  <c r="O680" i="4"/>
  <c r="O679" i="4"/>
  <c r="O678" i="4"/>
  <c r="O889" i="4"/>
  <c r="O969" i="4"/>
  <c r="O968" i="4"/>
  <c r="O967" i="4"/>
  <c r="O999" i="4"/>
  <c r="O998" i="4"/>
  <c r="O997" i="4"/>
  <c r="O907" i="4"/>
  <c r="O901" i="4"/>
  <c r="O900" i="4"/>
  <c r="O763" i="4"/>
  <c r="O762" i="4"/>
  <c r="O621" i="4"/>
  <c r="O620" i="4"/>
  <c r="O612" i="4"/>
  <c r="O611" i="4"/>
  <c r="O610" i="4"/>
  <c r="O609" i="4"/>
  <c r="O392" i="4"/>
  <c r="O391" i="4"/>
  <c r="O390" i="4"/>
  <c r="O372" i="4"/>
  <c r="O277" i="4"/>
  <c r="O276" i="4"/>
  <c r="O275" i="4"/>
  <c r="O274" i="4"/>
  <c r="O273" i="4"/>
  <c r="O191" i="4"/>
  <c r="O178" i="4"/>
  <c r="O685" i="4"/>
  <c r="O684" i="4"/>
  <c r="O683" i="4"/>
  <c r="O682" i="4"/>
  <c r="O312" i="4"/>
  <c r="O269" i="4"/>
  <c r="O477" i="4"/>
  <c r="O476" i="4"/>
  <c r="O475" i="4"/>
  <c r="O474" i="4"/>
  <c r="O473" i="4"/>
  <c r="O472" i="4"/>
  <c r="O471" i="4"/>
  <c r="O426" i="4"/>
  <c r="O425" i="4"/>
  <c r="O424" i="4"/>
  <c r="O423" i="4"/>
  <c r="O404" i="4"/>
  <c r="O403" i="4"/>
  <c r="O402" i="4"/>
  <c r="O401" i="4"/>
  <c r="O400" i="4"/>
  <c r="O399" i="4"/>
  <c r="O846" i="4"/>
  <c r="O845" i="4"/>
  <c r="O844" i="4"/>
  <c r="O843" i="4"/>
  <c r="O745" i="4"/>
  <c r="O744" i="4"/>
  <c r="O743" i="4"/>
  <c r="O742" i="4"/>
  <c r="O521" i="4"/>
  <c r="O1011" i="4"/>
  <c r="O1010" i="4"/>
  <c r="O1009" i="4"/>
  <c r="O574" i="4"/>
  <c r="O573" i="4"/>
  <c r="O572" i="4"/>
  <c r="O571" i="4"/>
  <c r="O570" i="4"/>
  <c r="O569" i="4"/>
  <c r="O954" i="4"/>
  <c r="O842" i="4"/>
  <c r="O389" i="4"/>
  <c r="O370" i="4"/>
  <c r="O369" i="4"/>
  <c r="O368" i="4"/>
  <c r="O376" i="4"/>
  <c r="O375" i="4"/>
  <c r="O374" i="4"/>
  <c r="O993" i="4"/>
  <c r="O607" i="4"/>
  <c r="O443" i="4"/>
  <c r="O442" i="4"/>
  <c r="O367" i="4"/>
  <c r="O493" i="4"/>
  <c r="O492" i="4"/>
  <c r="O491" i="4"/>
  <c r="O490" i="4"/>
  <c r="O489" i="4"/>
  <c r="O488" i="4"/>
  <c r="O336" i="4"/>
  <c r="O851" i="4"/>
  <c r="O649" i="4"/>
  <c r="O331" i="4"/>
  <c r="O606" i="4"/>
  <c r="O422" i="4"/>
  <c r="O1018" i="4"/>
  <c r="O1014" i="4"/>
  <c r="O992" i="4"/>
  <c r="O960" i="4"/>
  <c r="O895" i="4"/>
  <c r="O866" i="4"/>
  <c r="O812" i="4"/>
  <c r="O805" i="4"/>
  <c r="O798" i="4"/>
  <c r="O797" i="4"/>
  <c r="O783" i="4"/>
  <c r="O761" i="4"/>
  <c r="O709" i="4"/>
  <c r="O696" i="4"/>
  <c r="O634" i="4"/>
  <c r="O198" i="4"/>
  <c r="O197" i="4"/>
  <c r="O499" i="4"/>
  <c r="O453" i="4"/>
  <c r="O452" i="4"/>
  <c r="O651" i="4"/>
  <c r="O796" i="4"/>
  <c r="O921" i="4"/>
  <c r="O802" i="4"/>
  <c r="O888" i="4"/>
  <c r="O887" i="4"/>
  <c r="O830" i="4"/>
  <c r="O699" i="4"/>
  <c r="O690" i="4"/>
  <c r="O487" i="4"/>
  <c r="O434" i="4"/>
  <c r="O433" i="4"/>
  <c r="O412" i="4"/>
  <c r="O411" i="4"/>
  <c r="O343" i="4"/>
  <c r="O342" i="4"/>
  <c r="O341" i="4"/>
  <c r="O917" i="4"/>
  <c r="O681" i="4"/>
  <c r="O568" i="4"/>
  <c r="O242" i="4"/>
  <c r="O212" i="4"/>
  <c r="O213" i="4"/>
  <c r="O951" i="4"/>
  <c r="O950" i="4"/>
  <c r="O949" i="4"/>
  <c r="O267" i="4"/>
  <c r="O266" i="4"/>
  <c r="O265" i="4"/>
  <c r="O264" i="4"/>
  <c r="O263" i="4"/>
  <c r="O262" i="4"/>
  <c r="O155" i="4"/>
  <c r="O154" i="4"/>
  <c r="O153" i="4"/>
  <c r="O152" i="4"/>
  <c r="O4" i="4"/>
  <c r="O73" i="4"/>
  <c r="O72" i="4"/>
  <c r="O71" i="4"/>
  <c r="O70" i="4"/>
  <c r="O69" i="4"/>
  <c r="O68" i="4"/>
  <c r="O67" i="4"/>
  <c r="O62" i="4"/>
  <c r="O61" i="4"/>
  <c r="O60" i="4"/>
  <c r="O59" i="4"/>
  <c r="O58" i="4"/>
  <c r="O57" i="4"/>
  <c r="O671" i="4"/>
  <c r="O670" i="4"/>
  <c r="O20" i="4"/>
  <c r="O707" i="4"/>
  <c r="O706" i="4"/>
  <c r="O705" i="4"/>
  <c r="O147" i="4"/>
  <c r="O146" i="4"/>
  <c r="O531" i="4"/>
  <c r="O530" i="4"/>
  <c r="O529" i="4"/>
  <c r="O528" i="4"/>
  <c r="O527" i="4"/>
  <c r="O526" i="4"/>
  <c r="O366" i="4"/>
  <c r="O906" i="4"/>
  <c r="O905" i="4"/>
  <c r="O371" i="4"/>
  <c r="O974" i="4"/>
  <c r="O973" i="4"/>
  <c r="O729" i="4"/>
  <c r="O582" i="4"/>
  <c r="O581" i="4"/>
  <c r="O580" i="4"/>
  <c r="O579" i="4"/>
  <c r="O107" i="4"/>
  <c r="O106" i="4"/>
  <c r="O105" i="4"/>
  <c r="O421" i="4"/>
  <c r="O420" i="4"/>
  <c r="O419" i="4"/>
  <c r="O358" i="4"/>
  <c r="O357" i="4"/>
  <c r="O698" i="4"/>
  <c r="O328" i="4"/>
  <c r="O327" i="4"/>
  <c r="O916" i="4"/>
  <c r="O664" i="4"/>
  <c r="O520" i="4"/>
  <c r="O519" i="4"/>
  <c r="O518" i="4"/>
  <c r="O517" i="4"/>
  <c r="O1100" i="4"/>
  <c r="O234" i="4"/>
  <c r="O817" i="4"/>
  <c r="O1006" i="4"/>
  <c r="O816" i="4"/>
  <c r="O689" i="4"/>
  <c r="O688" i="4"/>
  <c r="O687" i="4"/>
  <c r="O441" i="4"/>
  <c r="O339" i="4"/>
  <c r="O338" i="4"/>
  <c r="O279" i="4"/>
  <c r="O272" i="4"/>
  <c r="O936" i="4"/>
  <c r="O935" i="4"/>
  <c r="O836" i="4"/>
  <c r="O759" i="4"/>
  <c r="O111" i="4"/>
  <c r="O110" i="4"/>
  <c r="O109" i="4"/>
  <c r="O108" i="4"/>
  <c r="O385" i="4"/>
  <c r="O384" i="4"/>
  <c r="O383" i="4"/>
  <c r="O382" i="4"/>
  <c r="O19" i="4"/>
  <c r="O18" i="4"/>
  <c r="O17" i="4"/>
  <c r="O16" i="4"/>
  <c r="O971" i="4"/>
  <c r="O970" i="4"/>
  <c r="O549" i="4"/>
  <c r="O548" i="4"/>
  <c r="O547" i="4"/>
  <c r="O311" i="4"/>
  <c r="O310" i="4"/>
  <c r="O309" i="4"/>
  <c r="O308" i="4"/>
  <c r="O307" i="4"/>
  <c r="O306" i="4"/>
  <c r="O305" i="4"/>
  <c r="O1016" i="4"/>
  <c r="O771" i="4"/>
  <c r="O546" i="4"/>
  <c r="O461" i="4"/>
  <c r="O460" i="4"/>
  <c r="O388" i="4"/>
  <c r="O867" i="4"/>
  <c r="O828" i="4"/>
  <c r="O732" i="4"/>
  <c r="O911" i="4"/>
  <c r="O904" i="4"/>
  <c r="O211" i="4"/>
  <c r="O948" i="4"/>
  <c r="O605" i="4"/>
  <c r="O604" i="4"/>
  <c r="O603" i="4"/>
  <c r="O602" i="4"/>
  <c r="O601" i="4"/>
  <c r="O470" i="4"/>
  <c r="O282" i="4"/>
  <c r="O200" i="4"/>
  <c r="O964" i="4"/>
  <c r="O537" i="4"/>
  <c r="O536" i="4"/>
  <c r="O535" i="4"/>
  <c r="O534" i="4"/>
  <c r="O160" i="4"/>
  <c r="O159" i="4"/>
  <c r="O158" i="4"/>
  <c r="O157" i="4"/>
  <c r="O134" i="4"/>
  <c r="O133" i="4"/>
  <c r="O132" i="4"/>
  <c r="O131" i="4"/>
  <c r="O486" i="4"/>
  <c r="O240" i="4"/>
  <c r="O288" i="4"/>
  <c r="O229" i="4"/>
  <c r="O540" i="4"/>
  <c r="O50" i="4"/>
  <c r="O49" i="4"/>
  <c r="O48" i="4"/>
  <c r="O47" i="4"/>
  <c r="O633" i="4"/>
  <c r="O632" i="4"/>
  <c r="O631" i="4"/>
  <c r="O630" i="4"/>
  <c r="O629" i="4"/>
  <c r="O628" i="4"/>
  <c r="O882" i="4"/>
  <c r="O870" i="4"/>
  <c r="O869" i="4"/>
  <c r="O811" i="4"/>
  <c r="O810" i="4"/>
  <c r="O809" i="4"/>
  <c r="O808" i="4"/>
  <c r="O807" i="4"/>
  <c r="O669" i="4"/>
  <c r="O635" i="4"/>
  <c r="O578" i="4"/>
  <c r="O577" i="4"/>
  <c r="O567" i="4"/>
  <c r="O566" i="4"/>
  <c r="O565" i="4"/>
  <c r="O564" i="4"/>
  <c r="O506" i="4"/>
  <c r="O505" i="4"/>
  <c r="O504" i="4"/>
  <c r="O503" i="4"/>
  <c r="O432" i="4"/>
  <c r="O431" i="4"/>
  <c r="O300" i="4"/>
  <c r="O299" i="4"/>
  <c r="O199" i="4"/>
  <c r="O2" i="4"/>
  <c r="O668" i="4"/>
  <c r="O667" i="4"/>
  <c r="O666" i="4"/>
  <c r="O850" i="4"/>
  <c r="O256" i="4"/>
  <c r="O259" i="4"/>
  <c r="O731" i="4"/>
  <c r="O770" i="4"/>
  <c r="O130" i="4"/>
  <c r="O129" i="4"/>
  <c r="O128" i="4"/>
  <c r="O459" i="4"/>
  <c r="O978" i="4"/>
  <c r="O991" i="4"/>
  <c r="O990" i="4"/>
  <c r="O354" i="4"/>
  <c r="O353" i="4"/>
  <c r="O980" i="4"/>
  <c r="O979" i="4"/>
  <c r="O977" i="4"/>
  <c r="O972" i="4"/>
  <c r="O840" i="4"/>
  <c r="O625" i="4"/>
  <c r="O624" i="4"/>
  <c r="O623" i="4"/>
  <c r="O619" i="4"/>
  <c r="O618" i="4"/>
  <c r="O563" i="4"/>
  <c r="O562" i="4"/>
  <c r="O561" i="4"/>
  <c r="O560" i="4"/>
  <c r="O559" i="4"/>
  <c r="O364" i="4"/>
  <c r="O352" i="4"/>
  <c r="O351" i="4"/>
  <c r="O350" i="4"/>
  <c r="O171" i="4"/>
  <c r="O170" i="4"/>
  <c r="O169" i="4"/>
  <c r="O168" i="4"/>
  <c r="O677" i="4"/>
  <c r="O410" i="4"/>
  <c r="O188" i="4"/>
  <c r="O187" i="4"/>
  <c r="O959" i="4"/>
  <c r="O958" i="4"/>
  <c r="O899" i="4"/>
  <c r="O898" i="4"/>
  <c r="O622" i="4"/>
  <c r="O594" i="4"/>
  <c r="O593" i="4"/>
  <c r="O1013" i="4"/>
  <c r="O756" i="4"/>
  <c r="O27" i="4"/>
  <c r="O26" i="4"/>
  <c r="O25" i="4"/>
  <c r="O24" i="4"/>
  <c r="O23" i="4"/>
  <c r="O479" i="4"/>
  <c r="O1008" i="4"/>
  <c r="O915" i="4"/>
  <c r="O782" i="4"/>
  <c r="O717" i="4"/>
  <c r="O716" i="4"/>
  <c r="O650" i="4"/>
  <c r="O551" i="4"/>
  <c r="O533" i="4"/>
  <c r="O463" i="4"/>
  <c r="O380" i="4"/>
  <c r="O340" i="4"/>
  <c r="O271" i="4"/>
  <c r="O216" i="4"/>
  <c r="O206" i="4"/>
  <c r="O194" i="4"/>
  <c r="O767" i="4"/>
  <c r="O766" i="4"/>
  <c r="O174" i="4"/>
  <c r="O173" i="4"/>
  <c r="O172" i="4"/>
  <c r="O145" i="4"/>
  <c r="O144" i="4"/>
  <c r="O143" i="4"/>
  <c r="O304" i="4"/>
  <c r="O303" i="4"/>
  <c r="O302" i="4"/>
  <c r="O301" i="4"/>
  <c r="O711" i="4"/>
  <c r="O507" i="4"/>
  <c r="O268" i="4"/>
  <c r="O963" i="4"/>
  <c r="O957" i="4"/>
  <c r="O956" i="4"/>
  <c r="O795" i="4"/>
  <c r="O794" i="4"/>
  <c r="O793" i="4"/>
  <c r="O516" i="4"/>
  <c r="O510" i="4"/>
  <c r="O287" i="4"/>
  <c r="O286" i="4"/>
  <c r="O231" i="4"/>
  <c r="O195" i="4"/>
  <c r="O893" i="4"/>
  <c r="O647" i="4"/>
  <c r="O646" i="4"/>
  <c r="O804" i="4"/>
  <c r="O803" i="4"/>
  <c r="O360" i="4"/>
  <c r="O962" i="4"/>
  <c r="O43" i="4"/>
  <c r="O42" i="4"/>
  <c r="O41" i="4"/>
  <c r="O40" i="4"/>
  <c r="O39" i="4"/>
  <c r="O1040" i="4"/>
  <c r="O643" i="4"/>
  <c r="O642" i="4"/>
  <c r="O156" i="4"/>
  <c r="O104" i="4"/>
  <c r="O103" i="4"/>
  <c r="O102" i="4"/>
  <c r="O101" i="4"/>
  <c r="O100" i="4"/>
  <c r="O592" i="4"/>
  <c r="O591" i="4"/>
  <c r="O239" i="4"/>
  <c r="O238" i="4"/>
  <c r="O801" i="4"/>
  <c r="O728" i="4"/>
  <c r="O727" i="4"/>
  <c r="O576" i="4"/>
  <c r="O932" i="4"/>
  <c r="O931" i="4"/>
  <c r="O930" i="4"/>
  <c r="O929" i="4"/>
  <c r="O928" i="4"/>
  <c r="O927" i="4"/>
  <c r="O926" i="4"/>
  <c r="O925" i="4"/>
  <c r="O924" i="4"/>
  <c r="O923" i="4"/>
  <c r="O892" i="4"/>
  <c r="O891" i="4"/>
  <c r="O890" i="4"/>
  <c r="O167" i="4"/>
  <c r="O166" i="4"/>
  <c r="O165" i="4"/>
  <c r="O164" i="4"/>
  <c r="O163" i="4"/>
  <c r="O162" i="4"/>
  <c r="O81" i="4"/>
  <c r="O80" i="4"/>
  <c r="O33" i="4"/>
  <c r="O32" i="4"/>
  <c r="O986" i="4"/>
  <c r="O920" i="4"/>
  <c r="O676" i="4"/>
  <c r="O445" i="4"/>
  <c r="O849" i="4"/>
  <c r="O848" i="4"/>
  <c r="O600" i="4"/>
  <c r="O792" i="4"/>
  <c r="O791" i="4"/>
  <c r="O790" i="4"/>
  <c r="O800" i="4"/>
  <c r="O515" i="4"/>
  <c r="O502" i="4"/>
  <c r="O501" i="4"/>
  <c r="O500" i="4"/>
  <c r="O1563" i="4"/>
  <c r="O408" i="4"/>
  <c r="O407" i="4"/>
  <c r="O406" i="4"/>
  <c r="O405" i="4"/>
  <c r="O326" i="4"/>
  <c r="O325" i="4"/>
  <c r="O324" i="4"/>
  <c r="O941" i="4"/>
  <c r="O940" i="4"/>
  <c r="O989" i="4"/>
  <c r="O161" i="4"/>
  <c r="O142" i="4"/>
  <c r="O141" i="4"/>
  <c r="O140" i="4"/>
  <c r="O139" i="4"/>
  <c r="O138" i="4"/>
  <c r="O137" i="4"/>
  <c r="O136" i="4"/>
  <c r="O135" i="4"/>
  <c r="O545" i="4"/>
  <c r="O544" i="4"/>
  <c r="O543" i="4"/>
  <c r="O542" i="4"/>
  <c r="O177" i="4"/>
  <c r="O176" i="4"/>
  <c r="O175" i="4"/>
  <c r="O115" i="4"/>
  <c r="O114" i="4"/>
  <c r="O113" i="4"/>
  <c r="O112" i="4"/>
  <c r="O96" i="4"/>
  <c r="O95" i="4"/>
  <c r="O94" i="4"/>
  <c r="O93" i="4"/>
  <c r="O79" i="4"/>
  <c r="O78" i="4"/>
  <c r="O77" i="4"/>
  <c r="O76" i="4"/>
  <c r="O75" i="4"/>
  <c r="O74" i="4"/>
  <c r="O881" i="4"/>
  <c r="O880" i="4"/>
  <c r="O879" i="4"/>
  <c r="O878" i="4"/>
  <c r="O877" i="4"/>
  <c r="O55" i="4"/>
  <c r="O54" i="4"/>
  <c r="O53" i="4"/>
  <c r="O52" i="4"/>
  <c r="O51" i="4"/>
  <c r="O323" i="4"/>
  <c r="O322" i="4"/>
  <c r="O321" i="4"/>
  <c r="O261" i="4"/>
  <c r="O260" i="4"/>
  <c r="O38" i="4"/>
  <c r="O37" i="4"/>
  <c r="O36" i="4"/>
  <c r="O35" i="4"/>
  <c r="O34" i="4"/>
  <c r="O769" i="4"/>
  <c r="O768" i="4"/>
  <c r="O939" i="4"/>
  <c r="O723" i="4"/>
  <c r="O356" i="4"/>
  <c r="O222" i="4"/>
  <c r="O221" i="4"/>
  <c r="O220" i="4"/>
  <c r="O219" i="4"/>
  <c r="O218" i="4"/>
  <c r="O196" i="4"/>
  <c r="O210" i="4"/>
  <c r="O876" i="4"/>
  <c r="O875" i="4"/>
  <c r="O874" i="4"/>
  <c r="O873" i="4"/>
  <c r="O864" i="4"/>
  <c r="O863" i="4"/>
  <c r="O760" i="4"/>
  <c r="O525" i="4"/>
  <c r="O524" i="4"/>
  <c r="O379" i="4"/>
  <c r="O378" i="4"/>
  <c r="O377" i="4"/>
  <c r="O244" i="4"/>
  <c r="O1015" i="4"/>
  <c r="O886" i="4"/>
  <c r="O290" i="4"/>
  <c r="O575" i="4"/>
  <c r="O555" i="4"/>
  <c r="O554" i="4"/>
  <c r="O919" i="4"/>
  <c r="O918" i="4"/>
  <c r="O953" i="4"/>
  <c r="O913" i="4"/>
  <c r="O912" i="4"/>
  <c r="O485" i="4"/>
  <c r="O484" i="4"/>
  <c r="O741" i="4"/>
  <c r="O952" i="4"/>
  <c r="O722" i="4"/>
  <c r="O734" i="4"/>
  <c r="O359" i="4"/>
  <c r="O704" i="4"/>
  <c r="O824" i="4"/>
  <c r="O910" i="4"/>
  <c r="O909" i="4"/>
  <c r="O908" i="4"/>
  <c r="O255" i="4"/>
  <c r="O254" i="4"/>
  <c r="O253" i="4"/>
  <c r="O740" i="4"/>
  <c r="O523" i="4"/>
  <c r="O823" i="4"/>
  <c r="O822" i="4"/>
  <c r="O821" i="4"/>
  <c r="O820" i="4"/>
  <c r="O862" i="4"/>
  <c r="O715" i="4"/>
  <c r="O947" i="4"/>
  <c r="O514" i="4"/>
  <c r="O513" i="4"/>
  <c r="O512" i="4"/>
  <c r="O317" i="4"/>
  <c r="O316" i="4"/>
  <c r="O315" i="4"/>
  <c r="O314" i="4"/>
  <c r="O313" i="4"/>
  <c r="O1025" i="4"/>
  <c r="O976" i="4"/>
  <c r="O779" i="4"/>
  <c r="O608" i="4"/>
  <c r="O298" i="4"/>
  <c r="O982" i="4"/>
  <c r="O955" i="4"/>
  <c r="O799" i="4"/>
  <c r="O675" i="4"/>
  <c r="O599" i="4"/>
  <c r="O553" i="4"/>
  <c r="O418" i="4"/>
  <c r="O730" i="4"/>
  <c r="O281" i="4"/>
  <c r="O280" i="4"/>
  <c r="O758" i="4"/>
  <c r="O150" i="4"/>
  <c r="O149" i="4"/>
  <c r="O148" i="4"/>
  <c r="O373" i="4"/>
  <c r="O121" i="4"/>
  <c r="O120" i="4"/>
  <c r="O119" i="4"/>
  <c r="O118" i="4"/>
  <c r="O983" i="4"/>
  <c r="O885" i="4"/>
  <c r="O297" i="4"/>
  <c r="O296" i="4"/>
  <c r="O295" i="4"/>
  <c r="O258" i="4"/>
  <c r="O190" i="4"/>
  <c r="O189" i="4"/>
  <c r="O92" i="4"/>
  <c r="O91" i="4"/>
  <c r="O90" i="4"/>
  <c r="O89" i="4"/>
  <c r="O640" i="4"/>
  <c r="O639" i="4"/>
  <c r="O638" i="4"/>
  <c r="O637" i="4"/>
  <c r="O636" i="4"/>
  <c r="O586" i="4"/>
  <c r="O585" i="4"/>
  <c r="O584" i="4"/>
  <c r="O583" i="4"/>
  <c r="O1000" i="4"/>
  <c r="O697" i="4"/>
  <c r="O186" i="4"/>
  <c r="O185" i="4"/>
  <c r="O184" i="4"/>
  <c r="O183" i="4"/>
  <c r="O151" i="4"/>
  <c r="O56" i="4"/>
  <c r="O7" i="4"/>
  <c r="O6" i="4"/>
  <c r="O5" i="4"/>
  <c r="O714" i="4"/>
  <c r="O713" i="4"/>
  <c r="O558" i="4"/>
  <c r="O557" i="4"/>
  <c r="O556" i="4"/>
  <c r="O847" i="4"/>
  <c r="O82" i="4"/>
  <c r="O868" i="4"/>
  <c r="O686" i="4"/>
  <c r="O22" i="4"/>
  <c r="O21" i="4"/>
  <c r="O226" i="4"/>
  <c r="O225" i="4"/>
  <c r="O224" i="4"/>
  <c r="O223" i="4"/>
  <c r="O237" i="4"/>
  <c r="O236" i="4"/>
  <c r="O645" i="4"/>
  <c r="O215" i="4"/>
  <c r="O214" i="4"/>
  <c r="O839" i="4"/>
  <c r="O838" i="4"/>
  <c r="O747" i="4"/>
  <c r="O746" i="4"/>
  <c r="O703" i="4"/>
  <c r="O702" i="4"/>
  <c r="O701" i="4"/>
  <c r="O700" i="4"/>
  <c r="O205" i="4"/>
  <c r="O204" i="4"/>
  <c r="O203" i="4"/>
  <c r="O202" i="4"/>
  <c r="O201" i="4"/>
  <c r="O663" i="4"/>
  <c r="O662" i="4"/>
  <c r="O598" i="4"/>
  <c r="O597" i="4"/>
  <c r="O596" i="4"/>
  <c r="O595" i="4"/>
  <c r="O988" i="4"/>
  <c r="O987" i="4"/>
  <c r="O975" i="4"/>
  <c r="O914" i="4"/>
  <c r="O865" i="4"/>
  <c r="O815" i="4"/>
  <c r="O641" i="4"/>
  <c r="O627" i="4"/>
  <c r="O552" i="4"/>
  <c r="O550" i="4"/>
  <c r="O532" i="4"/>
  <c r="O478" i="4"/>
  <c r="O381" i="4"/>
  <c r="O294" i="4"/>
  <c r="O228" i="4"/>
  <c r="O3" i="4"/>
  <c r="O227" i="4"/>
  <c r="O292" i="4"/>
  <c r="O291" i="4"/>
  <c r="O789" i="4"/>
  <c r="O788" i="4"/>
  <c r="O787" i="4"/>
  <c r="O786" i="4"/>
  <c r="O661" i="4"/>
  <c r="O660" i="4"/>
  <c r="O659" i="4"/>
  <c r="O658" i="4"/>
  <c r="O657" i="4"/>
  <c r="O469" i="4"/>
  <c r="O468" i="4"/>
  <c r="O467" i="4"/>
  <c r="O466" i="4"/>
  <c r="O721" i="4"/>
  <c r="O720" i="4"/>
  <c r="O719" i="4"/>
  <c r="O718" i="4"/>
  <c r="O85" i="4"/>
  <c r="O84" i="4"/>
  <c r="O83" i="4"/>
  <c r="O509" i="4"/>
  <c r="O508" i="4"/>
  <c r="O252" i="4"/>
  <c r="O251" i="4"/>
  <c r="O46" i="4"/>
  <c r="O45" i="4"/>
  <c r="O44" i="4"/>
  <c r="O861" i="4"/>
  <c r="O860" i="4"/>
  <c r="O859" i="4"/>
  <c r="O858" i="4"/>
  <c r="O857" i="4"/>
  <c r="O856" i="4"/>
  <c r="O855" i="4"/>
  <c r="O755" i="4"/>
  <c r="O754" i="4"/>
  <c r="O753" i="4"/>
  <c r="O752" i="4"/>
  <c r="O751" i="4"/>
  <c r="O750" i="4"/>
  <c r="O749" i="4"/>
  <c r="O748" i="4"/>
  <c r="O248" i="4"/>
  <c r="O247" i="4"/>
  <c r="O243" i="4"/>
  <c r="O241" i="4"/>
  <c r="O235" i="4"/>
  <c r="O233" i="4"/>
  <c r="O232" i="4"/>
  <c r="O182" i="4"/>
  <c r="O181" i="4"/>
  <c r="O180" i="4"/>
  <c r="O179" i="4"/>
  <c r="O66" i="4"/>
  <c r="O65" i="4"/>
  <c r="O64" i="4"/>
  <c r="O63" i="4"/>
  <c r="O15" i="4"/>
  <c r="O14" i="4"/>
  <c r="O13" i="4"/>
  <c r="O12" i="4"/>
  <c r="O11" i="4"/>
  <c r="O10" i="4"/>
  <c r="O9" i="4"/>
  <c r="O8" i="4"/>
  <c r="O1023" i="4"/>
  <c r="O985" i="4"/>
  <c r="O984" i="4"/>
  <c r="O806" i="4"/>
  <c r="O778" i="4"/>
  <c r="O777" i="4"/>
  <c r="O765" i="4"/>
  <c r="O764" i="4"/>
  <c r="O739" i="4"/>
  <c r="O738" i="4"/>
  <c r="O726" i="4"/>
  <c r="O665" i="4"/>
  <c r="O590" i="4"/>
  <c r="O589" i="4"/>
  <c r="O278" i="4"/>
  <c r="O250" i="4"/>
  <c r="O249" i="4"/>
  <c r="O398" i="4"/>
  <c r="O397" i="4"/>
  <c r="O396" i="4"/>
  <c r="O395" i="4"/>
  <c r="O708" i="4"/>
  <c r="O451" i="4"/>
  <c r="O450" i="4"/>
  <c r="O449" i="4"/>
  <c r="O448" i="4"/>
  <c r="O447" i="4"/>
  <c r="O981" i="4"/>
  <c r="O965" i="4"/>
  <c r="O394" i="4"/>
  <c r="O270" i="4"/>
  <c r="O230" i="4"/>
  <c r="O86" i="4"/>
  <c r="O87" i="4"/>
  <c r="O88" i="4"/>
  <c r="O217" i="4"/>
  <c r="O393" i="4"/>
  <c r="O498" i="4"/>
  <c r="O497" i="4"/>
  <c r="O495" i="4"/>
  <c r="O494" i="4"/>
  <c r="O430" i="4"/>
  <c r="O429" i="4"/>
  <c r="O428" i="4"/>
  <c r="O539" i="4"/>
  <c r="O440" i="4"/>
  <c r="O439" i="4"/>
  <c r="O320" i="4"/>
  <c r="O819" i="4"/>
  <c r="O626" i="4"/>
  <c r="O653" i="4"/>
  <c r="O652" i="4"/>
  <c r="O337" i="4"/>
  <c r="O695" i="4"/>
  <c r="O694" i="4"/>
  <c r="O693" i="4"/>
  <c r="O692" i="4"/>
  <c r="O691" i="4"/>
  <c r="O884" i="4"/>
  <c r="O883" i="4"/>
  <c r="O852" i="4"/>
  <c r="O209" i="4"/>
  <c r="O208" i="4"/>
  <c r="O207" i="4"/>
  <c r="O458" i="4"/>
  <c r="O457" i="4"/>
  <c r="O456" i="4"/>
  <c r="O455" i="4"/>
  <c r="O454" i="4"/>
  <c r="O335" i="4"/>
  <c r="O334" i="4"/>
  <c r="O835" i="4"/>
  <c r="O834" i="4"/>
  <c r="O833" i="4"/>
  <c r="O757" i="4"/>
  <c r="O522" i="4"/>
  <c r="O427" i="4"/>
  <c r="O737" i="4"/>
  <c r="O617" i="4"/>
  <c r="O780" i="4"/>
  <c r="L199" i="4"/>
  <c r="L2" i="4"/>
  <c r="L193" i="4"/>
  <c r="E13" i="34"/>
  <c r="D1450" i="4"/>
  <c r="O1450" i="4"/>
  <c r="O1449" i="4"/>
  <c r="L1450" i="4"/>
  <c r="R1450" i="4"/>
  <c r="S1450" i="4"/>
  <c r="T1450" i="4"/>
  <c r="U1450" i="4"/>
  <c r="V1450" i="4"/>
  <c r="L1449" i="4"/>
  <c r="R1449" i="4"/>
  <c r="S1449" i="4"/>
  <c r="T1449" i="4"/>
  <c r="U1449" i="4"/>
  <c r="V1449" i="4"/>
  <c r="D1449" i="4"/>
  <c r="O1399" i="4"/>
  <c r="L1399" i="4"/>
  <c r="M1399" i="4" s="1"/>
  <c r="R1399" i="4"/>
  <c r="S1399" i="4"/>
  <c r="T1399" i="4"/>
  <c r="U1399" i="4"/>
  <c r="V1399" i="4"/>
  <c r="D1399" i="4"/>
  <c r="O1419" i="4"/>
  <c r="L1419" i="4"/>
  <c r="R1419" i="4"/>
  <c r="S1419" i="4"/>
  <c r="T1419" i="4"/>
  <c r="U1419" i="4"/>
  <c r="V1419" i="4"/>
  <c r="D1419" i="4"/>
  <c r="O1445" i="4"/>
  <c r="L1445" i="4"/>
  <c r="M1445" i="4" s="1"/>
  <c r="R1445" i="4"/>
  <c r="S1445" i="4"/>
  <c r="T1445" i="4"/>
  <c r="U1445" i="4"/>
  <c r="V1445" i="4"/>
  <c r="D1445" i="4"/>
  <c r="O1448" i="4"/>
  <c r="O1447" i="4"/>
  <c r="O1446" i="4"/>
  <c r="D1448" i="4"/>
  <c r="D1447" i="4"/>
  <c r="L1448" i="4"/>
  <c r="M1448" i="4" s="1"/>
  <c r="L1447" i="4"/>
  <c r="M1447" i="4" s="1"/>
  <c r="L1446" i="4"/>
  <c r="M1446" i="4" s="1"/>
  <c r="R1448" i="4"/>
  <c r="S1448" i="4"/>
  <c r="T1448" i="4"/>
  <c r="U1448" i="4"/>
  <c r="V1448" i="4"/>
  <c r="R1447" i="4"/>
  <c r="S1447" i="4"/>
  <c r="T1447" i="4"/>
  <c r="U1447" i="4"/>
  <c r="V1447" i="4"/>
  <c r="R1446" i="4"/>
  <c r="S1446" i="4"/>
  <c r="T1446" i="4"/>
  <c r="U1446" i="4"/>
  <c r="V1446" i="4"/>
  <c r="D1446" i="4"/>
  <c r="D1435" i="4"/>
  <c r="O1435" i="4"/>
  <c r="L1435" i="4"/>
  <c r="R1435" i="4"/>
  <c r="S1435" i="4"/>
  <c r="T1435" i="4"/>
  <c r="U1435" i="4"/>
  <c r="V1435" i="4"/>
  <c r="O1444" i="4"/>
  <c r="O1443" i="4"/>
  <c r="D1444" i="4"/>
  <c r="L1444" i="4"/>
  <c r="M1444" i="4" s="1"/>
  <c r="R1444" i="4"/>
  <c r="S1444" i="4"/>
  <c r="T1444" i="4"/>
  <c r="U1444" i="4"/>
  <c r="V1444" i="4"/>
  <c r="L1443" i="4"/>
  <c r="R1443" i="4"/>
  <c r="S1443" i="4"/>
  <c r="T1443" i="4"/>
  <c r="U1443" i="4"/>
  <c r="V1443" i="4"/>
  <c r="D1443" i="4"/>
  <c r="O1439" i="4"/>
  <c r="L1439" i="4"/>
  <c r="R1439" i="4"/>
  <c r="S1439" i="4"/>
  <c r="T1439" i="4"/>
  <c r="U1439" i="4"/>
  <c r="V1439" i="4"/>
  <c r="D1439" i="4"/>
  <c r="O1438" i="4"/>
  <c r="L1438" i="4"/>
  <c r="R1438" i="4"/>
  <c r="S1438" i="4"/>
  <c r="T1438" i="4"/>
  <c r="U1438" i="4"/>
  <c r="V1438" i="4"/>
  <c r="D1438" i="4"/>
  <c r="O1442" i="4"/>
  <c r="O1441" i="4"/>
  <c r="O1440" i="4"/>
  <c r="D1442" i="4"/>
  <c r="D1441" i="4"/>
  <c r="L1442" i="4"/>
  <c r="R1442" i="4"/>
  <c r="S1442" i="4"/>
  <c r="T1442" i="4"/>
  <c r="U1442" i="4"/>
  <c r="V1442" i="4"/>
  <c r="L1441" i="4"/>
  <c r="R1441" i="4"/>
  <c r="S1441" i="4"/>
  <c r="T1441" i="4"/>
  <c r="U1441" i="4"/>
  <c r="V1441" i="4"/>
  <c r="L1440" i="4"/>
  <c r="R1440" i="4"/>
  <c r="S1440" i="4"/>
  <c r="T1440" i="4"/>
  <c r="U1440" i="4"/>
  <c r="V1440" i="4"/>
  <c r="D1440" i="4"/>
  <c r="H5" i="60"/>
  <c r="H6" i="60"/>
  <c r="H7" i="60"/>
  <c r="H8" i="60"/>
  <c r="H9" i="60"/>
  <c r="H10" i="60"/>
  <c r="H11" i="60"/>
  <c r="H12" i="60"/>
  <c r="H13" i="60"/>
  <c r="H14" i="60"/>
  <c r="H15" i="60"/>
  <c r="H16" i="60"/>
  <c r="H17" i="60"/>
  <c r="H18" i="60"/>
  <c r="H19" i="60"/>
  <c r="H20" i="60"/>
  <c r="H21" i="60"/>
  <c r="H22" i="60"/>
  <c r="H23" i="60"/>
  <c r="H24" i="60"/>
  <c r="H25" i="60"/>
  <c r="H26" i="60"/>
  <c r="H27" i="60"/>
  <c r="H28" i="60"/>
  <c r="H29" i="60"/>
  <c r="H30" i="60"/>
  <c r="H31" i="60"/>
  <c r="H32" i="60"/>
  <c r="H33" i="60"/>
  <c r="H34" i="60"/>
  <c r="H35" i="60"/>
  <c r="H36" i="60"/>
  <c r="H37" i="60"/>
  <c r="H38" i="60"/>
  <c r="H39" i="60"/>
  <c r="H40" i="60"/>
  <c r="H41" i="60"/>
  <c r="H42" i="60"/>
  <c r="H43" i="60"/>
  <c r="H44" i="60"/>
  <c r="H45" i="60"/>
  <c r="H46" i="60"/>
  <c r="H47" i="60"/>
  <c r="H48" i="60"/>
  <c r="H49" i="60"/>
  <c r="H50" i="60"/>
  <c r="H51" i="60"/>
  <c r="H52" i="60"/>
  <c r="H53" i="60"/>
  <c r="H54" i="60"/>
  <c r="H55" i="60"/>
  <c r="H56" i="60"/>
  <c r="H57" i="60"/>
  <c r="H58" i="60"/>
  <c r="H59" i="60"/>
  <c r="H60" i="60"/>
  <c r="H61" i="60"/>
  <c r="H62" i="60"/>
  <c r="H63" i="60"/>
  <c r="H64" i="60"/>
  <c r="H65" i="60"/>
  <c r="H66" i="60"/>
  <c r="H67" i="60"/>
  <c r="H68" i="60"/>
  <c r="H69" i="60"/>
  <c r="H70" i="60"/>
  <c r="H71" i="60"/>
  <c r="H72" i="60"/>
  <c r="H73" i="60"/>
  <c r="H74" i="60"/>
  <c r="H75" i="60"/>
  <c r="H76" i="60"/>
  <c r="H77" i="60"/>
  <c r="H78" i="60"/>
  <c r="H79" i="60"/>
  <c r="H80" i="60"/>
  <c r="H81" i="60"/>
  <c r="H82" i="60"/>
  <c r="H83" i="60"/>
  <c r="H84" i="60"/>
  <c r="H85" i="60"/>
  <c r="H86" i="60"/>
  <c r="H87" i="60"/>
  <c r="H88" i="60"/>
  <c r="H89" i="60"/>
  <c r="H90" i="60"/>
  <c r="H91" i="60"/>
  <c r="H92" i="60"/>
  <c r="H93" i="60"/>
  <c r="H94" i="60"/>
  <c r="H95" i="60"/>
  <c r="H96" i="60"/>
  <c r="H97" i="60"/>
  <c r="H98" i="60"/>
  <c r="H99" i="60"/>
  <c r="H100" i="60"/>
  <c r="H101" i="60"/>
  <c r="H102" i="60"/>
  <c r="H103" i="60"/>
  <c r="H104" i="60"/>
  <c r="H105" i="60"/>
  <c r="H106" i="60"/>
  <c r="H107" i="60"/>
  <c r="H108" i="60"/>
  <c r="H109" i="60"/>
  <c r="H110" i="60"/>
  <c r="H111" i="60"/>
  <c r="H112" i="60"/>
  <c r="H113" i="60"/>
  <c r="H114" i="60"/>
  <c r="H115" i="60"/>
  <c r="H116" i="60"/>
  <c r="H117" i="60"/>
  <c r="H118" i="60"/>
  <c r="H119" i="60"/>
  <c r="H120" i="60"/>
  <c r="H121" i="60"/>
  <c r="H122" i="60"/>
  <c r="H123" i="60"/>
  <c r="H124" i="60"/>
  <c r="H125" i="60"/>
  <c r="H126" i="60"/>
  <c r="H127" i="60"/>
  <c r="H128" i="60"/>
  <c r="H129" i="60"/>
  <c r="H130" i="60"/>
  <c r="H131" i="60"/>
  <c r="H132" i="60"/>
  <c r="H133" i="60"/>
  <c r="H134" i="60"/>
  <c r="H135" i="60"/>
  <c r="H136" i="60"/>
  <c r="H137" i="60"/>
  <c r="H138" i="60"/>
  <c r="H139" i="60"/>
  <c r="H140" i="60"/>
  <c r="H141" i="60"/>
  <c r="H142" i="60"/>
  <c r="H143" i="60"/>
  <c r="H144" i="60"/>
  <c r="H145" i="60"/>
  <c r="H146" i="60"/>
  <c r="H147" i="60"/>
  <c r="H148" i="60"/>
  <c r="H149" i="60"/>
  <c r="H150" i="60"/>
  <c r="H151" i="60"/>
  <c r="H152" i="60"/>
  <c r="H153" i="60"/>
  <c r="H154" i="60"/>
  <c r="H155" i="60"/>
  <c r="H156" i="60"/>
  <c r="H157" i="60"/>
  <c r="H158" i="60"/>
  <c r="H159" i="60"/>
  <c r="H160" i="60"/>
  <c r="H161" i="60"/>
  <c r="H162" i="60"/>
  <c r="H163" i="60"/>
  <c r="H164" i="60"/>
  <c r="H165" i="60"/>
  <c r="H166" i="60"/>
  <c r="H167" i="60"/>
  <c r="H168" i="60"/>
  <c r="H169" i="60"/>
  <c r="H170" i="60"/>
  <c r="H171" i="60"/>
  <c r="H172" i="60"/>
  <c r="H173" i="60"/>
  <c r="H174" i="60"/>
  <c r="H175" i="60"/>
  <c r="H176" i="60"/>
  <c r="H177" i="60"/>
  <c r="H178" i="60"/>
  <c r="H179" i="60"/>
  <c r="H180" i="60"/>
  <c r="H181" i="60"/>
  <c r="H182" i="60"/>
  <c r="H183" i="60"/>
  <c r="H184" i="60"/>
  <c r="H185" i="60"/>
  <c r="H186" i="60"/>
  <c r="H187" i="60"/>
  <c r="H188" i="60"/>
  <c r="H189" i="60"/>
  <c r="H190" i="60"/>
  <c r="H191" i="60"/>
  <c r="H192" i="60"/>
  <c r="H193" i="60"/>
  <c r="H194" i="60"/>
  <c r="H195" i="60"/>
  <c r="H196" i="60"/>
  <c r="H197" i="60"/>
  <c r="H198" i="60"/>
  <c r="H199" i="60"/>
  <c r="H200" i="60"/>
  <c r="H201" i="60"/>
  <c r="H202" i="60"/>
  <c r="H203" i="60"/>
  <c r="H204" i="60"/>
  <c r="H205" i="60"/>
  <c r="H206" i="60"/>
  <c r="H207" i="60"/>
  <c r="H208" i="60"/>
  <c r="H209" i="60"/>
  <c r="H210" i="60"/>
  <c r="H211" i="60"/>
  <c r="H212" i="60"/>
  <c r="H213" i="60"/>
  <c r="H214" i="60"/>
  <c r="H215" i="60"/>
  <c r="H216" i="60"/>
  <c r="H217" i="60"/>
  <c r="H218" i="60"/>
  <c r="H219" i="60"/>
  <c r="H220" i="60"/>
  <c r="H221" i="60"/>
  <c r="H222" i="60"/>
  <c r="H223" i="60"/>
  <c r="H224" i="60"/>
  <c r="H225" i="60"/>
  <c r="H226" i="60"/>
  <c r="H227" i="60"/>
  <c r="H228" i="60"/>
  <c r="H229" i="60"/>
  <c r="H230" i="60"/>
  <c r="H231" i="60"/>
  <c r="H232" i="60"/>
  <c r="H233" i="60"/>
  <c r="H234" i="60"/>
  <c r="H235" i="60"/>
  <c r="H236" i="60"/>
  <c r="H237" i="60"/>
  <c r="H238" i="60"/>
  <c r="H239" i="60"/>
  <c r="H240" i="60"/>
  <c r="H241" i="60"/>
  <c r="H242" i="60"/>
  <c r="H243" i="60"/>
  <c r="H244" i="60"/>
  <c r="H245" i="60"/>
  <c r="H246" i="60"/>
  <c r="H247" i="60"/>
  <c r="H248" i="60"/>
  <c r="H249" i="60"/>
  <c r="H250" i="60"/>
  <c r="H251" i="60"/>
  <c r="H252" i="60"/>
  <c r="H253" i="60"/>
  <c r="H254" i="60"/>
  <c r="H255" i="60"/>
  <c r="H256" i="60"/>
  <c r="H257" i="60"/>
  <c r="H258" i="60"/>
  <c r="H259" i="60"/>
  <c r="H260" i="60"/>
  <c r="H261" i="60"/>
  <c r="H262" i="60"/>
  <c r="H263" i="60"/>
  <c r="H264" i="60"/>
  <c r="H265" i="60"/>
  <c r="H266" i="60"/>
  <c r="H267" i="60"/>
  <c r="H268" i="60"/>
  <c r="H269" i="60"/>
  <c r="H270" i="60"/>
  <c r="H271" i="60"/>
  <c r="H272" i="60"/>
  <c r="H273" i="60"/>
  <c r="H274" i="60"/>
  <c r="H275" i="60"/>
  <c r="H276" i="60"/>
  <c r="H277" i="60"/>
  <c r="H278" i="60"/>
  <c r="H279" i="60"/>
  <c r="H280" i="60"/>
  <c r="H281" i="60"/>
  <c r="H282" i="60"/>
  <c r="H283" i="60"/>
  <c r="H284" i="60"/>
  <c r="H285" i="60"/>
  <c r="H286" i="60"/>
  <c r="H287" i="60"/>
  <c r="H288" i="60"/>
  <c r="H289" i="60"/>
  <c r="H290" i="60"/>
  <c r="H291" i="60"/>
  <c r="H292" i="60"/>
  <c r="H293" i="60"/>
  <c r="H294" i="60"/>
  <c r="H295" i="60"/>
  <c r="H296" i="60"/>
  <c r="H297" i="60"/>
  <c r="H298" i="60"/>
  <c r="H299" i="60"/>
  <c r="H300" i="60"/>
  <c r="H301" i="60"/>
  <c r="H302" i="60"/>
  <c r="H303" i="60"/>
  <c r="H304" i="60"/>
  <c r="H305" i="60"/>
  <c r="H306" i="60"/>
  <c r="H307" i="60"/>
  <c r="H308" i="60"/>
  <c r="H309" i="60"/>
  <c r="H310" i="60"/>
  <c r="H311" i="60"/>
  <c r="H312" i="60"/>
  <c r="H313" i="60"/>
  <c r="H314" i="60"/>
  <c r="H315" i="60"/>
  <c r="H316" i="60"/>
  <c r="H317" i="60"/>
  <c r="H318" i="60"/>
  <c r="H319" i="60"/>
  <c r="H320" i="60"/>
  <c r="H321" i="60"/>
  <c r="H322" i="60"/>
  <c r="H323" i="60"/>
  <c r="H324" i="60"/>
  <c r="H325" i="60"/>
  <c r="H326" i="60"/>
  <c r="H327" i="60"/>
  <c r="H328" i="60"/>
  <c r="H329" i="60"/>
  <c r="H330" i="60"/>
  <c r="H331" i="60"/>
  <c r="H332" i="60"/>
  <c r="H333" i="60"/>
  <c r="H334" i="60"/>
  <c r="H335" i="60"/>
  <c r="H336" i="60"/>
  <c r="H337" i="60"/>
  <c r="H338" i="60"/>
  <c r="H339" i="60"/>
  <c r="H340" i="60"/>
  <c r="H341" i="60"/>
  <c r="H342" i="60"/>
  <c r="H343" i="60"/>
  <c r="H344" i="60"/>
  <c r="H345" i="60"/>
  <c r="H346" i="60"/>
  <c r="H347" i="60"/>
  <c r="H348" i="60"/>
  <c r="H349" i="60"/>
  <c r="H350" i="60"/>
  <c r="H351" i="60"/>
  <c r="H352" i="60"/>
  <c r="H353" i="60"/>
  <c r="H354" i="60"/>
  <c r="H355" i="60"/>
  <c r="H356" i="60"/>
  <c r="H357" i="60"/>
  <c r="H358" i="60"/>
  <c r="H359" i="60"/>
  <c r="H360" i="60"/>
  <c r="H361" i="60"/>
  <c r="H362" i="60"/>
  <c r="H363" i="60"/>
  <c r="H364" i="60"/>
  <c r="H365" i="60"/>
  <c r="H366" i="60"/>
  <c r="H367" i="60"/>
  <c r="H368" i="60"/>
  <c r="H369" i="60"/>
  <c r="H370" i="60"/>
  <c r="H371" i="60"/>
  <c r="H372" i="60"/>
  <c r="H373" i="60"/>
  <c r="H374" i="60"/>
  <c r="H375" i="60"/>
  <c r="H376" i="60"/>
  <c r="H377" i="60"/>
  <c r="H378" i="60"/>
  <c r="H379" i="60"/>
  <c r="H380" i="60"/>
  <c r="H381" i="60"/>
  <c r="H382" i="60"/>
  <c r="H383" i="60"/>
  <c r="H384" i="60"/>
  <c r="H385" i="60"/>
  <c r="H386" i="60"/>
  <c r="H387" i="60"/>
  <c r="H388" i="60"/>
  <c r="H389" i="60"/>
  <c r="H390" i="60"/>
  <c r="H391" i="60"/>
  <c r="H392" i="60"/>
  <c r="H393" i="60"/>
  <c r="H394" i="60"/>
  <c r="H395" i="60"/>
  <c r="H396" i="60"/>
  <c r="H397" i="60"/>
  <c r="H398" i="60"/>
  <c r="H399" i="60"/>
  <c r="H400" i="60"/>
  <c r="H401" i="60"/>
  <c r="H402" i="60"/>
  <c r="H403" i="60"/>
  <c r="H404" i="60"/>
  <c r="H405" i="60"/>
  <c r="H406" i="60"/>
  <c r="H407" i="60"/>
  <c r="H408" i="60"/>
  <c r="H409" i="60"/>
  <c r="H410" i="60"/>
  <c r="H411" i="60"/>
  <c r="H412" i="60"/>
  <c r="H413" i="60"/>
  <c r="H414" i="60"/>
  <c r="H415" i="60"/>
  <c r="H416" i="60"/>
  <c r="H417" i="60"/>
  <c r="H418" i="60"/>
  <c r="H419" i="60"/>
  <c r="H420" i="60"/>
  <c r="H421" i="60"/>
  <c r="H422" i="60"/>
  <c r="H423" i="60"/>
  <c r="H424" i="60"/>
  <c r="H425" i="60"/>
  <c r="H426" i="60"/>
  <c r="H427" i="60"/>
  <c r="H428" i="60"/>
  <c r="H429" i="60"/>
  <c r="H430" i="60"/>
  <c r="H431" i="60"/>
  <c r="H432" i="60"/>
  <c r="H433" i="60"/>
  <c r="H434" i="60"/>
  <c r="H435" i="60"/>
  <c r="H436" i="60"/>
  <c r="H437" i="60"/>
  <c r="H438" i="60"/>
  <c r="H439" i="60"/>
  <c r="H440" i="60"/>
  <c r="H441" i="60"/>
  <c r="H442" i="60"/>
  <c r="H443" i="60"/>
  <c r="H444" i="60"/>
  <c r="H445" i="60"/>
  <c r="H446" i="60"/>
  <c r="H447" i="60"/>
  <c r="H448" i="60"/>
  <c r="H449" i="60"/>
  <c r="H450" i="60"/>
  <c r="H451" i="60"/>
  <c r="H452" i="60"/>
  <c r="H453" i="60"/>
  <c r="H454" i="60"/>
  <c r="H455" i="60"/>
  <c r="H456" i="60"/>
  <c r="H457" i="60"/>
  <c r="H458" i="60"/>
  <c r="H459" i="60"/>
  <c r="H460" i="60"/>
  <c r="H461" i="60"/>
  <c r="H462" i="60"/>
  <c r="H463" i="60"/>
  <c r="H464" i="60"/>
  <c r="H465" i="60"/>
  <c r="H466" i="60"/>
  <c r="H467" i="60"/>
  <c r="H468" i="60"/>
  <c r="H469" i="60"/>
  <c r="H470" i="60"/>
  <c r="H471" i="60"/>
  <c r="H472" i="60"/>
  <c r="H473" i="60"/>
  <c r="H474" i="60"/>
  <c r="H475" i="60"/>
  <c r="H476" i="60"/>
  <c r="H477" i="60"/>
  <c r="H478" i="60"/>
  <c r="H479" i="60"/>
  <c r="H480" i="60"/>
  <c r="H481" i="60"/>
  <c r="H482" i="60"/>
  <c r="H483" i="60"/>
  <c r="H484" i="60"/>
  <c r="H485" i="60"/>
  <c r="H486" i="60"/>
  <c r="H487" i="60"/>
  <c r="H488" i="60"/>
  <c r="H489" i="60"/>
  <c r="H490" i="60"/>
  <c r="H491" i="60"/>
  <c r="H492" i="60"/>
  <c r="H493" i="60"/>
  <c r="H494" i="60"/>
  <c r="H495" i="60"/>
  <c r="H496" i="60"/>
  <c r="H497" i="60"/>
  <c r="H498" i="60"/>
  <c r="H499" i="60"/>
  <c r="H500" i="60"/>
  <c r="H501" i="60"/>
  <c r="H502" i="60"/>
  <c r="H503" i="60"/>
  <c r="H504" i="60"/>
  <c r="H505" i="60"/>
  <c r="H506" i="60"/>
  <c r="H507" i="60"/>
  <c r="H508" i="60"/>
  <c r="H509" i="60"/>
  <c r="H510" i="60"/>
  <c r="H511" i="60"/>
  <c r="H512" i="60"/>
  <c r="H513" i="60"/>
  <c r="H514" i="60"/>
  <c r="H515" i="60"/>
  <c r="H516" i="60"/>
  <c r="H517" i="60"/>
  <c r="H518" i="60"/>
  <c r="H519" i="60"/>
  <c r="H520" i="60"/>
  <c r="H521" i="60"/>
  <c r="H522" i="60"/>
  <c r="H523" i="60"/>
  <c r="H524" i="60"/>
  <c r="H525" i="60"/>
  <c r="H526" i="60"/>
  <c r="H527" i="60"/>
  <c r="H528" i="60"/>
  <c r="H529" i="60"/>
  <c r="H530" i="60"/>
  <c r="H531" i="60"/>
  <c r="H532" i="60"/>
  <c r="H533" i="60"/>
  <c r="H534" i="60"/>
  <c r="H535" i="60"/>
  <c r="H536" i="60"/>
  <c r="H537" i="60"/>
  <c r="H538" i="60"/>
  <c r="H539" i="60"/>
  <c r="H540" i="60"/>
  <c r="H541" i="60"/>
  <c r="H542" i="60"/>
  <c r="H543" i="60"/>
  <c r="H544" i="60"/>
  <c r="H545" i="60"/>
  <c r="H546" i="60"/>
  <c r="H547" i="60"/>
  <c r="H548" i="60"/>
  <c r="H549" i="60"/>
  <c r="H550" i="60"/>
  <c r="H551" i="60"/>
  <c r="H552" i="60"/>
  <c r="H553" i="60"/>
  <c r="H554" i="60"/>
  <c r="H555" i="60"/>
  <c r="H556" i="60"/>
  <c r="H557" i="60"/>
  <c r="H4" i="60"/>
  <c r="D574" i="4"/>
  <c r="D573" i="4"/>
  <c r="D572" i="4"/>
  <c r="D571" i="4"/>
  <c r="D570" i="4"/>
  <c r="L574" i="4"/>
  <c r="L573" i="4"/>
  <c r="L572" i="4"/>
  <c r="L571" i="4"/>
  <c r="L570" i="4"/>
  <c r="L569" i="4"/>
  <c r="D569" i="4"/>
  <c r="D297" i="4"/>
  <c r="D296" i="4"/>
  <c r="L297" i="4"/>
  <c r="L296" i="4"/>
  <c r="L295" i="4"/>
  <c r="D295" i="4"/>
  <c r="D267" i="4"/>
  <c r="D266" i="4"/>
  <c r="D265" i="4"/>
  <c r="L267" i="4"/>
  <c r="L266" i="4"/>
  <c r="L265" i="4"/>
  <c r="L264" i="4"/>
  <c r="L263" i="4"/>
  <c r="R267" i="4"/>
  <c r="S267" i="4"/>
  <c r="T267" i="4"/>
  <c r="U267" i="4"/>
  <c r="V267" i="4"/>
  <c r="R266" i="4"/>
  <c r="S266" i="4"/>
  <c r="T266" i="4"/>
  <c r="U266" i="4"/>
  <c r="V266" i="4"/>
  <c r="R265" i="4"/>
  <c r="S265" i="4"/>
  <c r="T265" i="4"/>
  <c r="U265" i="4"/>
  <c r="V265" i="4"/>
  <c r="R264" i="4"/>
  <c r="S264" i="4"/>
  <c r="T264" i="4"/>
  <c r="U264" i="4"/>
  <c r="V264" i="4"/>
  <c r="R263" i="4"/>
  <c r="S263" i="4"/>
  <c r="T263" i="4"/>
  <c r="U263" i="4"/>
  <c r="V263" i="4"/>
  <c r="D264" i="4"/>
  <c r="D263" i="4"/>
  <c r="L262" i="4"/>
  <c r="R262" i="4"/>
  <c r="S262" i="4"/>
  <c r="T262" i="4"/>
  <c r="U262" i="4"/>
  <c r="V262" i="4"/>
  <c r="D262" i="4"/>
  <c r="L190" i="4"/>
  <c r="L189" i="4"/>
  <c r="D190" i="4"/>
  <c r="D189" i="4"/>
  <c r="D182" i="4"/>
  <c r="D181" i="4"/>
  <c r="D180" i="4"/>
  <c r="L182" i="4"/>
  <c r="D179" i="4"/>
  <c r="D184" i="4"/>
  <c r="L184" i="4"/>
  <c r="L179" i="4"/>
  <c r="L180" i="4"/>
  <c r="L181" i="4"/>
  <c r="L183" i="4"/>
  <c r="D183" i="4"/>
  <c r="D177" i="4"/>
  <c r="D176" i="4"/>
  <c r="L177" i="4"/>
  <c r="L176" i="4"/>
  <c r="L175" i="4"/>
  <c r="D175" i="4"/>
  <c r="D174" i="4"/>
  <c r="D173" i="4"/>
  <c r="L174" i="4"/>
  <c r="L173" i="4"/>
  <c r="L172" i="4"/>
  <c r="D172" i="4"/>
  <c r="D171" i="4"/>
  <c r="D170" i="4"/>
  <c r="D169" i="4"/>
  <c r="L171" i="4"/>
  <c r="L170" i="4"/>
  <c r="L169" i="4"/>
  <c r="L168" i="4"/>
  <c r="D168" i="4"/>
  <c r="D167" i="4"/>
  <c r="D166" i="4"/>
  <c r="D165" i="4"/>
  <c r="D164" i="4"/>
  <c r="D163" i="4"/>
  <c r="L167" i="4"/>
  <c r="L166" i="4"/>
  <c r="L165" i="4"/>
  <c r="L164" i="4"/>
  <c r="L163" i="4"/>
  <c r="L162" i="4"/>
  <c r="D162" i="4"/>
  <c r="D160" i="4"/>
  <c r="D159" i="4"/>
  <c r="D158" i="4"/>
  <c r="L160" i="4"/>
  <c r="L159" i="4"/>
  <c r="L158" i="4"/>
  <c r="L157" i="4"/>
  <c r="D157" i="4"/>
  <c r="L156" i="4"/>
  <c r="D156" i="4"/>
  <c r="L155" i="4"/>
  <c r="L154" i="4"/>
  <c r="L153" i="4"/>
  <c r="L152" i="4"/>
  <c r="D155" i="4"/>
  <c r="D154" i="4"/>
  <c r="D153" i="4"/>
  <c r="D152" i="4"/>
  <c r="L151" i="4"/>
  <c r="D151" i="4"/>
  <c r="D150" i="4"/>
  <c r="D149" i="4"/>
  <c r="L150" i="4"/>
  <c r="L149" i="4"/>
  <c r="L148" i="4"/>
  <c r="D148" i="4"/>
  <c r="D147" i="4"/>
  <c r="L147" i="4"/>
  <c r="L146" i="4"/>
  <c r="D146" i="4"/>
  <c r="L145" i="4"/>
  <c r="L144" i="4"/>
  <c r="L143" i="4"/>
  <c r="D145" i="4"/>
  <c r="D144" i="4"/>
  <c r="D143" i="4"/>
  <c r="D142" i="4"/>
  <c r="D141" i="4"/>
  <c r="D140" i="4"/>
  <c r="D139" i="4"/>
  <c r="D138" i="4"/>
  <c r="D137" i="4"/>
  <c r="D136" i="4"/>
  <c r="L142" i="4"/>
  <c r="L141" i="4"/>
  <c r="L140" i="4"/>
  <c r="L139" i="4"/>
  <c r="L138" i="4"/>
  <c r="L137" i="4"/>
  <c r="L136" i="4"/>
  <c r="L135" i="4"/>
  <c r="D135" i="4"/>
  <c r="O1437" i="4"/>
  <c r="L1437" i="4"/>
  <c r="R1437" i="4"/>
  <c r="S1437" i="4"/>
  <c r="T1437" i="4"/>
  <c r="U1437" i="4"/>
  <c r="V1437" i="4"/>
  <c r="D1437" i="4"/>
  <c r="D134" i="4"/>
  <c r="D133" i="4"/>
  <c r="D132" i="4"/>
  <c r="D131" i="4"/>
  <c r="L129" i="4"/>
  <c r="L130" i="4"/>
  <c r="L131" i="4"/>
  <c r="L132" i="4"/>
  <c r="L133" i="4"/>
  <c r="L134" i="4"/>
  <c r="L128" i="4"/>
  <c r="D130" i="4"/>
  <c r="D129" i="4"/>
  <c r="D128" i="4"/>
  <c r="L127" i="4"/>
  <c r="L126" i="4"/>
  <c r="L125" i="4"/>
  <c r="L124" i="4"/>
  <c r="L123" i="4"/>
  <c r="L122" i="4"/>
  <c r="D127" i="4"/>
  <c r="D126" i="4"/>
  <c r="D125" i="4"/>
  <c r="D124" i="4"/>
  <c r="D123" i="4"/>
  <c r="D122" i="4"/>
  <c r="D121" i="4"/>
  <c r="D120" i="4"/>
  <c r="D119" i="4"/>
  <c r="L121" i="4"/>
  <c r="L120" i="4"/>
  <c r="L119" i="4"/>
  <c r="L118" i="4"/>
  <c r="D118" i="4"/>
  <c r="D117" i="4"/>
  <c r="L117" i="4"/>
  <c r="L116" i="4"/>
  <c r="D116" i="4"/>
  <c r="L115" i="4"/>
  <c r="D115" i="4"/>
  <c r="L114" i="4"/>
  <c r="L113" i="4"/>
  <c r="L112" i="4"/>
  <c r="D114" i="4"/>
  <c r="D113" i="4"/>
  <c r="D112" i="4"/>
  <c r="D111" i="4"/>
  <c r="D110" i="4"/>
  <c r="D109" i="4"/>
  <c r="L111" i="4"/>
  <c r="L110" i="4"/>
  <c r="L109" i="4"/>
  <c r="L108" i="4"/>
  <c r="D108" i="4"/>
  <c r="D107" i="4"/>
  <c r="D106" i="4"/>
  <c r="L107" i="4"/>
  <c r="L106" i="4"/>
  <c r="L105" i="4"/>
  <c r="D105" i="4"/>
  <c r="L104" i="4"/>
  <c r="L103" i="4"/>
  <c r="L102" i="4"/>
  <c r="L101" i="4"/>
  <c r="L100" i="4"/>
  <c r="D104" i="4"/>
  <c r="D103" i="4"/>
  <c r="D102" i="4"/>
  <c r="D101" i="4"/>
  <c r="D100" i="4"/>
  <c r="L93" i="4"/>
  <c r="D96" i="4"/>
  <c r="D95" i="4"/>
  <c r="D94" i="4"/>
  <c r="D93" i="4"/>
  <c r="D99" i="4"/>
  <c r="D98" i="4"/>
  <c r="L99" i="4"/>
  <c r="L98" i="4"/>
  <c r="L97" i="4"/>
  <c r="D97" i="4"/>
  <c r="D92" i="4"/>
  <c r="D91" i="4"/>
  <c r="D90" i="4"/>
  <c r="L91" i="4"/>
  <c r="L92" i="4"/>
  <c r="L94" i="4"/>
  <c r="L95" i="4"/>
  <c r="L90" i="4"/>
  <c r="L89" i="4"/>
  <c r="D89" i="4"/>
  <c r="L88" i="4"/>
  <c r="L87" i="4"/>
  <c r="L86" i="4"/>
  <c r="D88" i="4"/>
  <c r="D87" i="4"/>
  <c r="D86" i="4"/>
  <c r="L85" i="4"/>
  <c r="L84" i="4"/>
  <c r="L83" i="4"/>
  <c r="D85" i="4"/>
  <c r="D84" i="4"/>
  <c r="D83" i="4"/>
  <c r="L82" i="4"/>
  <c r="D82" i="4"/>
  <c r="D81" i="4"/>
  <c r="L81" i="4"/>
  <c r="L80" i="4"/>
  <c r="D80" i="4"/>
  <c r="D79" i="4"/>
  <c r="D78" i="4"/>
  <c r="D77" i="4"/>
  <c r="D76" i="4"/>
  <c r="D75" i="4"/>
  <c r="L76" i="4"/>
  <c r="L75" i="4"/>
  <c r="L74" i="4"/>
  <c r="D74" i="4"/>
  <c r="D73" i="4"/>
  <c r="D72" i="4"/>
  <c r="D71" i="4"/>
  <c r="D70" i="4"/>
  <c r="D69" i="4"/>
  <c r="D68" i="4"/>
  <c r="L73" i="4"/>
  <c r="L77" i="4"/>
  <c r="L78" i="4"/>
  <c r="L79" i="4"/>
  <c r="L68" i="4"/>
  <c r="L69" i="4"/>
  <c r="L70" i="4"/>
  <c r="L71" i="4"/>
  <c r="L67" i="4"/>
  <c r="D67" i="4"/>
  <c r="D66" i="4"/>
  <c r="D65" i="4"/>
  <c r="D64" i="4"/>
  <c r="L64" i="4"/>
  <c r="L65" i="4"/>
  <c r="L66" i="4"/>
  <c r="L72" i="4"/>
  <c r="L63" i="4"/>
  <c r="D63" i="4"/>
  <c r="L62" i="4"/>
  <c r="L61" i="4"/>
  <c r="L60" i="4"/>
  <c r="L59" i="4"/>
  <c r="L58" i="4"/>
  <c r="L57" i="4"/>
  <c r="D62" i="4"/>
  <c r="D61" i="4"/>
  <c r="D60" i="4"/>
  <c r="D59" i="4"/>
  <c r="D58" i="4"/>
  <c r="D57" i="4"/>
  <c r="L56" i="4"/>
  <c r="D56" i="4"/>
  <c r="D55" i="4"/>
  <c r="L55" i="4"/>
  <c r="L54" i="4"/>
  <c r="L53" i="4"/>
  <c r="L52" i="4"/>
  <c r="L51" i="4"/>
  <c r="D54" i="4"/>
  <c r="D53" i="4"/>
  <c r="D52" i="4"/>
  <c r="D51" i="4"/>
  <c r="L50" i="4"/>
  <c r="L49" i="4"/>
  <c r="L48" i="4"/>
  <c r="L47" i="4"/>
  <c r="D50" i="4"/>
  <c r="D49" i="4"/>
  <c r="D48" i="4"/>
  <c r="D47" i="4"/>
  <c r="L46" i="4"/>
  <c r="L45" i="4"/>
  <c r="L44" i="4"/>
  <c r="D46" i="4"/>
  <c r="D45" i="4"/>
  <c r="D44" i="4"/>
  <c r="D43" i="4"/>
  <c r="D42" i="4"/>
  <c r="D41" i="4"/>
  <c r="D40" i="4"/>
  <c r="L43" i="4"/>
  <c r="L42" i="4"/>
  <c r="L41" i="4"/>
  <c r="L40" i="4"/>
  <c r="L39" i="4"/>
  <c r="D39" i="4"/>
  <c r="D38" i="4"/>
  <c r="D37" i="4"/>
  <c r="D36" i="4"/>
  <c r="D35" i="4"/>
  <c r="L38" i="4"/>
  <c r="L37" i="4"/>
  <c r="L36" i="4"/>
  <c r="L35" i="4"/>
  <c r="L34" i="4"/>
  <c r="D33" i="4"/>
  <c r="L33" i="4"/>
  <c r="L32" i="4"/>
  <c r="D34" i="4"/>
  <c r="D32" i="4"/>
  <c r="L31" i="4"/>
  <c r="L30" i="4"/>
  <c r="L29" i="4"/>
  <c r="L28" i="4"/>
  <c r="D31" i="4"/>
  <c r="D30" i="4"/>
  <c r="D29" i="4"/>
  <c r="D28" i="4"/>
  <c r="L27" i="4"/>
  <c r="L26" i="4"/>
  <c r="L25" i="4"/>
  <c r="L24" i="4"/>
  <c r="L23" i="4"/>
  <c r="D27" i="4"/>
  <c r="D26" i="4"/>
  <c r="D25" i="4"/>
  <c r="D24" i="4"/>
  <c r="D23" i="4"/>
  <c r="L22" i="4"/>
  <c r="L21" i="4"/>
  <c r="D22" i="4"/>
  <c r="D21" i="4"/>
  <c r="D19" i="4"/>
  <c r="D18" i="4"/>
  <c r="D17" i="4"/>
  <c r="L17" i="4"/>
  <c r="L19" i="4"/>
  <c r="L96" i="4"/>
  <c r="L16" i="4"/>
  <c r="D16" i="4"/>
  <c r="L20" i="4"/>
  <c r="D20" i="4"/>
  <c r="D5" i="4"/>
  <c r="D6" i="4"/>
  <c r="D7" i="4"/>
  <c r="D8" i="4"/>
  <c r="D9" i="4"/>
  <c r="D10" i="4"/>
  <c r="D11" i="4"/>
  <c r="D12" i="4"/>
  <c r="D13" i="4"/>
  <c r="D14" i="4"/>
  <c r="D15" i="4"/>
  <c r="D4" i="4"/>
  <c r="L15" i="4"/>
  <c r="L14" i="4"/>
  <c r="L13" i="4"/>
  <c r="L12" i="4"/>
  <c r="L11" i="4"/>
  <c r="L10" i="4"/>
  <c r="L9" i="4"/>
  <c r="L5" i="4"/>
  <c r="L6" i="4"/>
  <c r="L7" i="4"/>
  <c r="L8" i="4"/>
  <c r="L4" i="4"/>
  <c r="D3" i="4"/>
  <c r="L3" i="4"/>
  <c r="R3" i="4"/>
  <c r="S3" i="4"/>
  <c r="T3" i="4"/>
  <c r="U3" i="4"/>
  <c r="O1436" i="4"/>
  <c r="L1436" i="4"/>
  <c r="R1436" i="4"/>
  <c r="S1436" i="4"/>
  <c r="T1436" i="4"/>
  <c r="U1436" i="4"/>
  <c r="V1436" i="4"/>
  <c r="D1436" i="4"/>
  <c r="L1563" i="4"/>
  <c r="L248" i="4"/>
  <c r="L247" i="4"/>
  <c r="L243" i="4"/>
  <c r="L241" i="4"/>
  <c r="L239" i="4"/>
  <c r="L238" i="4"/>
  <c r="L235" i="4"/>
  <c r="L233" i="4"/>
  <c r="L232" i="4"/>
  <c r="L226" i="4"/>
  <c r="L225" i="4"/>
  <c r="L224" i="4"/>
  <c r="L223" i="4"/>
  <c r="L161" i="4"/>
  <c r="L202" i="4"/>
  <c r="L201" i="4"/>
  <c r="L186" i="4"/>
  <c r="L185" i="4"/>
  <c r="D1434" i="4"/>
  <c r="D1433" i="4"/>
  <c r="D1432" i="4"/>
  <c r="D1431" i="4"/>
  <c r="D1430" i="4"/>
  <c r="O1430" i="4"/>
  <c r="O1431" i="4"/>
  <c r="O1432" i="4"/>
  <c r="O1433" i="4"/>
  <c r="O1434" i="4"/>
  <c r="O1429" i="4"/>
  <c r="L1434" i="4"/>
  <c r="M1434" i="4" s="1"/>
  <c r="R1434" i="4"/>
  <c r="S1434" i="4"/>
  <c r="T1434" i="4"/>
  <c r="U1434" i="4"/>
  <c r="V1434" i="4"/>
  <c r="L1433" i="4"/>
  <c r="M1433" i="4" s="1"/>
  <c r="R1433" i="4"/>
  <c r="S1433" i="4"/>
  <c r="T1433" i="4"/>
  <c r="U1433" i="4"/>
  <c r="V1433" i="4"/>
  <c r="L1432" i="4"/>
  <c r="M1432" i="4" s="1"/>
  <c r="R1432" i="4"/>
  <c r="S1432" i="4"/>
  <c r="T1432" i="4"/>
  <c r="U1432" i="4"/>
  <c r="V1432" i="4"/>
  <c r="L1431" i="4"/>
  <c r="M1431" i="4" s="1"/>
  <c r="R1431" i="4"/>
  <c r="S1431" i="4"/>
  <c r="T1431" i="4"/>
  <c r="U1431" i="4"/>
  <c r="V1431" i="4"/>
  <c r="L1430" i="4"/>
  <c r="M1430" i="4" s="1"/>
  <c r="R1430" i="4"/>
  <c r="S1430" i="4"/>
  <c r="T1430" i="4"/>
  <c r="U1430" i="4"/>
  <c r="V1430" i="4"/>
  <c r="L1429" i="4"/>
  <c r="M1429" i="4" s="1"/>
  <c r="R1429" i="4"/>
  <c r="S1429" i="4"/>
  <c r="T1429" i="4"/>
  <c r="U1429" i="4"/>
  <c r="V1429" i="4"/>
  <c r="D1429" i="4"/>
  <c r="O1425" i="4"/>
  <c r="O1424" i="4"/>
  <c r="O1423" i="4"/>
  <c r="O1422" i="4"/>
  <c r="O1421" i="4"/>
  <c r="O1420" i="4"/>
  <c r="D1425" i="4"/>
  <c r="D1424" i="4"/>
  <c r="D1423" i="4"/>
  <c r="D1422" i="4"/>
  <c r="D1421" i="4"/>
  <c r="L1425" i="4"/>
  <c r="M1425" i="4" s="1"/>
  <c r="R1425" i="4"/>
  <c r="S1425" i="4"/>
  <c r="T1425" i="4"/>
  <c r="U1425" i="4"/>
  <c r="V1425" i="4"/>
  <c r="L1424" i="4"/>
  <c r="M1424" i="4" s="1"/>
  <c r="R1424" i="4"/>
  <c r="S1424" i="4"/>
  <c r="T1424" i="4"/>
  <c r="U1424" i="4"/>
  <c r="V1424" i="4"/>
  <c r="L1423" i="4"/>
  <c r="M1423" i="4" s="1"/>
  <c r="R1423" i="4"/>
  <c r="S1423" i="4"/>
  <c r="T1423" i="4"/>
  <c r="U1423" i="4"/>
  <c r="V1423" i="4"/>
  <c r="L1422" i="4"/>
  <c r="M1422" i="4" s="1"/>
  <c r="R1422" i="4"/>
  <c r="S1422" i="4"/>
  <c r="T1422" i="4"/>
  <c r="U1422" i="4"/>
  <c r="V1422" i="4"/>
  <c r="L1421" i="4"/>
  <c r="M1421" i="4" s="1"/>
  <c r="L1420" i="4"/>
  <c r="M1420" i="4" s="1"/>
  <c r="R1421" i="4"/>
  <c r="S1421" i="4"/>
  <c r="T1421" i="4"/>
  <c r="U1421" i="4"/>
  <c r="V1421" i="4"/>
  <c r="R1420" i="4"/>
  <c r="S1420" i="4"/>
  <c r="T1420" i="4"/>
  <c r="U1420" i="4"/>
  <c r="V1420" i="4"/>
  <c r="D1420" i="4"/>
  <c r="O1428" i="4"/>
  <c r="L1428" i="4"/>
  <c r="R1428" i="4"/>
  <c r="S1428" i="4"/>
  <c r="T1428" i="4"/>
  <c r="U1428" i="4"/>
  <c r="V1428" i="4"/>
  <c r="D1428" i="4"/>
  <c r="D1427" i="4"/>
  <c r="O1427" i="4"/>
  <c r="O1426" i="4"/>
  <c r="L1427" i="4"/>
  <c r="M1427" i="4" s="1"/>
  <c r="R1427" i="4"/>
  <c r="S1427" i="4"/>
  <c r="T1427" i="4"/>
  <c r="U1427" i="4"/>
  <c r="V1427" i="4"/>
  <c r="L1426" i="4"/>
  <c r="M1426" i="4" s="1"/>
  <c r="R1426" i="4"/>
  <c r="S1426" i="4"/>
  <c r="T1426" i="4"/>
  <c r="U1426" i="4"/>
  <c r="V1426" i="4"/>
  <c r="D1426" i="4"/>
  <c r="O1418" i="4"/>
  <c r="L1418" i="4"/>
  <c r="R1418" i="4"/>
  <c r="S1418" i="4"/>
  <c r="T1418" i="4"/>
  <c r="U1418" i="4"/>
  <c r="V1418" i="4"/>
  <c r="D1418" i="4"/>
  <c r="O1416" i="4"/>
  <c r="L1416" i="4"/>
  <c r="R1416" i="4"/>
  <c r="S1416" i="4"/>
  <c r="T1416" i="4"/>
  <c r="U1416" i="4"/>
  <c r="V1416" i="4"/>
  <c r="O1417" i="4"/>
  <c r="L1417" i="4"/>
  <c r="R1417" i="4"/>
  <c r="S1417" i="4"/>
  <c r="T1417" i="4"/>
  <c r="U1417" i="4"/>
  <c r="V1417" i="4"/>
  <c r="D1416" i="4"/>
  <c r="D1417" i="4"/>
  <c r="R1397" i="4"/>
  <c r="S1397" i="4"/>
  <c r="T1397" i="4"/>
  <c r="U1397" i="4"/>
  <c r="V1397" i="4"/>
  <c r="R1395" i="4"/>
  <c r="S1395" i="4"/>
  <c r="T1395" i="4"/>
  <c r="U1395" i="4"/>
  <c r="V1395" i="4"/>
  <c r="R1406" i="4"/>
  <c r="S1406" i="4"/>
  <c r="T1406" i="4"/>
  <c r="U1406" i="4"/>
  <c r="V1406" i="4"/>
  <c r="R1403" i="4"/>
  <c r="S1403" i="4"/>
  <c r="T1403" i="4"/>
  <c r="U1403" i="4"/>
  <c r="V1403" i="4"/>
  <c r="R1400" i="4"/>
  <c r="S1400" i="4"/>
  <c r="T1400" i="4"/>
  <c r="U1400" i="4"/>
  <c r="V1400" i="4"/>
  <c r="R1401" i="4"/>
  <c r="S1401" i="4"/>
  <c r="T1401" i="4"/>
  <c r="U1401" i="4"/>
  <c r="V1401" i="4"/>
  <c r="R1402" i="4"/>
  <c r="S1402" i="4"/>
  <c r="T1402" i="4"/>
  <c r="U1402" i="4"/>
  <c r="V1402" i="4"/>
  <c r="R1404" i="4"/>
  <c r="S1404" i="4"/>
  <c r="T1404" i="4"/>
  <c r="U1404" i="4"/>
  <c r="V1404" i="4"/>
  <c r="R1405" i="4"/>
  <c r="S1405" i="4"/>
  <c r="T1405" i="4"/>
  <c r="U1405" i="4"/>
  <c r="V1405" i="4"/>
  <c r="R1407" i="4"/>
  <c r="S1407" i="4"/>
  <c r="T1407" i="4"/>
  <c r="U1407" i="4"/>
  <c r="V1407" i="4"/>
  <c r="R1409" i="4"/>
  <c r="S1409" i="4"/>
  <c r="T1409" i="4"/>
  <c r="U1409" i="4"/>
  <c r="V1409" i="4"/>
  <c r="R1410" i="4"/>
  <c r="S1410" i="4"/>
  <c r="T1410" i="4"/>
  <c r="U1410" i="4"/>
  <c r="V1410" i="4"/>
  <c r="R1411" i="4"/>
  <c r="S1411" i="4"/>
  <c r="T1411" i="4"/>
  <c r="U1411" i="4"/>
  <c r="V1411" i="4"/>
  <c r="R1412" i="4"/>
  <c r="S1412" i="4"/>
  <c r="T1412" i="4"/>
  <c r="U1412" i="4"/>
  <c r="V1412" i="4"/>
  <c r="R1413" i="4"/>
  <c r="S1413" i="4"/>
  <c r="T1413" i="4"/>
  <c r="U1413" i="4"/>
  <c r="V1413" i="4"/>
  <c r="R1414" i="4"/>
  <c r="S1414" i="4"/>
  <c r="T1414" i="4"/>
  <c r="U1414" i="4"/>
  <c r="V1414" i="4"/>
  <c r="R1415" i="4"/>
  <c r="S1415" i="4"/>
  <c r="T1415" i="4"/>
  <c r="U1415" i="4"/>
  <c r="V1415" i="4"/>
  <c r="R1408" i="4"/>
  <c r="S1408" i="4"/>
  <c r="T1408" i="4"/>
  <c r="U1408" i="4"/>
  <c r="V1408" i="4"/>
  <c r="D1374" i="4"/>
  <c r="L1374" i="4"/>
  <c r="O1374" i="4"/>
  <c r="R1374" i="4"/>
  <c r="S1374" i="4"/>
  <c r="T1374" i="4"/>
  <c r="U1374" i="4"/>
  <c r="V1374" i="4"/>
  <c r="D1375" i="4"/>
  <c r="L1375" i="4"/>
  <c r="O1375" i="4"/>
  <c r="R1375" i="4"/>
  <c r="S1375" i="4"/>
  <c r="T1375" i="4"/>
  <c r="U1375" i="4"/>
  <c r="V1375" i="4"/>
  <c r="D1378" i="4"/>
  <c r="L1378" i="4"/>
  <c r="O1378" i="4"/>
  <c r="R1378" i="4"/>
  <c r="S1378" i="4"/>
  <c r="T1378" i="4"/>
  <c r="U1378" i="4"/>
  <c r="V1378" i="4"/>
  <c r="D1379" i="4"/>
  <c r="L1379" i="4"/>
  <c r="O1379" i="4"/>
  <c r="R1379" i="4"/>
  <c r="S1379" i="4"/>
  <c r="T1379" i="4"/>
  <c r="U1379" i="4"/>
  <c r="V1379" i="4"/>
  <c r="D1380" i="4"/>
  <c r="L1380" i="4"/>
  <c r="O1380" i="4"/>
  <c r="R1380" i="4"/>
  <c r="S1380" i="4"/>
  <c r="T1380" i="4"/>
  <c r="U1380" i="4"/>
  <c r="V1380" i="4"/>
  <c r="O1411" i="4"/>
  <c r="O1412" i="4"/>
  <c r="O1413" i="4"/>
  <c r="O1414" i="4"/>
  <c r="O1415" i="4"/>
  <c r="O1408" i="4"/>
  <c r="O1410" i="4"/>
  <c r="L1408" i="4"/>
  <c r="L1415" i="4"/>
  <c r="M1415" i="4" s="1"/>
  <c r="L1414" i="4"/>
  <c r="M1414" i="4" s="1"/>
  <c r="L1413" i="4"/>
  <c r="M1413" i="4" s="1"/>
  <c r="L1412" i="4"/>
  <c r="M1412" i="4" s="1"/>
  <c r="D1414" i="4"/>
  <c r="L1411" i="4"/>
  <c r="M1411" i="4" s="1"/>
  <c r="L1410" i="4"/>
  <c r="M1410" i="4" s="1"/>
  <c r="D1415" i="4"/>
  <c r="D1413" i="4"/>
  <c r="D1412" i="4"/>
  <c r="D1411" i="4"/>
  <c r="D1408" i="4"/>
  <c r="D1410" i="4"/>
  <c r="O1409" i="4"/>
  <c r="L1409" i="4"/>
  <c r="D1409" i="4"/>
  <c r="O1407" i="4"/>
  <c r="L1407" i="4"/>
  <c r="D1407" i="4"/>
  <c r="D1405" i="4"/>
  <c r="O1405" i="4"/>
  <c r="O1404" i="4"/>
  <c r="L1405" i="4"/>
  <c r="L1404" i="4"/>
  <c r="D1404" i="4"/>
  <c r="D1402" i="4"/>
  <c r="O1402" i="4"/>
  <c r="O1401" i="4"/>
  <c r="L1402" i="4"/>
  <c r="L1401" i="4"/>
  <c r="D1401" i="4"/>
  <c r="O1400" i="4"/>
  <c r="L1400" i="4"/>
  <c r="D1400" i="4"/>
  <c r="O1403" i="4"/>
  <c r="L1403" i="4"/>
  <c r="D1403" i="4"/>
  <c r="O1397" i="4"/>
  <c r="O1395" i="4"/>
  <c r="O1406" i="4"/>
  <c r="L1406" i="4"/>
  <c r="D1406" i="4"/>
  <c r="L1395" i="4"/>
  <c r="D1395" i="4"/>
  <c r="O1398" i="4"/>
  <c r="D1398" i="4"/>
  <c r="D1397" i="4"/>
  <c r="O1396" i="4"/>
  <c r="L1397" i="4"/>
  <c r="M1397" i="4" s="1"/>
  <c r="L1398" i="4"/>
  <c r="M1398" i="4" s="1"/>
  <c r="L1396" i="4"/>
  <c r="M1396" i="4" s="1"/>
  <c r="R1398" i="4"/>
  <c r="S1398" i="4"/>
  <c r="T1398" i="4"/>
  <c r="U1398" i="4"/>
  <c r="V1398" i="4"/>
  <c r="R1396" i="4"/>
  <c r="S1396" i="4"/>
  <c r="T1396" i="4"/>
  <c r="U1396" i="4"/>
  <c r="V1396" i="4"/>
  <c r="D1396" i="4"/>
  <c r="L222" i="4"/>
  <c r="L217" i="4"/>
  <c r="L203" i="4"/>
  <c r="L204" i="4"/>
  <c r="L205" i="4"/>
  <c r="D1311" i="4"/>
  <c r="O1391" i="4"/>
  <c r="L1391" i="4"/>
  <c r="R1391" i="4"/>
  <c r="S1391" i="4"/>
  <c r="T1391" i="4"/>
  <c r="U1391" i="4"/>
  <c r="V1391" i="4"/>
  <c r="D1391" i="4"/>
  <c r="O1394" i="4"/>
  <c r="O1393" i="4"/>
  <c r="O1392" i="4"/>
  <c r="D1394" i="4"/>
  <c r="D1393" i="4"/>
  <c r="L1394" i="4"/>
  <c r="M1394" i="4" s="1"/>
  <c r="L1393" i="4"/>
  <c r="M1393" i="4" s="1"/>
  <c r="R1394" i="4"/>
  <c r="S1394" i="4"/>
  <c r="T1394" i="4"/>
  <c r="U1394" i="4"/>
  <c r="V1394" i="4"/>
  <c r="R1393" i="4"/>
  <c r="S1393" i="4"/>
  <c r="T1393" i="4"/>
  <c r="U1393" i="4"/>
  <c r="V1393" i="4"/>
  <c r="L1392" i="4"/>
  <c r="R1392" i="4"/>
  <c r="S1392" i="4"/>
  <c r="T1392" i="4"/>
  <c r="U1392" i="4"/>
  <c r="V1392" i="4"/>
  <c r="D1392" i="4"/>
  <c r="L212" i="4"/>
  <c r="D323" i="4"/>
  <c r="O1388" i="4"/>
  <c r="O1389" i="4"/>
  <c r="D1389" i="4"/>
  <c r="D1388" i="4"/>
  <c r="O1387" i="4"/>
  <c r="L1389" i="4"/>
  <c r="R1389" i="4"/>
  <c r="S1389" i="4"/>
  <c r="T1389" i="4"/>
  <c r="U1389" i="4"/>
  <c r="V1389" i="4"/>
  <c r="L1388" i="4"/>
  <c r="R1388" i="4"/>
  <c r="S1388" i="4"/>
  <c r="T1388" i="4"/>
  <c r="U1388" i="4"/>
  <c r="V1388" i="4"/>
  <c r="L1387" i="4"/>
  <c r="R1387" i="4"/>
  <c r="S1387" i="4"/>
  <c r="T1387" i="4"/>
  <c r="U1387" i="4"/>
  <c r="V1387" i="4"/>
  <c r="D1387" i="4"/>
  <c r="O1390" i="4"/>
  <c r="L1390" i="4"/>
  <c r="R1390" i="4"/>
  <c r="S1390" i="4"/>
  <c r="T1390" i="4"/>
  <c r="U1390" i="4"/>
  <c r="V1390" i="4"/>
  <c r="D1390" i="4"/>
  <c r="O1386" i="4"/>
  <c r="O1385" i="4"/>
  <c r="O1384" i="4"/>
  <c r="O1383" i="4"/>
  <c r="O1382" i="4"/>
  <c r="L1386" i="4"/>
  <c r="L1385" i="4"/>
  <c r="R1386" i="4"/>
  <c r="S1386" i="4"/>
  <c r="T1386" i="4"/>
  <c r="U1386" i="4"/>
  <c r="V1386" i="4"/>
  <c r="R1385" i="4"/>
  <c r="S1385" i="4"/>
  <c r="T1385" i="4"/>
  <c r="U1385" i="4"/>
  <c r="V1385" i="4"/>
  <c r="L1384" i="4"/>
  <c r="R1384" i="4"/>
  <c r="S1384" i="4"/>
  <c r="T1384" i="4"/>
  <c r="U1384" i="4"/>
  <c r="V1384" i="4"/>
  <c r="L1383" i="4"/>
  <c r="R1383" i="4"/>
  <c r="S1383" i="4"/>
  <c r="T1383" i="4"/>
  <c r="U1383" i="4"/>
  <c r="V1383" i="4"/>
  <c r="D1386" i="4"/>
  <c r="D1385" i="4"/>
  <c r="D1384" i="4"/>
  <c r="D1383" i="4"/>
  <c r="L1382" i="4"/>
  <c r="R1382" i="4"/>
  <c r="S1382" i="4"/>
  <c r="T1382" i="4"/>
  <c r="U1382" i="4"/>
  <c r="V1382" i="4"/>
  <c r="D1382" i="4"/>
  <c r="O1381" i="4"/>
  <c r="L1381" i="4"/>
  <c r="R1381" i="4"/>
  <c r="S1381" i="4"/>
  <c r="T1381" i="4"/>
  <c r="U1381" i="4"/>
  <c r="V1381" i="4"/>
  <c r="D1381" i="4"/>
  <c r="O1376" i="4"/>
  <c r="L1376" i="4"/>
  <c r="R1376" i="4"/>
  <c r="S1376" i="4"/>
  <c r="T1376" i="4"/>
  <c r="U1376" i="4"/>
  <c r="V1376" i="4"/>
  <c r="D1376" i="4"/>
  <c r="R1372" i="4"/>
  <c r="S1372" i="4"/>
  <c r="T1372" i="4"/>
  <c r="R1373" i="4"/>
  <c r="S1373" i="4"/>
  <c r="T1373" i="4"/>
  <c r="R1377" i="4"/>
  <c r="S1377" i="4"/>
  <c r="T1377" i="4"/>
  <c r="O1377" i="4"/>
  <c r="L1377" i="4"/>
  <c r="U1377" i="4"/>
  <c r="V1377" i="4"/>
  <c r="D1377" i="4"/>
  <c r="O1373" i="4"/>
  <c r="L1373" i="4"/>
  <c r="U1373" i="4"/>
  <c r="V1373" i="4"/>
  <c r="D1373" i="4"/>
  <c r="E11" i="34"/>
  <c r="E12" i="34"/>
  <c r="D1372" i="4"/>
  <c r="D336" i="4"/>
  <c r="O1372" i="4"/>
  <c r="L1372" i="4"/>
  <c r="U1372" i="4"/>
  <c r="V1372" i="4"/>
  <c r="O1367" i="4"/>
  <c r="L1367" i="4"/>
  <c r="R1367" i="4"/>
  <c r="S1367" i="4"/>
  <c r="T1367" i="4"/>
  <c r="U1367" i="4"/>
  <c r="V1367" i="4"/>
  <c r="D1367" i="4"/>
  <c r="O1363" i="4"/>
  <c r="L1363" i="4"/>
  <c r="M1363" i="4" s="1"/>
  <c r="R1363" i="4"/>
  <c r="S1363" i="4"/>
  <c r="T1363" i="4"/>
  <c r="U1363" i="4"/>
  <c r="V1363" i="4"/>
  <c r="D1363" i="4"/>
  <c r="O1366" i="4"/>
  <c r="O1365" i="4"/>
  <c r="O1364" i="4"/>
  <c r="L1366" i="4"/>
  <c r="L1365" i="4"/>
  <c r="L1364" i="4"/>
  <c r="R1366" i="4"/>
  <c r="S1366" i="4"/>
  <c r="T1366" i="4"/>
  <c r="U1366" i="4"/>
  <c r="V1366" i="4"/>
  <c r="R1365" i="4"/>
  <c r="S1365" i="4"/>
  <c r="T1365" i="4"/>
  <c r="U1365" i="4"/>
  <c r="V1365" i="4"/>
  <c r="R1364" i="4"/>
  <c r="S1364" i="4"/>
  <c r="T1364" i="4"/>
  <c r="U1364" i="4"/>
  <c r="V1364" i="4"/>
  <c r="D1366" i="4"/>
  <c r="D1365" i="4"/>
  <c r="D1364" i="4"/>
  <c r="O1362" i="4"/>
  <c r="L1362" i="4"/>
  <c r="R1362" i="4"/>
  <c r="S1362" i="4"/>
  <c r="T1362" i="4"/>
  <c r="U1362" i="4"/>
  <c r="V1362" i="4"/>
  <c r="D1362" i="4"/>
  <c r="O1335" i="4"/>
  <c r="O1334" i="4"/>
  <c r="D1335" i="4"/>
  <c r="L1335" i="4"/>
  <c r="M1335" i="4" s="1"/>
  <c r="L1334" i="4"/>
  <c r="M1334" i="4" s="1"/>
  <c r="R1335" i="4"/>
  <c r="S1335" i="4"/>
  <c r="T1335" i="4"/>
  <c r="U1335" i="4"/>
  <c r="V1335" i="4"/>
  <c r="R1334" i="4"/>
  <c r="S1334" i="4"/>
  <c r="T1334" i="4"/>
  <c r="U1334" i="4"/>
  <c r="V1334" i="4"/>
  <c r="D1334" i="4"/>
  <c r="O1330" i="4"/>
  <c r="L1330" i="4"/>
  <c r="M1330" i="4" s="1"/>
  <c r="R1330" i="4"/>
  <c r="S1330" i="4"/>
  <c r="T1330" i="4"/>
  <c r="U1330" i="4"/>
  <c r="D1330" i="4"/>
  <c r="O1361" i="4"/>
  <c r="M1361" i="4"/>
  <c r="R1361" i="4"/>
  <c r="S1361" i="4"/>
  <c r="T1361" i="4"/>
  <c r="U1361" i="4"/>
  <c r="V1361" i="4"/>
  <c r="O1359" i="4"/>
  <c r="L1359" i="4"/>
  <c r="M1359" i="4" s="1"/>
  <c r="R1359" i="4"/>
  <c r="S1359" i="4"/>
  <c r="T1359" i="4"/>
  <c r="U1359" i="4"/>
  <c r="V1359" i="4"/>
  <c r="D1359" i="4"/>
  <c r="D1361" i="4"/>
  <c r="D1360" i="4"/>
  <c r="O1360" i="4"/>
  <c r="L1360" i="4"/>
  <c r="M1360" i="4" s="1"/>
  <c r="R1360" i="4"/>
  <c r="S1360" i="4"/>
  <c r="T1360" i="4"/>
  <c r="U1360" i="4"/>
  <c r="V1360" i="4"/>
  <c r="D1347" i="4"/>
  <c r="O1348" i="4"/>
  <c r="O1346" i="4"/>
  <c r="O1350" i="4"/>
  <c r="O1352" i="4"/>
  <c r="O1349" i="4"/>
  <c r="O1351" i="4"/>
  <c r="O1353" i="4"/>
  <c r="O1354" i="4"/>
  <c r="O1355" i="4"/>
  <c r="O1356" i="4"/>
  <c r="O1357" i="4"/>
  <c r="O1358" i="4"/>
  <c r="O1347" i="4"/>
  <c r="O1343" i="4"/>
  <c r="L1347" i="4"/>
  <c r="M1347" i="4" s="1"/>
  <c r="R1347" i="4"/>
  <c r="S1347" i="4"/>
  <c r="T1347" i="4"/>
  <c r="U1347" i="4"/>
  <c r="V1347" i="4"/>
  <c r="R1351" i="4"/>
  <c r="R1353" i="4"/>
  <c r="R1354" i="4"/>
  <c r="R1355" i="4"/>
  <c r="R1356" i="4"/>
  <c r="R1357" i="4"/>
  <c r="R1358" i="4"/>
  <c r="S1353" i="4"/>
  <c r="T1353" i="4"/>
  <c r="U1353" i="4"/>
  <c r="V1353" i="4"/>
  <c r="S1354" i="4"/>
  <c r="T1354" i="4"/>
  <c r="U1354" i="4"/>
  <c r="V1354" i="4"/>
  <c r="S1355" i="4"/>
  <c r="T1355" i="4"/>
  <c r="U1355" i="4"/>
  <c r="V1355" i="4"/>
  <c r="S1356" i="4"/>
  <c r="T1356" i="4"/>
  <c r="U1356" i="4"/>
  <c r="V1356" i="4"/>
  <c r="S1357" i="4"/>
  <c r="T1357" i="4"/>
  <c r="U1357" i="4"/>
  <c r="V1357" i="4"/>
  <c r="S1358" i="4"/>
  <c r="T1358" i="4"/>
  <c r="U1358" i="4"/>
  <c r="V1358" i="4"/>
  <c r="S1351" i="4"/>
  <c r="T1351" i="4"/>
  <c r="U1351" i="4"/>
  <c r="V1351" i="4"/>
  <c r="L1349" i="4"/>
  <c r="M1349" i="4" s="1"/>
  <c r="L1351" i="4"/>
  <c r="M1351" i="4" s="1"/>
  <c r="R1349" i="4"/>
  <c r="S1349" i="4"/>
  <c r="T1349" i="4"/>
  <c r="U1349" i="4"/>
  <c r="L1356" i="4"/>
  <c r="M1356" i="4" s="1"/>
  <c r="L1357" i="4"/>
  <c r="M1357" i="4" s="1"/>
  <c r="L1358" i="4"/>
  <c r="M1358" i="4" s="1"/>
  <c r="L1354" i="4"/>
  <c r="M1354" i="4" s="1"/>
  <c r="L1355" i="4"/>
  <c r="M1355" i="4" s="1"/>
  <c r="L1353" i="4"/>
  <c r="M1353" i="4" s="1"/>
  <c r="T1345" i="4"/>
  <c r="U1345" i="4"/>
  <c r="T1348" i="4"/>
  <c r="U1348" i="4"/>
  <c r="T1346" i="4"/>
  <c r="U1346" i="4"/>
  <c r="T1343" i="4"/>
  <c r="U1343" i="4"/>
  <c r="T1350" i="4"/>
  <c r="U1350" i="4"/>
  <c r="T1352" i="4"/>
  <c r="U1352" i="4"/>
  <c r="R1345" i="4"/>
  <c r="S1345" i="4"/>
  <c r="R1348" i="4"/>
  <c r="S1348" i="4"/>
  <c r="R1346" i="4"/>
  <c r="S1346" i="4"/>
  <c r="R1343" i="4"/>
  <c r="S1343" i="4"/>
  <c r="R1350" i="4"/>
  <c r="S1350" i="4"/>
  <c r="R1352" i="4"/>
  <c r="S1352" i="4"/>
  <c r="L1350" i="4"/>
  <c r="M1350" i="4" s="1"/>
  <c r="L1352" i="4"/>
  <c r="L1343" i="4"/>
  <c r="M1343" i="4" s="1"/>
  <c r="O1333" i="4"/>
  <c r="D1310" i="4"/>
  <c r="O1310" i="4"/>
  <c r="O1309" i="4"/>
  <c r="L1310" i="4"/>
  <c r="M1310" i="4" s="1"/>
  <c r="L1309" i="4"/>
  <c r="M1309" i="4" s="1"/>
  <c r="R1310" i="4"/>
  <c r="S1310" i="4"/>
  <c r="T1310" i="4"/>
  <c r="U1310" i="4"/>
  <c r="R1309" i="4"/>
  <c r="S1309" i="4"/>
  <c r="T1309" i="4"/>
  <c r="U1309" i="4"/>
  <c r="D1309" i="4"/>
  <c r="O1345" i="4"/>
  <c r="L1345" i="4"/>
  <c r="D1345" i="4"/>
  <c r="O1344" i="4"/>
  <c r="L1344" i="4"/>
  <c r="M1344" i="4" s="1"/>
  <c r="R1344" i="4"/>
  <c r="S1344" i="4"/>
  <c r="T1344" i="4"/>
  <c r="U1344" i="4"/>
  <c r="D1344" i="4"/>
  <c r="O1341" i="4"/>
  <c r="L1341" i="4"/>
  <c r="R1341" i="4"/>
  <c r="S1341" i="4"/>
  <c r="T1341" i="4"/>
  <c r="U1341" i="4"/>
  <c r="D1341" i="4"/>
  <c r="O1342" i="4"/>
  <c r="L1342" i="4"/>
  <c r="M1342" i="4" s="1"/>
  <c r="R1342" i="4"/>
  <c r="S1342" i="4"/>
  <c r="T1342" i="4"/>
  <c r="U1342" i="4"/>
  <c r="D1342" i="4"/>
  <c r="O1340" i="4"/>
  <c r="L1340" i="4"/>
  <c r="R1340" i="4"/>
  <c r="S1340" i="4"/>
  <c r="T1340" i="4"/>
  <c r="U1340" i="4"/>
  <c r="D1340" i="4"/>
  <c r="O1339" i="4"/>
  <c r="L1339" i="4"/>
  <c r="R1339" i="4"/>
  <c r="S1339" i="4"/>
  <c r="T1339" i="4"/>
  <c r="U1339" i="4"/>
  <c r="D1339" i="4"/>
  <c r="O1338" i="4"/>
  <c r="L1338" i="4"/>
  <c r="R1338" i="4"/>
  <c r="S1338" i="4"/>
  <c r="T1338" i="4"/>
  <c r="U1338" i="4"/>
  <c r="D1338" i="4"/>
  <c r="O1313" i="4"/>
  <c r="L1313" i="4"/>
  <c r="R1313" i="4"/>
  <c r="S1313" i="4"/>
  <c r="T1313" i="4"/>
  <c r="U1313" i="4"/>
  <c r="D1313" i="4"/>
  <c r="V77" i="10"/>
  <c r="N77" i="10"/>
  <c r="M77" i="10"/>
  <c r="L77" i="10"/>
  <c r="K77" i="10"/>
  <c r="J77" i="10"/>
  <c r="I77" i="10"/>
  <c r="H77" i="10"/>
  <c r="G77" i="10"/>
  <c r="F77" i="10"/>
  <c r="D77" i="10"/>
  <c r="C77" i="10"/>
  <c r="O77" i="10" s="1"/>
  <c r="AB76" i="10"/>
  <c r="Y76" i="10"/>
  <c r="AD76" i="10" s="1"/>
  <c r="O76" i="10"/>
  <c r="AB75" i="10"/>
  <c r="Y75" i="10"/>
  <c r="AD75" i="10" s="1"/>
  <c r="O75" i="10"/>
  <c r="AA74" i="10"/>
  <c r="Y74" i="10"/>
  <c r="X74" i="10"/>
  <c r="AD74" i="10" s="1"/>
  <c r="O74" i="10"/>
  <c r="AB73" i="10"/>
  <c r="AA73" i="10"/>
  <c r="Z73" i="10"/>
  <c r="Y73" i="10"/>
  <c r="AD73" i="10" s="1"/>
  <c r="O73" i="10"/>
  <c r="AC72" i="10"/>
  <c r="AA72" i="10"/>
  <c r="AA77" i="10" s="1"/>
  <c r="X72" i="10"/>
  <c r="AD72" i="10" s="1"/>
  <c r="O72" i="10"/>
  <c r="AD71" i="10"/>
  <c r="O71" i="10"/>
  <c r="AC70" i="10"/>
  <c r="AC77" i="10" s="1"/>
  <c r="AB70" i="10"/>
  <c r="AB77" i="10" s="1"/>
  <c r="Z70" i="10"/>
  <c r="Z77" i="10" s="1"/>
  <c r="Y70" i="10"/>
  <c r="Y77" i="10" s="1"/>
  <c r="X70" i="10"/>
  <c r="X77" i="10" s="1"/>
  <c r="W70" i="10"/>
  <c r="W77" i="10" s="1"/>
  <c r="U70" i="10"/>
  <c r="U77" i="10" s="1"/>
  <c r="T70" i="10"/>
  <c r="T77" i="10" s="1"/>
  <c r="S70" i="10"/>
  <c r="S77" i="10" s="1"/>
  <c r="R70" i="10"/>
  <c r="O70" i="10"/>
  <c r="E65" i="10"/>
  <c r="D65" i="10"/>
  <c r="L1333" i="4"/>
  <c r="M1333" i="4" s="1"/>
  <c r="R1333" i="4"/>
  <c r="S1333" i="4"/>
  <c r="T1333" i="4"/>
  <c r="U1333" i="4"/>
  <c r="D1333" i="4"/>
  <c r="O1337" i="4"/>
  <c r="L1337" i="4"/>
  <c r="M1337" i="4" s="1"/>
  <c r="R1337" i="4"/>
  <c r="S1337" i="4"/>
  <c r="T1337" i="4"/>
  <c r="U1337" i="4"/>
  <c r="D1337" i="4"/>
  <c r="O1336" i="4"/>
  <c r="L1336" i="4"/>
  <c r="M1336" i="4" s="1"/>
  <c r="R1336" i="4"/>
  <c r="S1336" i="4"/>
  <c r="T1336" i="4"/>
  <c r="U1336" i="4"/>
  <c r="D1336" i="4"/>
  <c r="O1332" i="4"/>
  <c r="L1332" i="4"/>
  <c r="R1332" i="4"/>
  <c r="S1332" i="4"/>
  <c r="T1332" i="4"/>
  <c r="U1332" i="4"/>
  <c r="D1332" i="4"/>
  <c r="O1331" i="4"/>
  <c r="L1331" i="4"/>
  <c r="M1331" i="4" s="1"/>
  <c r="R1331" i="4"/>
  <c r="S1331" i="4"/>
  <c r="T1331" i="4"/>
  <c r="U1331" i="4"/>
  <c r="D1331" i="4"/>
  <c r="D1329" i="4"/>
  <c r="D1328" i="4"/>
  <c r="O1329" i="4"/>
  <c r="O1328" i="4"/>
  <c r="O1327" i="4"/>
  <c r="L1329" i="4"/>
  <c r="R1329" i="4"/>
  <c r="S1329" i="4"/>
  <c r="T1329" i="4"/>
  <c r="U1329" i="4"/>
  <c r="L1328" i="4"/>
  <c r="R1328" i="4"/>
  <c r="S1328" i="4"/>
  <c r="T1328" i="4"/>
  <c r="U1328" i="4"/>
  <c r="L1327" i="4"/>
  <c r="R1327" i="4"/>
  <c r="S1327" i="4"/>
  <c r="T1327" i="4"/>
  <c r="U1327" i="4"/>
  <c r="D1327" i="4"/>
  <c r="F28" i="10"/>
  <c r="E28" i="10"/>
  <c r="R27" i="10"/>
  <c r="S27" i="10"/>
  <c r="T27" i="10"/>
  <c r="R25" i="10"/>
  <c r="S25" i="10"/>
  <c r="T25" i="10"/>
  <c r="Q27" i="10"/>
  <c r="Q25" i="10"/>
  <c r="R26" i="10"/>
  <c r="S26" i="10"/>
  <c r="T26" i="10"/>
  <c r="T24" i="10"/>
  <c r="R24" i="10"/>
  <c r="S24" i="10"/>
  <c r="T23" i="10"/>
  <c r="R23" i="10"/>
  <c r="S23" i="10"/>
  <c r="S22" i="10"/>
  <c r="T22" i="10"/>
  <c r="R21" i="10"/>
  <c r="S21" i="10"/>
  <c r="T21" i="10"/>
  <c r="Q26" i="10"/>
  <c r="Q24" i="10"/>
  <c r="Q23" i="10"/>
  <c r="Q22" i="10"/>
  <c r="Q21" i="10"/>
  <c r="D1326" i="4"/>
  <c r="O1326" i="4"/>
  <c r="O1325" i="4"/>
  <c r="L1326" i="4"/>
  <c r="M1326" i="4" s="1"/>
  <c r="L1325" i="4"/>
  <c r="R1326" i="4"/>
  <c r="S1326" i="4"/>
  <c r="T1326" i="4"/>
  <c r="U1326" i="4"/>
  <c r="R1325" i="4"/>
  <c r="S1325" i="4"/>
  <c r="T1325" i="4"/>
  <c r="U1325" i="4"/>
  <c r="D1325" i="4"/>
  <c r="D16" i="10"/>
  <c r="E16" i="10"/>
  <c r="O1324" i="4"/>
  <c r="O1323" i="4"/>
  <c r="O1321" i="4"/>
  <c r="O1320" i="4"/>
  <c r="O1319" i="4"/>
  <c r="O1318" i="4"/>
  <c r="D1324" i="4"/>
  <c r="L1324" i="4"/>
  <c r="M1324" i="4" s="1"/>
  <c r="L1323" i="4"/>
  <c r="M1323" i="4" s="1"/>
  <c r="D1323" i="4"/>
  <c r="R1324" i="4"/>
  <c r="S1324" i="4"/>
  <c r="T1324" i="4"/>
  <c r="U1324" i="4"/>
  <c r="R1323" i="4"/>
  <c r="S1323" i="4"/>
  <c r="T1323" i="4"/>
  <c r="U1323" i="4"/>
  <c r="D1321" i="4"/>
  <c r="D1320" i="4"/>
  <c r="L1321" i="4"/>
  <c r="M1321" i="4" s="1"/>
  <c r="R1321" i="4"/>
  <c r="S1321" i="4"/>
  <c r="T1321" i="4"/>
  <c r="U1321" i="4"/>
  <c r="L1320" i="4"/>
  <c r="M1320" i="4" s="1"/>
  <c r="R1320" i="4"/>
  <c r="S1320" i="4"/>
  <c r="T1320" i="4"/>
  <c r="U1320" i="4"/>
  <c r="L1319" i="4"/>
  <c r="M1319" i="4" s="1"/>
  <c r="R1319" i="4"/>
  <c r="S1319" i="4"/>
  <c r="T1319" i="4"/>
  <c r="U1319" i="4"/>
  <c r="D1319" i="4"/>
  <c r="L1318" i="4"/>
  <c r="M1318" i="4" s="1"/>
  <c r="R1318" i="4"/>
  <c r="S1318" i="4"/>
  <c r="T1318" i="4"/>
  <c r="U1318" i="4"/>
  <c r="D1318" i="4"/>
  <c r="O1322" i="4"/>
  <c r="L1322" i="4"/>
  <c r="R1322" i="4"/>
  <c r="S1322" i="4"/>
  <c r="T1322" i="4"/>
  <c r="U1322" i="4"/>
  <c r="D1322" i="4"/>
  <c r="O1317" i="4"/>
  <c r="L1317" i="4"/>
  <c r="R1317" i="4"/>
  <c r="S1317" i="4"/>
  <c r="T1317" i="4"/>
  <c r="U1317" i="4"/>
  <c r="D1317" i="4"/>
  <c r="O1316" i="4"/>
  <c r="L1316" i="4"/>
  <c r="R1316" i="4"/>
  <c r="S1316" i="4"/>
  <c r="T1316" i="4"/>
  <c r="U1316" i="4"/>
  <c r="D1316" i="4"/>
  <c r="O1308" i="4"/>
  <c r="L1308" i="4"/>
  <c r="M1308" i="4" s="1"/>
  <c r="R1308" i="4"/>
  <c r="S1308" i="4"/>
  <c r="T1308" i="4"/>
  <c r="U1308" i="4"/>
  <c r="D1308" i="4"/>
  <c r="O1314" i="4"/>
  <c r="L1314" i="4"/>
  <c r="M1314" i="4" s="1"/>
  <c r="R1314" i="4"/>
  <c r="S1314" i="4"/>
  <c r="T1314" i="4"/>
  <c r="U1314" i="4"/>
  <c r="D1314" i="4"/>
  <c r="O1315" i="4"/>
  <c r="L1315" i="4"/>
  <c r="R1315" i="4"/>
  <c r="S1315" i="4"/>
  <c r="T1315" i="4"/>
  <c r="U1315" i="4"/>
  <c r="D1315" i="4"/>
  <c r="O1312" i="4"/>
  <c r="L1312" i="4"/>
  <c r="M1312" i="4" s="1"/>
  <c r="R1312" i="4"/>
  <c r="S1312" i="4"/>
  <c r="T1312" i="4"/>
  <c r="U1312" i="4"/>
  <c r="D1312" i="4"/>
  <c r="U1311" i="4"/>
  <c r="T1311" i="4"/>
  <c r="S1311" i="4"/>
  <c r="R1311" i="4"/>
  <c r="U1285" i="4"/>
  <c r="T1285" i="4"/>
  <c r="S1285" i="4"/>
  <c r="R1285" i="4"/>
  <c r="U1284" i="4"/>
  <c r="T1284" i="4"/>
  <c r="S1284" i="4"/>
  <c r="R1284" i="4"/>
  <c r="U1283" i="4"/>
  <c r="T1283" i="4"/>
  <c r="S1283" i="4"/>
  <c r="R1283" i="4"/>
  <c r="U1273" i="4"/>
  <c r="T1273" i="4"/>
  <c r="S1273" i="4"/>
  <c r="R1273" i="4"/>
  <c r="U1267" i="4"/>
  <c r="T1267" i="4"/>
  <c r="S1267" i="4"/>
  <c r="R1267" i="4"/>
  <c r="U1307" i="4"/>
  <c r="T1307" i="4"/>
  <c r="S1307" i="4"/>
  <c r="R1307" i="4"/>
  <c r="U1306" i="4"/>
  <c r="T1306" i="4"/>
  <c r="S1306" i="4"/>
  <c r="R1306" i="4"/>
  <c r="U1305" i="4"/>
  <c r="T1305" i="4"/>
  <c r="S1305" i="4"/>
  <c r="R1305" i="4"/>
  <c r="U1298" i="4"/>
  <c r="T1298" i="4"/>
  <c r="S1298" i="4"/>
  <c r="R1298" i="4"/>
  <c r="U1297" i="4"/>
  <c r="T1297" i="4"/>
  <c r="S1297" i="4"/>
  <c r="R1297" i="4"/>
  <c r="U1296" i="4"/>
  <c r="T1296" i="4"/>
  <c r="S1296" i="4"/>
  <c r="R1296" i="4"/>
  <c r="U1295" i="4"/>
  <c r="T1295" i="4"/>
  <c r="S1295" i="4"/>
  <c r="R1295" i="4"/>
  <c r="U1299" i="4"/>
  <c r="T1299" i="4"/>
  <c r="S1299" i="4"/>
  <c r="R1299" i="4"/>
  <c r="U1301" i="4"/>
  <c r="T1301" i="4"/>
  <c r="S1301" i="4"/>
  <c r="R1301" i="4"/>
  <c r="U1300" i="4"/>
  <c r="T1300" i="4"/>
  <c r="S1300" i="4"/>
  <c r="R1300" i="4"/>
  <c r="U1294" i="4"/>
  <c r="T1294" i="4"/>
  <c r="S1294" i="4"/>
  <c r="R1294" i="4"/>
  <c r="U1292" i="4"/>
  <c r="T1292" i="4"/>
  <c r="S1292" i="4"/>
  <c r="R1292" i="4"/>
  <c r="U1291" i="4"/>
  <c r="T1291" i="4"/>
  <c r="S1291" i="4"/>
  <c r="R1291" i="4"/>
  <c r="R1278" i="4"/>
  <c r="S1278" i="4"/>
  <c r="T1278" i="4"/>
  <c r="U1278" i="4"/>
  <c r="R1280" i="4"/>
  <c r="S1280" i="4"/>
  <c r="T1280" i="4"/>
  <c r="U1280" i="4"/>
  <c r="R1281" i="4"/>
  <c r="S1281" i="4"/>
  <c r="T1281" i="4"/>
  <c r="U1281" i="4"/>
  <c r="R1282" i="4"/>
  <c r="S1282" i="4"/>
  <c r="T1282" i="4"/>
  <c r="U1282" i="4"/>
  <c r="R1286" i="4"/>
  <c r="S1286" i="4"/>
  <c r="T1286" i="4"/>
  <c r="U1286" i="4"/>
  <c r="R1287" i="4"/>
  <c r="S1287" i="4"/>
  <c r="T1287" i="4"/>
  <c r="U1287" i="4"/>
  <c r="R1293" i="4"/>
  <c r="S1293" i="4"/>
  <c r="T1293" i="4"/>
  <c r="U1293" i="4"/>
  <c r="R1288" i="4"/>
  <c r="S1288" i="4"/>
  <c r="T1288" i="4"/>
  <c r="U1288" i="4"/>
  <c r="R1289" i="4"/>
  <c r="S1289" i="4"/>
  <c r="T1289" i="4"/>
  <c r="U1289" i="4"/>
  <c r="R1290" i="4"/>
  <c r="S1290" i="4"/>
  <c r="T1290" i="4"/>
  <c r="U1290" i="4"/>
  <c r="H574" i="60" l="1"/>
  <c r="V1452" i="4"/>
  <c r="M1439" i="4"/>
  <c r="M1443" i="4"/>
  <c r="M1438" i="4"/>
  <c r="M31" i="4"/>
  <c r="M1441" i="4"/>
  <c r="M1442" i="4"/>
  <c r="M1440" i="4"/>
  <c r="M30" i="4"/>
  <c r="M1437" i="4"/>
  <c r="M29" i="4"/>
  <c r="M28" i="4"/>
  <c r="V3" i="4"/>
  <c r="M1418" i="4"/>
  <c r="M1408" i="4"/>
  <c r="M1386" i="4"/>
  <c r="M1385" i="4"/>
  <c r="M1384" i="4"/>
  <c r="M1383" i="4"/>
  <c r="M1382" i="4"/>
  <c r="M1380" i="4"/>
  <c r="M1379" i="4"/>
  <c r="M1378" i="4"/>
  <c r="M1375" i="4"/>
  <c r="M1374" i="4"/>
  <c r="M1366" i="4"/>
  <c r="M1365" i="4"/>
  <c r="M1364" i="4"/>
  <c r="M1341" i="4"/>
  <c r="M1392" i="4"/>
  <c r="M1322" i="4"/>
  <c r="M1362" i="4"/>
  <c r="M1372" i="4"/>
  <c r="M1332" i="4"/>
  <c r="V1349" i="4"/>
  <c r="M1388" i="4"/>
  <c r="M1387" i="4"/>
  <c r="M1389" i="4"/>
  <c r="M1373" i="4"/>
  <c r="M1376" i="4"/>
  <c r="M1377" i="4"/>
  <c r="V1346" i="4"/>
  <c r="V1343" i="4"/>
  <c r="V1348" i="4"/>
  <c r="V1330" i="4"/>
  <c r="V1350" i="4"/>
  <c r="V1352" i="4"/>
  <c r="V1345" i="4"/>
  <c r="V1344" i="4"/>
  <c r="V1310" i="4"/>
  <c r="V1309" i="4"/>
  <c r="V1341" i="4"/>
  <c r="V1340" i="4"/>
  <c r="V1342" i="4"/>
  <c r="V1339" i="4"/>
  <c r="V1313" i="4"/>
  <c r="V1338" i="4"/>
  <c r="AD70" i="10"/>
  <c r="AD77" i="10" s="1"/>
  <c r="R77" i="10"/>
  <c r="V1333" i="4"/>
  <c r="V1336" i="4"/>
  <c r="V1337" i="4"/>
  <c r="V1332" i="4"/>
  <c r="V1329" i="4"/>
  <c r="V1328" i="4"/>
  <c r="V1331" i="4"/>
  <c r="V1327" i="4"/>
  <c r="V1326" i="4"/>
  <c r="V1325" i="4"/>
  <c r="V1324" i="4"/>
  <c r="V1323" i="4"/>
  <c r="V1321" i="4"/>
  <c r="V1319" i="4"/>
  <c r="V1318" i="4"/>
  <c r="V1320" i="4"/>
  <c r="V1316" i="4"/>
  <c r="V1322" i="4"/>
  <c r="V1317" i="4"/>
  <c r="V1315" i="4"/>
  <c r="V1308" i="4"/>
  <c r="V1314" i="4"/>
  <c r="V1284" i="4"/>
  <c r="V1288" i="4"/>
  <c r="V1291" i="4"/>
  <c r="V1294" i="4"/>
  <c r="V1273" i="4"/>
  <c r="V1290" i="4"/>
  <c r="V1306" i="4"/>
  <c r="V1300" i="4"/>
  <c r="V1282" i="4"/>
  <c r="V1312" i="4"/>
  <c r="V1281" i="4"/>
  <c r="V1287" i="4"/>
  <c r="V1298" i="4"/>
  <c r="V1285" i="4"/>
  <c r="V1280" i="4"/>
  <c r="V1299" i="4"/>
  <c r="V1296" i="4"/>
  <c r="V1267" i="4"/>
  <c r="V1283" i="4"/>
  <c r="V1289" i="4"/>
  <c r="V1278" i="4"/>
  <c r="V1301" i="4"/>
  <c r="V1295" i="4"/>
  <c r="V1297" i="4"/>
  <c r="V1305" i="4"/>
  <c r="V1286" i="4"/>
  <c r="V1293" i="4"/>
  <c r="V1307" i="4"/>
  <c r="V1311" i="4"/>
  <c r="V1292" i="4"/>
  <c r="O1311" i="4"/>
  <c r="L1311" i="4"/>
  <c r="M1311" i="4" s="1"/>
  <c r="U1208" i="4"/>
  <c r="T1208" i="4"/>
  <c r="S1208" i="4"/>
  <c r="R1208" i="4"/>
  <c r="O1208" i="4"/>
  <c r="L1208" i="4"/>
  <c r="M1208" i="4" s="1"/>
  <c r="D1208" i="4"/>
  <c r="V1208" i="4" l="1"/>
  <c r="O1283" i="4"/>
  <c r="O1284" i="4"/>
  <c r="O1285" i="4"/>
  <c r="D1285" i="4"/>
  <c r="L1285" i="4"/>
  <c r="M1285" i="4" s="1"/>
  <c r="D1284" i="4"/>
  <c r="L1284" i="4"/>
  <c r="M1284" i="4" s="1"/>
  <c r="L1283" i="4"/>
  <c r="M1283" i="4" s="1"/>
  <c r="D1283" i="4"/>
  <c r="O1273" i="4"/>
  <c r="L1273" i="4"/>
  <c r="M1273" i="4" s="1"/>
  <c r="D1273" i="4"/>
  <c r="O1267" i="4"/>
  <c r="L1267" i="4"/>
  <c r="D1267" i="4"/>
  <c r="O1307" i="4"/>
  <c r="L1307" i="4"/>
  <c r="M1307" i="4" s="1"/>
  <c r="D1307" i="4"/>
  <c r="D1263" i="4"/>
  <c r="L1263" i="4"/>
  <c r="M1263" i="4" s="1"/>
  <c r="O1263" i="4"/>
  <c r="R1263" i="4"/>
  <c r="S1263" i="4"/>
  <c r="T1263" i="4"/>
  <c r="U1263" i="4"/>
  <c r="O1306" i="4"/>
  <c r="L1306" i="4"/>
  <c r="M1306" i="4" s="1"/>
  <c r="D1306" i="4"/>
  <c r="O1305" i="4"/>
  <c r="L1305" i="4"/>
  <c r="M1305" i="4" s="1"/>
  <c r="D1305" i="4"/>
  <c r="V1263" i="4" l="1"/>
  <c r="O1193" i="4"/>
  <c r="O1194" i="4"/>
  <c r="O1195" i="4"/>
  <c r="O1189" i="4"/>
  <c r="O1187" i="4"/>
  <c r="O1304" i="4" l="1"/>
  <c r="O1303" i="4"/>
  <c r="O1302" i="4"/>
  <c r="D1304" i="4"/>
  <c r="D1303" i="4"/>
  <c r="L1304" i="4"/>
  <c r="M1304" i="4" s="1"/>
  <c r="L1303" i="4"/>
  <c r="M1303" i="4" s="1"/>
  <c r="L1302" i="4"/>
  <c r="M1302" i="4" s="1"/>
  <c r="D1302" i="4"/>
  <c r="O1298" i="4"/>
  <c r="O1297" i="4"/>
  <c r="O1296" i="4"/>
  <c r="O1295" i="4"/>
  <c r="L1298" i="4"/>
  <c r="M1298" i="4" s="1"/>
  <c r="L1297" i="4"/>
  <c r="M1297" i="4" s="1"/>
  <c r="L1296" i="4"/>
  <c r="M1296" i="4" s="1"/>
  <c r="L1295" i="4"/>
  <c r="M1295" i="4" s="1"/>
  <c r="D1298" i="4"/>
  <c r="D1297" i="4"/>
  <c r="D1296" i="4"/>
  <c r="D1295" i="4"/>
  <c r="O1299" i="4" l="1"/>
  <c r="L1299" i="4"/>
  <c r="M1299" i="4" s="1"/>
  <c r="D1299" i="4"/>
  <c r="O1301" i="4"/>
  <c r="O1300" i="4"/>
  <c r="D1301" i="4"/>
  <c r="L1301" i="4"/>
  <c r="M1301" i="4" s="1"/>
  <c r="L1300" i="4"/>
  <c r="M1300" i="4" s="1"/>
  <c r="D1300" i="4"/>
  <c r="O1294" i="4"/>
  <c r="L1294" i="4"/>
  <c r="D1294" i="4"/>
  <c r="O1292" i="4" l="1"/>
  <c r="O1291" i="4"/>
  <c r="O1290" i="4"/>
  <c r="O1289" i="4"/>
  <c r="O1288" i="4"/>
  <c r="D1292" i="4"/>
  <c r="D1291" i="4"/>
  <c r="D1290" i="4"/>
  <c r="D1289" i="4"/>
  <c r="L1292" i="4"/>
  <c r="L1291" i="4"/>
  <c r="L1290" i="4"/>
  <c r="L1289" i="4"/>
  <c r="L1288" i="4"/>
  <c r="D1288" i="4"/>
  <c r="O1293" i="4" l="1"/>
  <c r="L1293" i="4"/>
  <c r="M1293" i="4" s="1"/>
  <c r="D1293" i="4"/>
  <c r="D1287" i="4"/>
  <c r="O1287" i="4"/>
  <c r="O1286" i="4"/>
  <c r="L1287" i="4"/>
  <c r="M1287" i="4" s="1"/>
  <c r="L1286" i="4"/>
  <c r="M1286" i="4" s="1"/>
  <c r="D1286" i="4"/>
  <c r="O1282" i="4" l="1"/>
  <c r="L1282" i="4"/>
  <c r="M1282" i="4" s="1"/>
  <c r="D1282" i="4"/>
  <c r="O1281" i="4" l="1"/>
  <c r="L1281" i="4"/>
  <c r="D1281" i="4"/>
  <c r="O1280" i="4" l="1"/>
  <c r="L1280" i="4"/>
  <c r="M1280" i="4" s="1"/>
  <c r="D1280" i="4"/>
  <c r="O1278" i="4"/>
  <c r="M1278" i="4"/>
  <c r="D1278" i="4"/>
  <c r="O1279" i="4"/>
  <c r="P1279" i="4" s="1"/>
  <c r="L1279" i="4"/>
  <c r="M1279" i="4" s="1"/>
  <c r="R1279" i="4"/>
  <c r="S1279" i="4"/>
  <c r="T1279" i="4"/>
  <c r="U1279" i="4"/>
  <c r="D1279" i="4"/>
  <c r="O1277" i="4"/>
  <c r="L1277" i="4"/>
  <c r="R1277" i="4"/>
  <c r="S1277" i="4"/>
  <c r="T1277" i="4"/>
  <c r="U1277" i="4"/>
  <c r="D1277" i="4"/>
  <c r="D1276" i="4"/>
  <c r="O1276" i="4"/>
  <c r="O1275" i="4"/>
  <c r="L1276" i="4"/>
  <c r="M1276" i="4" s="1"/>
  <c r="R1276" i="4"/>
  <c r="S1276" i="4"/>
  <c r="T1276" i="4"/>
  <c r="U1276" i="4"/>
  <c r="L1275" i="4"/>
  <c r="M1275" i="4" s="1"/>
  <c r="R1275" i="4"/>
  <c r="S1275" i="4"/>
  <c r="T1275" i="4"/>
  <c r="U1275" i="4"/>
  <c r="D1275" i="4"/>
  <c r="O1274" i="4"/>
  <c r="L1274" i="4"/>
  <c r="M1274" i="4" s="1"/>
  <c r="R1274" i="4"/>
  <c r="S1274" i="4"/>
  <c r="T1274" i="4"/>
  <c r="U1274" i="4"/>
  <c r="D1274" i="4"/>
  <c r="T28" i="10"/>
  <c r="D28" i="10"/>
  <c r="O1272" i="4"/>
  <c r="L1272" i="4"/>
  <c r="M1272" i="4" s="1"/>
  <c r="R1272" i="4"/>
  <c r="S1272" i="4"/>
  <c r="T1272" i="4"/>
  <c r="U1272" i="4"/>
  <c r="D1272" i="4"/>
  <c r="V1279" i="4" l="1"/>
  <c r="V1277" i="4"/>
  <c r="V1276" i="4"/>
  <c r="V1274" i="4"/>
  <c r="V1272" i="4"/>
  <c r="V1275" i="4"/>
  <c r="S28" i="10"/>
  <c r="R28" i="10"/>
  <c r="O1271" i="4"/>
  <c r="L1271" i="4"/>
  <c r="R1271" i="4"/>
  <c r="S1271" i="4"/>
  <c r="T1271" i="4"/>
  <c r="U1271" i="4"/>
  <c r="D1271" i="4"/>
  <c r="O1269" i="4"/>
  <c r="L1269" i="4"/>
  <c r="M1269" i="4" s="1"/>
  <c r="R1269" i="4"/>
  <c r="S1269" i="4"/>
  <c r="T1269" i="4"/>
  <c r="U1269" i="4"/>
  <c r="D1269" i="4"/>
  <c r="T1270" i="4"/>
  <c r="V1271" i="4" l="1"/>
  <c r="V1269" i="4"/>
  <c r="O1270" i="4"/>
  <c r="L1270" i="4"/>
  <c r="M1270" i="4" s="1"/>
  <c r="R1270" i="4"/>
  <c r="S1270" i="4"/>
  <c r="U1270" i="4"/>
  <c r="D1270" i="4"/>
  <c r="O1255" i="4"/>
  <c r="L1255" i="4"/>
  <c r="M1255" i="4" s="1"/>
  <c r="R1255" i="4"/>
  <c r="S1255" i="4"/>
  <c r="T1255" i="4"/>
  <c r="U1255" i="4"/>
  <c r="D1255" i="4"/>
  <c r="V1270" i="4" l="1"/>
  <c r="V1255" i="4"/>
  <c r="O1233" i="4"/>
  <c r="L1233" i="4"/>
  <c r="M1233" i="4" s="1"/>
  <c r="R1233" i="4"/>
  <c r="S1233" i="4"/>
  <c r="T1233" i="4"/>
  <c r="U1233" i="4"/>
  <c r="D1233" i="4"/>
  <c r="V1233" i="4" l="1"/>
  <c r="O1268" i="4"/>
  <c r="L1268" i="4"/>
  <c r="R1268" i="4"/>
  <c r="S1268" i="4"/>
  <c r="T1268" i="4"/>
  <c r="U1268" i="4"/>
  <c r="D1268" i="4"/>
  <c r="E10" i="34"/>
  <c r="D1265" i="4"/>
  <c r="O1265" i="4"/>
  <c r="O1264" i="4"/>
  <c r="O1262" i="4"/>
  <c r="O1261" i="4"/>
  <c r="L1265" i="4"/>
  <c r="M1265" i="4" s="1"/>
  <c r="R1265" i="4"/>
  <c r="S1265" i="4"/>
  <c r="T1265" i="4"/>
  <c r="U1265" i="4"/>
  <c r="L1264" i="4"/>
  <c r="M1264" i="4" s="1"/>
  <c r="R1264" i="4"/>
  <c r="S1264" i="4"/>
  <c r="T1264" i="4"/>
  <c r="U1264" i="4"/>
  <c r="L1262" i="4"/>
  <c r="M1262" i="4" s="1"/>
  <c r="R1262" i="4"/>
  <c r="S1262" i="4"/>
  <c r="T1262" i="4"/>
  <c r="U1262" i="4"/>
  <c r="L1261" i="4"/>
  <c r="M1261" i="4" s="1"/>
  <c r="R1261" i="4"/>
  <c r="S1261" i="4"/>
  <c r="T1261" i="4"/>
  <c r="U1261" i="4"/>
  <c r="D1264" i="4"/>
  <c r="D1262" i="4"/>
  <c r="D1261" i="4"/>
  <c r="O1260" i="4"/>
  <c r="O1259" i="4"/>
  <c r="L1260" i="4"/>
  <c r="R1260" i="4"/>
  <c r="S1260" i="4"/>
  <c r="T1260" i="4"/>
  <c r="U1260" i="4"/>
  <c r="D1260" i="4"/>
  <c r="L1259" i="4"/>
  <c r="R1259" i="4"/>
  <c r="S1259" i="4"/>
  <c r="T1259" i="4"/>
  <c r="U1259" i="4"/>
  <c r="D1259" i="4"/>
  <c r="O1256" i="4"/>
  <c r="O1254" i="4"/>
  <c r="L1256" i="4"/>
  <c r="R1256" i="4"/>
  <c r="S1256" i="4"/>
  <c r="T1256" i="4"/>
  <c r="U1256" i="4"/>
  <c r="D1256" i="4"/>
  <c r="L1254" i="4"/>
  <c r="R1254" i="4"/>
  <c r="S1254" i="4"/>
  <c r="T1254" i="4"/>
  <c r="U1254" i="4"/>
  <c r="D1254" i="4"/>
  <c r="O1266" i="4"/>
  <c r="L1266" i="4"/>
  <c r="R1266" i="4"/>
  <c r="S1266" i="4"/>
  <c r="T1266" i="4"/>
  <c r="U1266" i="4"/>
  <c r="D1266" i="4"/>
  <c r="O1258" i="4"/>
  <c r="L1258" i="4"/>
  <c r="M1258" i="4" s="1"/>
  <c r="R1258" i="4"/>
  <c r="S1258" i="4"/>
  <c r="T1258" i="4"/>
  <c r="U1258" i="4"/>
  <c r="D1258" i="4"/>
  <c r="V1268" i="4" l="1"/>
  <c r="V1265" i="4"/>
  <c r="V1261" i="4"/>
  <c r="V1262" i="4"/>
  <c r="V1264" i="4"/>
  <c r="V1259" i="4"/>
  <c r="V1256" i="4"/>
  <c r="V1260" i="4"/>
  <c r="V1258" i="4"/>
  <c r="V1254" i="4"/>
  <c r="V1266" i="4"/>
  <c r="O1257" i="4" l="1"/>
  <c r="L1257" i="4"/>
  <c r="R1257" i="4"/>
  <c r="S1257" i="4"/>
  <c r="T1257" i="4"/>
  <c r="U1257" i="4"/>
  <c r="D1257" i="4"/>
  <c r="O1253" i="4"/>
  <c r="L1253" i="4"/>
  <c r="M1253" i="4" s="1"/>
  <c r="R1253" i="4"/>
  <c r="S1253" i="4"/>
  <c r="T1253" i="4"/>
  <c r="U1253" i="4"/>
  <c r="D1253" i="4"/>
  <c r="V1257" i="4" l="1"/>
  <c r="V1253" i="4"/>
  <c r="L1159" i="4" l="1"/>
  <c r="O1251" i="4"/>
  <c r="O1234" i="4"/>
  <c r="O1235" i="4"/>
  <c r="O1236" i="4"/>
  <c r="O1237" i="4"/>
  <c r="O1238" i="4"/>
  <c r="O1252" i="4"/>
  <c r="L1252" i="4"/>
  <c r="M1252" i="4" s="1"/>
  <c r="R1252" i="4"/>
  <c r="S1252" i="4"/>
  <c r="T1252" i="4"/>
  <c r="U1252" i="4"/>
  <c r="D1252" i="4"/>
  <c r="L1238" i="4"/>
  <c r="R1238" i="4"/>
  <c r="S1238" i="4"/>
  <c r="T1238" i="4"/>
  <c r="U1238" i="4"/>
  <c r="D1238" i="4"/>
  <c r="L1237" i="4"/>
  <c r="R1237" i="4"/>
  <c r="S1237" i="4"/>
  <c r="T1237" i="4"/>
  <c r="U1237" i="4"/>
  <c r="D1237" i="4"/>
  <c r="D1236" i="4"/>
  <c r="D1235" i="4"/>
  <c r="L1236" i="4"/>
  <c r="L1235" i="4"/>
  <c r="L1234" i="4"/>
  <c r="M1234" i="4" s="1"/>
  <c r="R1236" i="4"/>
  <c r="S1236" i="4"/>
  <c r="T1236" i="4"/>
  <c r="U1236" i="4"/>
  <c r="R1235" i="4"/>
  <c r="S1235" i="4"/>
  <c r="T1235" i="4"/>
  <c r="U1235" i="4"/>
  <c r="R1234" i="4"/>
  <c r="S1234" i="4"/>
  <c r="T1234" i="4"/>
  <c r="U1234" i="4"/>
  <c r="D1234" i="4"/>
  <c r="O1243" i="4"/>
  <c r="L1251" i="4"/>
  <c r="R1251" i="4"/>
  <c r="S1251" i="4"/>
  <c r="T1251" i="4"/>
  <c r="U1251" i="4"/>
  <c r="D1251" i="4"/>
  <c r="L1243" i="4"/>
  <c r="R1243" i="4"/>
  <c r="S1243" i="4"/>
  <c r="T1243" i="4"/>
  <c r="U1243" i="4"/>
  <c r="D1243" i="4"/>
  <c r="O1249" i="4"/>
  <c r="L1249" i="4"/>
  <c r="R1249" i="4"/>
  <c r="S1249" i="4"/>
  <c r="T1249" i="4"/>
  <c r="U1249" i="4"/>
  <c r="D1249" i="4"/>
  <c r="O1250" i="4"/>
  <c r="L1250" i="4"/>
  <c r="M1250" i="4" s="1"/>
  <c r="R1250" i="4"/>
  <c r="S1250" i="4"/>
  <c r="T1250" i="4"/>
  <c r="U1250" i="4"/>
  <c r="D1250" i="4"/>
  <c r="O1245" i="4"/>
  <c r="L1245" i="4"/>
  <c r="R1245" i="4"/>
  <c r="S1245" i="4"/>
  <c r="T1245" i="4"/>
  <c r="U1245" i="4"/>
  <c r="D1245" i="4"/>
  <c r="O1244" i="4"/>
  <c r="L1244" i="4"/>
  <c r="R1244" i="4"/>
  <c r="S1244" i="4"/>
  <c r="T1244" i="4"/>
  <c r="U1244" i="4"/>
  <c r="D1244" i="4"/>
  <c r="O1248" i="4"/>
  <c r="O1247" i="4"/>
  <c r="O1246" i="4"/>
  <c r="L1248" i="4"/>
  <c r="M1248" i="4" s="1"/>
  <c r="L1247" i="4"/>
  <c r="M1247" i="4" s="1"/>
  <c r="L1246" i="4"/>
  <c r="M1246" i="4" s="1"/>
  <c r="R1248" i="4"/>
  <c r="S1248" i="4"/>
  <c r="T1248" i="4"/>
  <c r="U1248" i="4"/>
  <c r="R1247" i="4"/>
  <c r="S1247" i="4"/>
  <c r="T1247" i="4"/>
  <c r="U1247" i="4"/>
  <c r="D1248" i="4"/>
  <c r="D1247" i="4"/>
  <c r="R1246" i="4"/>
  <c r="S1246" i="4"/>
  <c r="T1246" i="4"/>
  <c r="U1246" i="4"/>
  <c r="D1246" i="4"/>
  <c r="V1237" i="4" l="1"/>
  <c r="V1252" i="4"/>
  <c r="V1238" i="4"/>
  <c r="V1236" i="4"/>
  <c r="V1235" i="4"/>
  <c r="V1234" i="4"/>
  <c r="V1243" i="4"/>
  <c r="V1251" i="4"/>
  <c r="V1250" i="4"/>
  <c r="V1249" i="4"/>
  <c r="V1247" i="4"/>
  <c r="V1248" i="4"/>
  <c r="V1244" i="4"/>
  <c r="V1245" i="4"/>
  <c r="V1246" i="4"/>
  <c r="D1242" i="4" l="1"/>
  <c r="D1241" i="4"/>
  <c r="D1240" i="4"/>
  <c r="O1242" i="4"/>
  <c r="O1241" i="4"/>
  <c r="O1240" i="4"/>
  <c r="O1239" i="4"/>
  <c r="L1242" i="4"/>
  <c r="M1242" i="4" s="1"/>
  <c r="L1241" i="4"/>
  <c r="M1241" i="4" s="1"/>
  <c r="L1240" i="4"/>
  <c r="M1240" i="4" s="1"/>
  <c r="L1239" i="4"/>
  <c r="M1239" i="4" s="1"/>
  <c r="R1242" i="4"/>
  <c r="S1242" i="4"/>
  <c r="T1242" i="4"/>
  <c r="U1242" i="4"/>
  <c r="R1241" i="4"/>
  <c r="S1241" i="4"/>
  <c r="T1241" i="4"/>
  <c r="U1241" i="4"/>
  <c r="R1240" i="4"/>
  <c r="S1240" i="4"/>
  <c r="T1240" i="4"/>
  <c r="U1240" i="4"/>
  <c r="R1239" i="4"/>
  <c r="S1239" i="4"/>
  <c r="T1239" i="4"/>
  <c r="U1239" i="4"/>
  <c r="D1239" i="4"/>
  <c r="D1229" i="4"/>
  <c r="O1229" i="4"/>
  <c r="O1228" i="4"/>
  <c r="L1229" i="4"/>
  <c r="M1229" i="4" s="1"/>
  <c r="L1228" i="4"/>
  <c r="M1228" i="4" s="1"/>
  <c r="R1229" i="4"/>
  <c r="S1229" i="4"/>
  <c r="T1229" i="4"/>
  <c r="U1229" i="4"/>
  <c r="R1228" i="4"/>
  <c r="S1228" i="4"/>
  <c r="T1228" i="4"/>
  <c r="U1228" i="4"/>
  <c r="D1228" i="4"/>
  <c r="D1232" i="4"/>
  <c r="O1232" i="4"/>
  <c r="O1231" i="4"/>
  <c r="L1232" i="4"/>
  <c r="M1232" i="4" s="1"/>
  <c r="R1232" i="4"/>
  <c r="S1232" i="4"/>
  <c r="T1232" i="4"/>
  <c r="U1232" i="4"/>
  <c r="L1231" i="4"/>
  <c r="M1231" i="4" s="1"/>
  <c r="R1231" i="4"/>
  <c r="S1231" i="4"/>
  <c r="T1231" i="4"/>
  <c r="U1231" i="4"/>
  <c r="L1230" i="4"/>
  <c r="M1230" i="4" s="1"/>
  <c r="R1230" i="4"/>
  <c r="S1230" i="4"/>
  <c r="T1230" i="4"/>
  <c r="U1230" i="4"/>
  <c r="D1231" i="4"/>
  <c r="O1230" i="4"/>
  <c r="D1230" i="4"/>
  <c r="V1241" i="4" l="1"/>
  <c r="V1240" i="4"/>
  <c r="V1242" i="4"/>
  <c r="V1239" i="4"/>
  <c r="V1228" i="4"/>
  <c r="V1229" i="4"/>
  <c r="V1231" i="4"/>
  <c r="V1232" i="4"/>
  <c r="V1230" i="4"/>
  <c r="S1225" i="4" l="1"/>
  <c r="T1225" i="4"/>
  <c r="U1225" i="4"/>
  <c r="S1226" i="4"/>
  <c r="T1226" i="4"/>
  <c r="U1226" i="4"/>
  <c r="R1225" i="4"/>
  <c r="R1226" i="4"/>
  <c r="O1225" i="4"/>
  <c r="O1226" i="4"/>
  <c r="O1224" i="4"/>
  <c r="P1224" i="4" s="1"/>
  <c r="O1223" i="4"/>
  <c r="O1222" i="4"/>
  <c r="D1226" i="4"/>
  <c r="D1225" i="4"/>
  <c r="D1224" i="4"/>
  <c r="D1223" i="4"/>
  <c r="L1226" i="4"/>
  <c r="L1225" i="4"/>
  <c r="L1224" i="4"/>
  <c r="R1224" i="4"/>
  <c r="S1224" i="4"/>
  <c r="T1224" i="4"/>
  <c r="U1224" i="4"/>
  <c r="L1223" i="4"/>
  <c r="R1223" i="4"/>
  <c r="S1223" i="4"/>
  <c r="T1223" i="4"/>
  <c r="U1223" i="4"/>
  <c r="L1222" i="4"/>
  <c r="R1222" i="4"/>
  <c r="S1222" i="4"/>
  <c r="T1222" i="4"/>
  <c r="U1222" i="4"/>
  <c r="D1222" i="4"/>
  <c r="O1227" i="4"/>
  <c r="M1227" i="4"/>
  <c r="R1227" i="4"/>
  <c r="S1227" i="4"/>
  <c r="T1227" i="4"/>
  <c r="U1227" i="4"/>
  <c r="D1227" i="4"/>
  <c r="V1225" i="4" l="1"/>
  <c r="V1222" i="4"/>
  <c r="V1226" i="4"/>
  <c r="V1224" i="4"/>
  <c r="V1223" i="4"/>
  <c r="V1227" i="4"/>
  <c r="O1221" i="4" l="1"/>
  <c r="L1221" i="4"/>
  <c r="M1221" i="4" s="1"/>
  <c r="R1221" i="4"/>
  <c r="S1221" i="4"/>
  <c r="T1221" i="4"/>
  <c r="U1221" i="4"/>
  <c r="D1221" i="4"/>
  <c r="O1220" i="4"/>
  <c r="L1220" i="4"/>
  <c r="M1220" i="4" s="1"/>
  <c r="R1220" i="4"/>
  <c r="S1220" i="4"/>
  <c r="T1220" i="4"/>
  <c r="U1220" i="4"/>
  <c r="D1220" i="4"/>
  <c r="O1219" i="4"/>
  <c r="L1219" i="4"/>
  <c r="M1219" i="4" s="1"/>
  <c r="R1219" i="4"/>
  <c r="S1219" i="4"/>
  <c r="T1219" i="4"/>
  <c r="U1219" i="4"/>
  <c r="D1219" i="4"/>
  <c r="O1217" i="4"/>
  <c r="O1218" i="4"/>
  <c r="L1218" i="4"/>
  <c r="M1218" i="4" s="1"/>
  <c r="R1218" i="4"/>
  <c r="S1218" i="4"/>
  <c r="T1218" i="4"/>
  <c r="U1218" i="4"/>
  <c r="D1218" i="4"/>
  <c r="L1217" i="4"/>
  <c r="M1217" i="4" s="1"/>
  <c r="R1217" i="4"/>
  <c r="S1217" i="4"/>
  <c r="T1217" i="4"/>
  <c r="U1217" i="4"/>
  <c r="D1217" i="4"/>
  <c r="V1220" i="4" l="1"/>
  <c r="V1219" i="4"/>
  <c r="V1221" i="4"/>
  <c r="V1217" i="4"/>
  <c r="V1218" i="4"/>
  <c r="O1216" i="4" l="1"/>
  <c r="L1216" i="4"/>
  <c r="R1216" i="4"/>
  <c r="S1216" i="4"/>
  <c r="T1216" i="4"/>
  <c r="U1216" i="4"/>
  <c r="D1216" i="4"/>
  <c r="O1215" i="4"/>
  <c r="L1215" i="4"/>
  <c r="M1215" i="4" s="1"/>
  <c r="R1215" i="4"/>
  <c r="S1215" i="4"/>
  <c r="T1215" i="4"/>
  <c r="U1215" i="4"/>
  <c r="D1215" i="4"/>
  <c r="V1216" i="4" l="1"/>
  <c r="V1215" i="4"/>
  <c r="O1214" i="4" l="1"/>
  <c r="L1214" i="4"/>
  <c r="M1214" i="4" s="1"/>
  <c r="R1214" i="4"/>
  <c r="S1214" i="4"/>
  <c r="T1214" i="4"/>
  <c r="U1214" i="4"/>
  <c r="D1214" i="4"/>
  <c r="O1213" i="4"/>
  <c r="L1213" i="4"/>
  <c r="M1213" i="4" s="1"/>
  <c r="R1213" i="4"/>
  <c r="S1213" i="4"/>
  <c r="T1213" i="4"/>
  <c r="U1213" i="4"/>
  <c r="D1213" i="4"/>
  <c r="V1214" i="4" l="1"/>
  <c r="V1213" i="4"/>
  <c r="L1193" i="4"/>
  <c r="M1193" i="4" s="1"/>
  <c r="D1192" i="4"/>
  <c r="D1193" i="4"/>
  <c r="O1204" i="4"/>
  <c r="L1204" i="4"/>
  <c r="M1204" i="4" s="1"/>
  <c r="R1204" i="4"/>
  <c r="S1204" i="4"/>
  <c r="T1204" i="4"/>
  <c r="U1204" i="4"/>
  <c r="D1204" i="4"/>
  <c r="O1203" i="4"/>
  <c r="L1203" i="4"/>
  <c r="M1203" i="4" s="1"/>
  <c r="R1203" i="4"/>
  <c r="S1203" i="4"/>
  <c r="T1203" i="4"/>
  <c r="U1203" i="4"/>
  <c r="D1203" i="4"/>
  <c r="D1201" i="4"/>
  <c r="O1201" i="4"/>
  <c r="O1200" i="4"/>
  <c r="L1201" i="4"/>
  <c r="R1201" i="4"/>
  <c r="S1201" i="4"/>
  <c r="T1201" i="4"/>
  <c r="U1201" i="4"/>
  <c r="L1200" i="4"/>
  <c r="R1200" i="4"/>
  <c r="S1200" i="4"/>
  <c r="T1200" i="4"/>
  <c r="U1200" i="4"/>
  <c r="D1200" i="4"/>
  <c r="O1202" i="4"/>
  <c r="L1202" i="4"/>
  <c r="M1202" i="4" s="1"/>
  <c r="R1202" i="4"/>
  <c r="S1202" i="4"/>
  <c r="T1202" i="4"/>
  <c r="U1202" i="4"/>
  <c r="D1202" i="4"/>
  <c r="D1212" i="4"/>
  <c r="D1211" i="4"/>
  <c r="O1212" i="4"/>
  <c r="O1211" i="4"/>
  <c r="O1210" i="4"/>
  <c r="L1212" i="4"/>
  <c r="M1212" i="4" s="1"/>
  <c r="R1212" i="4"/>
  <c r="S1212" i="4"/>
  <c r="T1212" i="4"/>
  <c r="U1212" i="4"/>
  <c r="L1211" i="4"/>
  <c r="M1211" i="4" s="1"/>
  <c r="R1211" i="4"/>
  <c r="S1211" i="4"/>
  <c r="T1211" i="4"/>
  <c r="U1211" i="4"/>
  <c r="L1210" i="4"/>
  <c r="M1210" i="4" s="1"/>
  <c r="R1210" i="4"/>
  <c r="S1210" i="4"/>
  <c r="T1210" i="4"/>
  <c r="U1210" i="4"/>
  <c r="D1210" i="4"/>
  <c r="D1209" i="4"/>
  <c r="D1207" i="4"/>
  <c r="D1206" i="4"/>
  <c r="O1209" i="4"/>
  <c r="O1207" i="4"/>
  <c r="O1206" i="4"/>
  <c r="O1205" i="4"/>
  <c r="L1209" i="4"/>
  <c r="M1209" i="4" s="1"/>
  <c r="R1209" i="4"/>
  <c r="S1209" i="4"/>
  <c r="T1209" i="4"/>
  <c r="U1209" i="4"/>
  <c r="L1207" i="4"/>
  <c r="M1207" i="4" s="1"/>
  <c r="R1207" i="4"/>
  <c r="S1207" i="4"/>
  <c r="T1207" i="4"/>
  <c r="U1207" i="4"/>
  <c r="L1206" i="4"/>
  <c r="M1206" i="4" s="1"/>
  <c r="R1206" i="4"/>
  <c r="S1206" i="4"/>
  <c r="T1206" i="4"/>
  <c r="U1206" i="4"/>
  <c r="L1205" i="4"/>
  <c r="M1205" i="4" s="1"/>
  <c r="R1205" i="4"/>
  <c r="S1205" i="4"/>
  <c r="T1205" i="4"/>
  <c r="U1205" i="4"/>
  <c r="D1205" i="4"/>
  <c r="L1187" i="4"/>
  <c r="R1187" i="4"/>
  <c r="S1187" i="4"/>
  <c r="T1187" i="4"/>
  <c r="U1187" i="4"/>
  <c r="D1187" i="4"/>
  <c r="L1189" i="4"/>
  <c r="M1189" i="4" s="1"/>
  <c r="R1189" i="4"/>
  <c r="S1189" i="4"/>
  <c r="T1189" i="4"/>
  <c r="U1189" i="4"/>
  <c r="D1189" i="4"/>
  <c r="V1204" i="4" l="1"/>
  <c r="V1203" i="4"/>
  <c r="V1212" i="4"/>
  <c r="V1206" i="4"/>
  <c r="V1200" i="4"/>
  <c r="V1209" i="4"/>
  <c r="V1207" i="4"/>
  <c r="V1210" i="4"/>
  <c r="V1211" i="4"/>
  <c r="V1187" i="4"/>
  <c r="V1201" i="4"/>
  <c r="V1202" i="4"/>
  <c r="V1205" i="4"/>
  <c r="V1189" i="4"/>
  <c r="O1192" i="4"/>
  <c r="D1195" i="4"/>
  <c r="D1194" i="4"/>
  <c r="D1191" i="4"/>
  <c r="O1191" i="4"/>
  <c r="O1190" i="4"/>
  <c r="L1195" i="4"/>
  <c r="R1195" i="4"/>
  <c r="S1195" i="4"/>
  <c r="T1195" i="4"/>
  <c r="U1195" i="4"/>
  <c r="L1194" i="4"/>
  <c r="R1194" i="4"/>
  <c r="S1194" i="4"/>
  <c r="T1194" i="4"/>
  <c r="U1194" i="4"/>
  <c r="L1192" i="4"/>
  <c r="R1192" i="4"/>
  <c r="S1192" i="4"/>
  <c r="T1192" i="4"/>
  <c r="U1192" i="4"/>
  <c r="L1191" i="4"/>
  <c r="R1191" i="4"/>
  <c r="S1191" i="4"/>
  <c r="T1191" i="4"/>
  <c r="U1191" i="4"/>
  <c r="L1190" i="4"/>
  <c r="R1190" i="4"/>
  <c r="S1190" i="4"/>
  <c r="T1190" i="4"/>
  <c r="U1190" i="4"/>
  <c r="D1190" i="4"/>
  <c r="O1188" i="4"/>
  <c r="L1188" i="4"/>
  <c r="M1188" i="4" s="1"/>
  <c r="R1188" i="4"/>
  <c r="S1188" i="4"/>
  <c r="T1188" i="4"/>
  <c r="U1188" i="4"/>
  <c r="D1188" i="4"/>
  <c r="O1199" i="4"/>
  <c r="O1198" i="4"/>
  <c r="O1197" i="4"/>
  <c r="O1196" i="4"/>
  <c r="D1198" i="4"/>
  <c r="D1199" i="4"/>
  <c r="L1199" i="4"/>
  <c r="M1199" i="4" s="1"/>
  <c r="L1198" i="4"/>
  <c r="M1198" i="4" s="1"/>
  <c r="L1197" i="4"/>
  <c r="M1197" i="4" s="1"/>
  <c r="R1199" i="4"/>
  <c r="S1199" i="4"/>
  <c r="T1199" i="4"/>
  <c r="U1199" i="4"/>
  <c r="R1198" i="4"/>
  <c r="S1198" i="4"/>
  <c r="T1198" i="4"/>
  <c r="U1198" i="4"/>
  <c r="R1197" i="4"/>
  <c r="S1197" i="4"/>
  <c r="T1197" i="4"/>
  <c r="U1197" i="4"/>
  <c r="L1196" i="4"/>
  <c r="M1196" i="4" s="1"/>
  <c r="R1196" i="4"/>
  <c r="S1196" i="4"/>
  <c r="T1196" i="4"/>
  <c r="U1196" i="4"/>
  <c r="D1197" i="4"/>
  <c r="D1196" i="4"/>
  <c r="D1122" i="4"/>
  <c r="D1121" i="4"/>
  <c r="O1122" i="4"/>
  <c r="O1121" i="4"/>
  <c r="O1120" i="4"/>
  <c r="L1122" i="4"/>
  <c r="L1121" i="4"/>
  <c r="R1122" i="4"/>
  <c r="S1122" i="4"/>
  <c r="T1122" i="4"/>
  <c r="U1122" i="4"/>
  <c r="R1121" i="4"/>
  <c r="S1121" i="4"/>
  <c r="T1121" i="4"/>
  <c r="U1121" i="4"/>
  <c r="L1120" i="4"/>
  <c r="R1120" i="4"/>
  <c r="S1120" i="4"/>
  <c r="T1120" i="4"/>
  <c r="U1120" i="4"/>
  <c r="D1120" i="4"/>
  <c r="V1190" i="4" l="1"/>
  <c r="V1195" i="4"/>
  <c r="V1191" i="4"/>
  <c r="V1192" i="4"/>
  <c r="V1194" i="4"/>
  <c r="P1198" i="4"/>
  <c r="V1188" i="4"/>
  <c r="V1196" i="4"/>
  <c r="V1199" i="4"/>
  <c r="V1197" i="4"/>
  <c r="V1198" i="4"/>
  <c r="V1121" i="4"/>
  <c r="V1120" i="4"/>
  <c r="V1122" i="4"/>
  <c r="U1066" i="4" l="1"/>
  <c r="T1066" i="4"/>
  <c r="S1066" i="4"/>
  <c r="R1066" i="4"/>
  <c r="R1065" i="4"/>
  <c r="S1065" i="4"/>
  <c r="T1065" i="4"/>
  <c r="U1065" i="4"/>
  <c r="L1066" i="4"/>
  <c r="M1066" i="4" s="1"/>
  <c r="O1185" i="4"/>
  <c r="L1185" i="4"/>
  <c r="R1185" i="4"/>
  <c r="S1185" i="4"/>
  <c r="T1185" i="4"/>
  <c r="U1185" i="4"/>
  <c r="D1185" i="4"/>
  <c r="O1186" i="4"/>
  <c r="L1186" i="4"/>
  <c r="R1186" i="4"/>
  <c r="S1186" i="4"/>
  <c r="T1186" i="4"/>
  <c r="U1186" i="4"/>
  <c r="D1186" i="4"/>
  <c r="O1184" i="4"/>
  <c r="L1184" i="4"/>
  <c r="R1184" i="4"/>
  <c r="S1184" i="4"/>
  <c r="T1184" i="4"/>
  <c r="U1184" i="4"/>
  <c r="D1184" i="4"/>
  <c r="O1183" i="4"/>
  <c r="L1183" i="4"/>
  <c r="M1183" i="4" s="1"/>
  <c r="R1183" i="4"/>
  <c r="S1183" i="4"/>
  <c r="T1183" i="4"/>
  <c r="U1183" i="4"/>
  <c r="D1183" i="4"/>
  <c r="V1065" i="4" l="1"/>
  <c r="V1066" i="4"/>
  <c r="V1186" i="4"/>
  <c r="V1183" i="4"/>
  <c r="V1185" i="4"/>
  <c r="V1184" i="4"/>
  <c r="D1181" i="4" l="1"/>
  <c r="D1180" i="4"/>
  <c r="O1181" i="4"/>
  <c r="L1181" i="4"/>
  <c r="M1181" i="4" s="1"/>
  <c r="R1181" i="4"/>
  <c r="S1181" i="4"/>
  <c r="T1181" i="4"/>
  <c r="U1181" i="4"/>
  <c r="O1180" i="4"/>
  <c r="L1180" i="4"/>
  <c r="M1180" i="4" s="1"/>
  <c r="R1180" i="4"/>
  <c r="S1180" i="4"/>
  <c r="T1180" i="4"/>
  <c r="U1180" i="4"/>
  <c r="O1179" i="4"/>
  <c r="L1179" i="4"/>
  <c r="M1179" i="4" s="1"/>
  <c r="R1179" i="4"/>
  <c r="S1179" i="4"/>
  <c r="T1179" i="4"/>
  <c r="U1179" i="4"/>
  <c r="D1179" i="4"/>
  <c r="O1182" i="4"/>
  <c r="L1182" i="4"/>
  <c r="M1182" i="4" s="1"/>
  <c r="R1182" i="4"/>
  <c r="S1182" i="4"/>
  <c r="T1182" i="4"/>
  <c r="U1182" i="4"/>
  <c r="D1182" i="4"/>
  <c r="O1177" i="4"/>
  <c r="O1176" i="4"/>
  <c r="D1177" i="4"/>
  <c r="L1177" i="4"/>
  <c r="M1177" i="4" s="1"/>
  <c r="R1177" i="4"/>
  <c r="S1177" i="4"/>
  <c r="T1177" i="4"/>
  <c r="U1177" i="4"/>
  <c r="L1176" i="4"/>
  <c r="M1176" i="4" s="1"/>
  <c r="R1176" i="4"/>
  <c r="S1176" i="4"/>
  <c r="T1176" i="4"/>
  <c r="U1176" i="4"/>
  <c r="D1176" i="4"/>
  <c r="O1175" i="4"/>
  <c r="L1175" i="4"/>
  <c r="R1175" i="4"/>
  <c r="S1175" i="4"/>
  <c r="T1175" i="4"/>
  <c r="U1175" i="4"/>
  <c r="D1175" i="4"/>
  <c r="O1178" i="4"/>
  <c r="L1178" i="4"/>
  <c r="R1178" i="4"/>
  <c r="S1178" i="4"/>
  <c r="T1178" i="4"/>
  <c r="U1178" i="4"/>
  <c r="D1178" i="4"/>
  <c r="V1179" i="4" l="1"/>
  <c r="V1180" i="4"/>
  <c r="V1181" i="4"/>
  <c r="V1182" i="4"/>
  <c r="V1177" i="4"/>
  <c r="V1176" i="4"/>
  <c r="V1175" i="4"/>
  <c r="V1178" i="4"/>
  <c r="O1166" i="4" l="1"/>
  <c r="L1166" i="4"/>
  <c r="M1166" i="4" s="1"/>
  <c r="R1166" i="4"/>
  <c r="S1166" i="4"/>
  <c r="T1166" i="4"/>
  <c r="U1166" i="4"/>
  <c r="D1166" i="4"/>
  <c r="O1165" i="4"/>
  <c r="L1165" i="4"/>
  <c r="M1165" i="4" s="1"/>
  <c r="R1165" i="4"/>
  <c r="S1165" i="4"/>
  <c r="T1165" i="4"/>
  <c r="U1165" i="4"/>
  <c r="D1165" i="4"/>
  <c r="O1174" i="4"/>
  <c r="L1174" i="4"/>
  <c r="M1174" i="4" s="1"/>
  <c r="R1174" i="4"/>
  <c r="S1174" i="4"/>
  <c r="T1174" i="4"/>
  <c r="U1174" i="4"/>
  <c r="D1174" i="4"/>
  <c r="V1166" i="4" l="1"/>
  <c r="V1165" i="4"/>
  <c r="V1174" i="4"/>
  <c r="O1164" i="4"/>
  <c r="L1164" i="4"/>
  <c r="R1164" i="4"/>
  <c r="S1164" i="4"/>
  <c r="T1164" i="4"/>
  <c r="U1164" i="4"/>
  <c r="D1164" i="4"/>
  <c r="O1170" i="4"/>
  <c r="O1169" i="4"/>
  <c r="O1168" i="4"/>
  <c r="O1167" i="4"/>
  <c r="D1170" i="4"/>
  <c r="D1169" i="4"/>
  <c r="D1168" i="4"/>
  <c r="L1170" i="4"/>
  <c r="M1170" i="4" s="1"/>
  <c r="R1170" i="4"/>
  <c r="S1170" i="4"/>
  <c r="T1170" i="4"/>
  <c r="U1170" i="4"/>
  <c r="L1169" i="4"/>
  <c r="M1169" i="4" s="1"/>
  <c r="R1169" i="4"/>
  <c r="S1169" i="4"/>
  <c r="T1169" i="4"/>
  <c r="U1169" i="4"/>
  <c r="L1168" i="4"/>
  <c r="M1168" i="4" s="1"/>
  <c r="R1168" i="4"/>
  <c r="S1168" i="4"/>
  <c r="T1168" i="4"/>
  <c r="U1168" i="4"/>
  <c r="L1167" i="4"/>
  <c r="M1167" i="4" s="1"/>
  <c r="R1167" i="4"/>
  <c r="S1167" i="4"/>
  <c r="T1167" i="4"/>
  <c r="U1167" i="4"/>
  <c r="D1167" i="4"/>
  <c r="U1173" i="4"/>
  <c r="T1173" i="4"/>
  <c r="S1173" i="4"/>
  <c r="R1173" i="4"/>
  <c r="U1172" i="4"/>
  <c r="T1172" i="4"/>
  <c r="S1172" i="4"/>
  <c r="R1172" i="4"/>
  <c r="U1171" i="4"/>
  <c r="T1171" i="4"/>
  <c r="S1171" i="4"/>
  <c r="R1171" i="4"/>
  <c r="U1163" i="4"/>
  <c r="T1163" i="4"/>
  <c r="S1163" i="4"/>
  <c r="R1163" i="4"/>
  <c r="U1162" i="4"/>
  <c r="T1162" i="4"/>
  <c r="S1162" i="4"/>
  <c r="R1162" i="4"/>
  <c r="U1161" i="4"/>
  <c r="T1161" i="4"/>
  <c r="S1161" i="4"/>
  <c r="R1161" i="4"/>
  <c r="U1160" i="4"/>
  <c r="T1160" i="4"/>
  <c r="S1160" i="4"/>
  <c r="R1160" i="4"/>
  <c r="U1159" i="4"/>
  <c r="T1159" i="4"/>
  <c r="S1159" i="4"/>
  <c r="R1159" i="4"/>
  <c r="U1155" i="4"/>
  <c r="T1155" i="4"/>
  <c r="S1155" i="4"/>
  <c r="R1155" i="4"/>
  <c r="U1157" i="4"/>
  <c r="T1157" i="4"/>
  <c r="S1157" i="4"/>
  <c r="R1157" i="4"/>
  <c r="U1156" i="4"/>
  <c r="T1156" i="4"/>
  <c r="S1156" i="4"/>
  <c r="R1156" i="4"/>
  <c r="O1173" i="4"/>
  <c r="O1172" i="4"/>
  <c r="O1171" i="4"/>
  <c r="O1163" i="4"/>
  <c r="O1162" i="4"/>
  <c r="O1161" i="4"/>
  <c r="O1160" i="4"/>
  <c r="O1159" i="4"/>
  <c r="O1155" i="4"/>
  <c r="O1157" i="4"/>
  <c r="O1156" i="4"/>
  <c r="V1168" i="4" l="1"/>
  <c r="V1164" i="4"/>
  <c r="V1170" i="4"/>
  <c r="V1169" i="4"/>
  <c r="V1167" i="4"/>
  <c r="V1171" i="4"/>
  <c r="V1157" i="4"/>
  <c r="V1159" i="4"/>
  <c r="V1161" i="4"/>
  <c r="V1163" i="4"/>
  <c r="V1173" i="4"/>
  <c r="V1172" i="4"/>
  <c r="V1156" i="4"/>
  <c r="V1155" i="4"/>
  <c r="V1160" i="4"/>
  <c r="V1162" i="4"/>
  <c r="D1173" i="4"/>
  <c r="D1172" i="4"/>
  <c r="L1173" i="4"/>
  <c r="M1173" i="4" s="1"/>
  <c r="L1172" i="4"/>
  <c r="M1172" i="4" s="1"/>
  <c r="L1171" i="4"/>
  <c r="D1171" i="4"/>
  <c r="M1171" i="4" l="1"/>
  <c r="L1163" i="4"/>
  <c r="D1163" i="4"/>
  <c r="L1162" i="4"/>
  <c r="D1162" i="4"/>
  <c r="D1161" i="4"/>
  <c r="L1161" i="4"/>
  <c r="M1161" i="4" s="1"/>
  <c r="L1160" i="4"/>
  <c r="M1160" i="4" s="1"/>
  <c r="D1159" i="4"/>
  <c r="D1160" i="4"/>
  <c r="M1159" i="4" l="1"/>
  <c r="L1155" i="4" l="1"/>
  <c r="M1155" i="4" s="1"/>
  <c r="D1155" i="4"/>
  <c r="L1156" i="4"/>
  <c r="M1156" i="4" s="1"/>
  <c r="L1157" i="4"/>
  <c r="M1157" i="4" s="1"/>
  <c r="O1158" i="4"/>
  <c r="L1158" i="4"/>
  <c r="M1158" i="4" s="1"/>
  <c r="R1158" i="4"/>
  <c r="S1158" i="4"/>
  <c r="T1158" i="4"/>
  <c r="U1158" i="4"/>
  <c r="D1157" i="4"/>
  <c r="D1156" i="4"/>
  <c r="D1158" i="4"/>
  <c r="V1158" i="4" l="1"/>
  <c r="O1154" i="4"/>
  <c r="O1153" i="4"/>
  <c r="O1152" i="4"/>
  <c r="O1151" i="4"/>
  <c r="O1150" i="4"/>
  <c r="O1149" i="4"/>
  <c r="O1148" i="4"/>
  <c r="L1154" i="4"/>
  <c r="M1154" i="4" s="1"/>
  <c r="L1153" i="4"/>
  <c r="M1153" i="4" s="1"/>
  <c r="L1152" i="4"/>
  <c r="M1152" i="4" s="1"/>
  <c r="L1151" i="4"/>
  <c r="M1151" i="4" s="1"/>
  <c r="L1150" i="4"/>
  <c r="M1150" i="4" s="1"/>
  <c r="R1154" i="4"/>
  <c r="S1154" i="4"/>
  <c r="T1154" i="4"/>
  <c r="U1154" i="4"/>
  <c r="R1153" i="4"/>
  <c r="S1153" i="4"/>
  <c r="T1153" i="4"/>
  <c r="U1153" i="4"/>
  <c r="R1152" i="4"/>
  <c r="S1152" i="4"/>
  <c r="T1152" i="4"/>
  <c r="U1152" i="4"/>
  <c r="R1151" i="4"/>
  <c r="S1151" i="4"/>
  <c r="T1151" i="4"/>
  <c r="U1151" i="4"/>
  <c r="R1150" i="4"/>
  <c r="S1150" i="4"/>
  <c r="T1150" i="4"/>
  <c r="U1150" i="4"/>
  <c r="D1152" i="4"/>
  <c r="D1153" i="4"/>
  <c r="D1154" i="4"/>
  <c r="D1151" i="4"/>
  <c r="D1150" i="4"/>
  <c r="V1151" i="4" l="1"/>
  <c r="V1154" i="4"/>
  <c r="V1152" i="4"/>
  <c r="V1153" i="4"/>
  <c r="V1150" i="4"/>
  <c r="L1149" i="4" l="1"/>
  <c r="M1149" i="4" s="1"/>
  <c r="R1149" i="4"/>
  <c r="S1149" i="4"/>
  <c r="T1149" i="4"/>
  <c r="U1149" i="4"/>
  <c r="D1149" i="4"/>
  <c r="L1148" i="4"/>
  <c r="M1148" i="4" s="1"/>
  <c r="R1148" i="4"/>
  <c r="S1148" i="4"/>
  <c r="T1148" i="4"/>
  <c r="U1148" i="4"/>
  <c r="D1148" i="4"/>
  <c r="O1147" i="4"/>
  <c r="L1147" i="4"/>
  <c r="R1147" i="4"/>
  <c r="S1147" i="4"/>
  <c r="T1147" i="4"/>
  <c r="U1147" i="4"/>
  <c r="D1147" i="4"/>
  <c r="V1149" i="4" l="1"/>
  <c r="V1148" i="4"/>
  <c r="V1147" i="4"/>
  <c r="O1145" i="4"/>
  <c r="O1144" i="4"/>
  <c r="O1143" i="4"/>
  <c r="O1142" i="4"/>
  <c r="D1143" i="4"/>
  <c r="D1144" i="4"/>
  <c r="D1145" i="4"/>
  <c r="L1145" i="4"/>
  <c r="M1145" i="4" s="1"/>
  <c r="L1144" i="4"/>
  <c r="M1144" i="4" s="1"/>
  <c r="R1145" i="4"/>
  <c r="S1145" i="4"/>
  <c r="T1145" i="4"/>
  <c r="U1145" i="4"/>
  <c r="R1144" i="4"/>
  <c r="S1144" i="4"/>
  <c r="T1144" i="4"/>
  <c r="U1144" i="4"/>
  <c r="L1143" i="4"/>
  <c r="M1143" i="4" s="1"/>
  <c r="R1143" i="4"/>
  <c r="S1143" i="4"/>
  <c r="T1143" i="4"/>
  <c r="U1143" i="4"/>
  <c r="L1142" i="4"/>
  <c r="M1142" i="4" s="1"/>
  <c r="R1142" i="4"/>
  <c r="S1142" i="4"/>
  <c r="T1142" i="4"/>
  <c r="U1142" i="4"/>
  <c r="D1142" i="4"/>
  <c r="O1146" i="4"/>
  <c r="L1146" i="4"/>
  <c r="R1146" i="4"/>
  <c r="S1146" i="4"/>
  <c r="T1146" i="4"/>
  <c r="U1146" i="4"/>
  <c r="D1146" i="4"/>
  <c r="O1141" i="4"/>
  <c r="L1141" i="4"/>
  <c r="R1141" i="4"/>
  <c r="S1141" i="4"/>
  <c r="T1141" i="4"/>
  <c r="U1141" i="4"/>
  <c r="D1141" i="4"/>
  <c r="V1142" i="4" l="1"/>
  <c r="V1145" i="4"/>
  <c r="V1143" i="4"/>
  <c r="V1144" i="4"/>
  <c r="V1146" i="4"/>
  <c r="V1141" i="4"/>
  <c r="O1139" i="4" l="1"/>
  <c r="O1140" i="4"/>
  <c r="P1138" i="4"/>
  <c r="O1138" i="4"/>
  <c r="O1137" i="4"/>
  <c r="L1140" i="4"/>
  <c r="M1140" i="4" s="1"/>
  <c r="L1139" i="4"/>
  <c r="M1139" i="4" s="1"/>
  <c r="L1138" i="4"/>
  <c r="M1138" i="4" s="1"/>
  <c r="R1140" i="4"/>
  <c r="S1140" i="4"/>
  <c r="T1140" i="4"/>
  <c r="U1140" i="4"/>
  <c r="R1139" i="4"/>
  <c r="S1139" i="4"/>
  <c r="T1139" i="4"/>
  <c r="U1139" i="4"/>
  <c r="R1138" i="4"/>
  <c r="S1138" i="4"/>
  <c r="T1138" i="4"/>
  <c r="U1138" i="4"/>
  <c r="D1140" i="4"/>
  <c r="D1139" i="4"/>
  <c r="D1138" i="4"/>
  <c r="L1137" i="4"/>
  <c r="M1137" i="4" s="1"/>
  <c r="R1137" i="4"/>
  <c r="S1137" i="4"/>
  <c r="T1137" i="4"/>
  <c r="U1137" i="4"/>
  <c r="D1137" i="4"/>
  <c r="V1140" i="4" l="1"/>
  <c r="V1138" i="4"/>
  <c r="V1139" i="4"/>
  <c r="V1137" i="4"/>
  <c r="O1136" i="4" l="1"/>
  <c r="O1135" i="4"/>
  <c r="L1136" i="4"/>
  <c r="M1136" i="4" s="1"/>
  <c r="L1135" i="4"/>
  <c r="M1135" i="4" s="1"/>
  <c r="R1136" i="4"/>
  <c r="S1136" i="4"/>
  <c r="T1136" i="4"/>
  <c r="U1136" i="4"/>
  <c r="R1135" i="4"/>
  <c r="S1135" i="4"/>
  <c r="T1135" i="4"/>
  <c r="U1135" i="4"/>
  <c r="D1136" i="4"/>
  <c r="D1135" i="4"/>
  <c r="V1135" i="4" l="1"/>
  <c r="V1136" i="4"/>
  <c r="O1132" i="4"/>
  <c r="L1132" i="4"/>
  <c r="R1132" i="4"/>
  <c r="S1132" i="4"/>
  <c r="T1132" i="4"/>
  <c r="U1132" i="4"/>
  <c r="D1132" i="4"/>
  <c r="V1132" i="4" l="1"/>
  <c r="O1134" i="4"/>
  <c r="L1134" i="4"/>
  <c r="M1134" i="4" s="1"/>
  <c r="R1134" i="4"/>
  <c r="S1134" i="4"/>
  <c r="T1134" i="4"/>
  <c r="U1134" i="4"/>
  <c r="D1134" i="4"/>
  <c r="O1133" i="4"/>
  <c r="L1133" i="4"/>
  <c r="M1133" i="4" s="1"/>
  <c r="R1133" i="4"/>
  <c r="S1133" i="4"/>
  <c r="T1133" i="4"/>
  <c r="U1133" i="4"/>
  <c r="D1133" i="4"/>
  <c r="S1123" i="4"/>
  <c r="T1123" i="4"/>
  <c r="U1123" i="4"/>
  <c r="S1125" i="4"/>
  <c r="T1125" i="4"/>
  <c r="U1125" i="4"/>
  <c r="S1124" i="4"/>
  <c r="T1124" i="4"/>
  <c r="U1124" i="4"/>
  <c r="S1127" i="4"/>
  <c r="T1127" i="4"/>
  <c r="U1127" i="4"/>
  <c r="S1126" i="4"/>
  <c r="T1126" i="4"/>
  <c r="U1126" i="4"/>
  <c r="S1129" i="4"/>
  <c r="T1129" i="4"/>
  <c r="U1129" i="4"/>
  <c r="S1128" i="4"/>
  <c r="T1128" i="4"/>
  <c r="U1128" i="4"/>
  <c r="S1130" i="4"/>
  <c r="T1130" i="4"/>
  <c r="U1130" i="4"/>
  <c r="S1131" i="4"/>
  <c r="T1131" i="4"/>
  <c r="U1131" i="4"/>
  <c r="S1117" i="4"/>
  <c r="T1117" i="4"/>
  <c r="U1117" i="4"/>
  <c r="S1118" i="4"/>
  <c r="T1118" i="4"/>
  <c r="U1118" i="4"/>
  <c r="S1119" i="4"/>
  <c r="T1119" i="4"/>
  <c r="U1119" i="4"/>
  <c r="R1118" i="4"/>
  <c r="R1119" i="4"/>
  <c r="R1123" i="4"/>
  <c r="R1125" i="4"/>
  <c r="R1124" i="4"/>
  <c r="R1127" i="4"/>
  <c r="R1126" i="4"/>
  <c r="R1129" i="4"/>
  <c r="R1128" i="4"/>
  <c r="R1130" i="4"/>
  <c r="R1131" i="4"/>
  <c r="R1117" i="4"/>
  <c r="S1116" i="4"/>
  <c r="T1116" i="4"/>
  <c r="U1116" i="4"/>
  <c r="U1112" i="4"/>
  <c r="T1112" i="4"/>
  <c r="S1112" i="4"/>
  <c r="U1111" i="4"/>
  <c r="T1111" i="4"/>
  <c r="S1111" i="4"/>
  <c r="U1115" i="4"/>
  <c r="T1115" i="4"/>
  <c r="S1115" i="4"/>
  <c r="U1114" i="4"/>
  <c r="T1114" i="4"/>
  <c r="S1114" i="4"/>
  <c r="O1131" i="4"/>
  <c r="O1130" i="4"/>
  <c r="L1131" i="4"/>
  <c r="D1131" i="4"/>
  <c r="L1130" i="4"/>
  <c r="D1130" i="4"/>
  <c r="O1128" i="4"/>
  <c r="L1128" i="4"/>
  <c r="M1128" i="4" s="1"/>
  <c r="D1128" i="4"/>
  <c r="O1129" i="4"/>
  <c r="L1129" i="4"/>
  <c r="D1129" i="4"/>
  <c r="R1115" i="4"/>
  <c r="R1111" i="4"/>
  <c r="R1112" i="4"/>
  <c r="R1116" i="4"/>
  <c r="R1114" i="4"/>
  <c r="O1106" i="4"/>
  <c r="O1107" i="4"/>
  <c r="O1109" i="4"/>
  <c r="O1110" i="4"/>
  <c r="O1108" i="4"/>
  <c r="O1113" i="4"/>
  <c r="O1114" i="4"/>
  <c r="O1115" i="4"/>
  <c r="O1111" i="4"/>
  <c r="O1112" i="4"/>
  <c r="O1116" i="4"/>
  <c r="O1117" i="4"/>
  <c r="O1118" i="4"/>
  <c r="O1119" i="4"/>
  <c r="O1123" i="4"/>
  <c r="O1125" i="4"/>
  <c r="O1124" i="4"/>
  <c r="O1127" i="4"/>
  <c r="O1126" i="4"/>
  <c r="L1126" i="4"/>
  <c r="D1126" i="4"/>
  <c r="V1127" i="4" l="1"/>
  <c r="V1112" i="4"/>
  <c r="V1119" i="4"/>
  <c r="V1118" i="4"/>
  <c r="V1114" i="4"/>
  <c r="V1130" i="4"/>
  <c r="V1134" i="4"/>
  <c r="V1125" i="4"/>
  <c r="V1133" i="4"/>
  <c r="V1116" i="4"/>
  <c r="V1128" i="4"/>
  <c r="V1129" i="4"/>
  <c r="V1111" i="4"/>
  <c r="V1131" i="4"/>
  <c r="V1117" i="4"/>
  <c r="V1123" i="4"/>
  <c r="V1115" i="4"/>
  <c r="V1124" i="4"/>
  <c r="V1126" i="4"/>
  <c r="L1127" i="4"/>
  <c r="D1127" i="4"/>
  <c r="L1124" i="4"/>
  <c r="D1124" i="4"/>
  <c r="L1125" i="4"/>
  <c r="D1125" i="4"/>
  <c r="L1123" i="4" l="1"/>
  <c r="M1123" i="4" s="1"/>
  <c r="D1123" i="4"/>
  <c r="D1107" i="4"/>
  <c r="D1109" i="4"/>
  <c r="D1110" i="4"/>
  <c r="D1108" i="4"/>
  <c r="D1113" i="4"/>
  <c r="D1114" i="4"/>
  <c r="D1115" i="4"/>
  <c r="D1111" i="4"/>
  <c r="D1112" i="4"/>
  <c r="D1116" i="4"/>
  <c r="D1117" i="4"/>
  <c r="E8" i="34" l="1"/>
  <c r="L1119" i="4" l="1"/>
  <c r="M1119" i="4" s="1"/>
  <c r="L1118" i="4"/>
  <c r="M1118" i="4" s="1"/>
  <c r="L1117" i="4"/>
  <c r="M1117" i="4" s="1"/>
  <c r="L1116" i="4"/>
  <c r="L1112" i="4" l="1"/>
  <c r="L1111" i="4"/>
  <c r="L1115" i="4"/>
  <c r="L1114" i="4"/>
  <c r="O1092" i="4" l="1"/>
  <c r="L1092" i="4"/>
  <c r="R1092" i="4"/>
  <c r="S1092" i="4"/>
  <c r="T1092" i="4"/>
  <c r="U1092" i="4"/>
  <c r="D1092" i="4"/>
  <c r="L1113" i="4"/>
  <c r="R1113" i="4"/>
  <c r="S1113" i="4"/>
  <c r="T1113" i="4"/>
  <c r="U1113" i="4"/>
  <c r="L1108" i="4"/>
  <c r="R1108" i="4"/>
  <c r="S1108" i="4"/>
  <c r="T1108" i="4"/>
  <c r="U1108" i="4"/>
  <c r="L1110" i="4"/>
  <c r="R1110" i="4"/>
  <c r="S1110" i="4"/>
  <c r="T1110" i="4"/>
  <c r="U1110" i="4"/>
  <c r="L1109" i="4"/>
  <c r="R1109" i="4"/>
  <c r="S1109" i="4"/>
  <c r="T1109" i="4"/>
  <c r="U1109" i="4"/>
  <c r="L1107" i="4"/>
  <c r="R1107" i="4"/>
  <c r="S1107" i="4"/>
  <c r="T1107" i="4"/>
  <c r="U1107" i="4"/>
  <c r="E9" i="34" l="1"/>
  <c r="V1092" i="4"/>
  <c r="V1107" i="4"/>
  <c r="V1113" i="4"/>
  <c r="V1110" i="4"/>
  <c r="V1109" i="4"/>
  <c r="V1108" i="4"/>
  <c r="O1105" i="4" l="1"/>
  <c r="L1106" i="4"/>
  <c r="R1106" i="4"/>
  <c r="S1106" i="4"/>
  <c r="T1106" i="4"/>
  <c r="U1106" i="4"/>
  <c r="D1106" i="4"/>
  <c r="L1105" i="4"/>
  <c r="R1105" i="4"/>
  <c r="S1105" i="4"/>
  <c r="T1105" i="4"/>
  <c r="U1105" i="4"/>
  <c r="D1105" i="4"/>
  <c r="O1059" i="4"/>
  <c r="O1058" i="4"/>
  <c r="O1057" i="4"/>
  <c r="L1059" i="4"/>
  <c r="M1059" i="4" s="1"/>
  <c r="L1058" i="4"/>
  <c r="M1058" i="4" s="1"/>
  <c r="D1059" i="4"/>
  <c r="R1059" i="4"/>
  <c r="S1059" i="4"/>
  <c r="T1059" i="4"/>
  <c r="U1059" i="4"/>
  <c r="R1058" i="4"/>
  <c r="S1058" i="4"/>
  <c r="T1058" i="4"/>
  <c r="U1058" i="4"/>
  <c r="D1058" i="4"/>
  <c r="L1057" i="4"/>
  <c r="M1057" i="4" s="1"/>
  <c r="R1057" i="4"/>
  <c r="S1057" i="4"/>
  <c r="T1057" i="4"/>
  <c r="U1057" i="4"/>
  <c r="D1057" i="4"/>
  <c r="V1106" i="4" l="1"/>
  <c r="V1105" i="4"/>
  <c r="V1057" i="4"/>
  <c r="V1058" i="4"/>
  <c r="V1059" i="4"/>
  <c r="O1104" i="4"/>
  <c r="L1104" i="4"/>
  <c r="R1104" i="4"/>
  <c r="S1104" i="4"/>
  <c r="T1104" i="4"/>
  <c r="U1104" i="4"/>
  <c r="D1104" i="4"/>
  <c r="V1104" i="4" l="1"/>
  <c r="O1099" i="4" l="1"/>
  <c r="L1099" i="4"/>
  <c r="R1099" i="4"/>
  <c r="S1099" i="4"/>
  <c r="T1099" i="4"/>
  <c r="U1099" i="4"/>
  <c r="D1099" i="4"/>
  <c r="O1098" i="4"/>
  <c r="L1098" i="4"/>
  <c r="R1098" i="4"/>
  <c r="S1098" i="4"/>
  <c r="T1098" i="4"/>
  <c r="U1098" i="4"/>
  <c r="D1098" i="4"/>
  <c r="O1103" i="4"/>
  <c r="O1102" i="4"/>
  <c r="O1101" i="4"/>
  <c r="L1103" i="4"/>
  <c r="M1103" i="4" s="1"/>
  <c r="R1103" i="4"/>
  <c r="S1103" i="4"/>
  <c r="T1103" i="4"/>
  <c r="U1103" i="4"/>
  <c r="D1103" i="4"/>
  <c r="L1102" i="4"/>
  <c r="M1102" i="4" s="1"/>
  <c r="R1102" i="4"/>
  <c r="S1102" i="4"/>
  <c r="T1102" i="4"/>
  <c r="U1102" i="4"/>
  <c r="D1102" i="4"/>
  <c r="L1101" i="4"/>
  <c r="M1101" i="4" s="1"/>
  <c r="R1101" i="4"/>
  <c r="S1101" i="4"/>
  <c r="T1101" i="4"/>
  <c r="U1101" i="4"/>
  <c r="D1101" i="4"/>
  <c r="V1098" i="4" l="1"/>
  <c r="V1099" i="4"/>
  <c r="V1102" i="4"/>
  <c r="V1103" i="4"/>
  <c r="V1101" i="4"/>
  <c r="O1095" i="4"/>
  <c r="L1095" i="4"/>
  <c r="R1095" i="4"/>
  <c r="S1095" i="4"/>
  <c r="T1095" i="4"/>
  <c r="U1095" i="4"/>
  <c r="D1095" i="4"/>
  <c r="O1094" i="4"/>
  <c r="L1094" i="4"/>
  <c r="R1094" i="4"/>
  <c r="S1094" i="4"/>
  <c r="T1094" i="4"/>
  <c r="U1094" i="4"/>
  <c r="D1094" i="4"/>
  <c r="O1097" i="4"/>
  <c r="O1096" i="4"/>
  <c r="L1097" i="4"/>
  <c r="R1097" i="4"/>
  <c r="S1097" i="4"/>
  <c r="T1097" i="4"/>
  <c r="U1097" i="4"/>
  <c r="D1097" i="4"/>
  <c r="L1096" i="4"/>
  <c r="R1096" i="4"/>
  <c r="S1096" i="4"/>
  <c r="T1096" i="4"/>
  <c r="U1096" i="4"/>
  <c r="D1096" i="4"/>
  <c r="V1095" i="4" l="1"/>
  <c r="V1094" i="4"/>
  <c r="V1096" i="4"/>
  <c r="V1097" i="4"/>
  <c r="D1071" i="4" l="1"/>
  <c r="D1072" i="4"/>
  <c r="D1073" i="4"/>
  <c r="D1074" i="4"/>
  <c r="D1077" i="4"/>
  <c r="D1078" i="4"/>
  <c r="D1079" i="4"/>
  <c r="D1080" i="4"/>
  <c r="D1081" i="4"/>
  <c r="D1082" i="4"/>
  <c r="D1083" i="4"/>
  <c r="D1084" i="4"/>
  <c r="D1075" i="4"/>
  <c r="D1076" i="4"/>
  <c r="D1090" i="4"/>
  <c r="D1091" i="4"/>
  <c r="D1087" i="4"/>
  <c r="D1085" i="4"/>
  <c r="D1086" i="4"/>
  <c r="D1089" i="4"/>
  <c r="D1088" i="4"/>
  <c r="D1093" i="4"/>
  <c r="D1070" i="4"/>
  <c r="D197" i="4"/>
  <c r="D185" i="4"/>
  <c r="D161" i="4"/>
  <c r="D186" i="4"/>
  <c r="D178" i="4"/>
  <c r="D187" i="4"/>
  <c r="D188" i="4"/>
  <c r="D192" i="4"/>
  <c r="D195" i="4"/>
  <c r="D194" i="4"/>
  <c r="D193" i="4"/>
  <c r="D200" i="4"/>
  <c r="D206" i="4"/>
  <c r="D218" i="4"/>
  <c r="D1023" i="4"/>
  <c r="D219" i="4"/>
  <c r="D220" i="4"/>
  <c r="D202" i="4"/>
  <c r="D203" i="4"/>
  <c r="D204" i="4"/>
  <c r="D205" i="4"/>
  <c r="D217" i="4"/>
  <c r="D199" i="4"/>
  <c r="D212" i="4"/>
  <c r="D201" i="4"/>
  <c r="D2" i="4"/>
  <c r="D213" i="4"/>
  <c r="D210" i="4"/>
  <c r="D207" i="4"/>
  <c r="D208" i="4"/>
  <c r="D209" i="4"/>
  <c r="D211" i="4"/>
  <c r="D216" i="4"/>
  <c r="D286" i="4"/>
  <c r="D287" i="4"/>
  <c r="D222" i="4"/>
  <c r="D196" i="4"/>
  <c r="D221" i="4"/>
  <c r="D214" i="4"/>
  <c r="D327" i="4"/>
  <c r="D328" i="4"/>
  <c r="D232" i="4"/>
  <c r="D233" i="4"/>
  <c r="D235" i="4"/>
  <c r="D241" i="4"/>
  <c r="D243" i="4"/>
  <c r="D247" i="4"/>
  <c r="D248" i="4"/>
  <c r="D215" i="4"/>
  <c r="D198" i="4"/>
  <c r="D240" i="4"/>
  <c r="D231" i="4"/>
  <c r="D229" i="4"/>
  <c r="D230" i="4"/>
  <c r="D269" i="4"/>
  <c r="D223" i="4"/>
  <c r="D224" i="4"/>
  <c r="D225" i="4"/>
  <c r="D226" i="4"/>
  <c r="D238" i="4"/>
  <c r="D239" i="4"/>
  <c r="D236" i="4"/>
  <c r="D237" i="4"/>
  <c r="D1100" i="4"/>
  <c r="D234" i="4"/>
  <c r="D242" i="4"/>
  <c r="D245" i="4"/>
  <c r="D246" i="4"/>
  <c r="D244" i="4"/>
  <c r="D249" i="4"/>
  <c r="D250" i="4"/>
  <c r="D454" i="4"/>
  <c r="D455" i="4"/>
  <c r="D456" i="4"/>
  <c r="D457" i="4"/>
  <c r="D458" i="4"/>
  <c r="D256" i="4"/>
  <c r="D257" i="4"/>
  <c r="D251" i="4"/>
  <c r="D252" i="4"/>
  <c r="D227" i="4"/>
  <c r="D271" i="4"/>
  <c r="D258" i="4"/>
  <c r="D259" i="4"/>
  <c r="D260" i="4"/>
  <c r="D261" i="4"/>
  <c r="D272" i="4"/>
  <c r="D279" i="4"/>
  <c r="D270" i="4"/>
  <c r="D273" i="4"/>
  <c r="D274" i="4"/>
  <c r="D275" i="4"/>
  <c r="D276" i="4"/>
  <c r="D277" i="4"/>
  <c r="D228" i="4"/>
  <c r="D318" i="4"/>
  <c r="D319" i="4"/>
  <c r="D305" i="4"/>
  <c r="D306" i="4"/>
  <c r="D307" i="4"/>
  <c r="D308" i="4"/>
  <c r="D309" i="4"/>
  <c r="D310" i="4"/>
  <c r="D311" i="4"/>
  <c r="D282" i="4"/>
  <c r="D288" i="4"/>
  <c r="D253" i="4"/>
  <c r="D254" i="4"/>
  <c r="D255" i="4"/>
  <c r="D280" i="4"/>
  <c r="D281" i="4"/>
  <c r="D284" i="4"/>
  <c r="D285" i="4"/>
  <c r="D278" i="4"/>
  <c r="D283" i="4"/>
  <c r="D289" i="4"/>
  <c r="D290" i="4"/>
  <c r="D299" i="4"/>
  <c r="D300" i="4"/>
  <c r="D293" i="4"/>
  <c r="D291" i="4"/>
  <c r="D292" i="4"/>
  <c r="D294" i="4"/>
  <c r="D313" i="4"/>
  <c r="D314" i="4"/>
  <c r="D315" i="4"/>
  <c r="D316" i="4"/>
  <c r="D317" i="4"/>
  <c r="D298" i="4"/>
  <c r="D268" i="4"/>
  <c r="D312" i="4"/>
  <c r="D330" i="4"/>
  <c r="D331" i="4"/>
  <c r="D320" i="4"/>
  <c r="D321" i="4"/>
  <c r="D322" i="4"/>
  <c r="D332" i="4"/>
  <c r="D333" i="4"/>
  <c r="D367" i="4"/>
  <c r="D334" i="4"/>
  <c r="D335" i="4"/>
  <c r="D329" i="4"/>
  <c r="D324" i="4"/>
  <c r="D325" i="4"/>
  <c r="D326" i="4"/>
  <c r="D337" i="4"/>
  <c r="D462" i="4"/>
  <c r="D344" i="4"/>
  <c r="D345" i="4"/>
  <c r="D346" i="4"/>
  <c r="D347" i="4"/>
  <c r="D348" i="4"/>
  <c r="D340" i="4"/>
  <c r="D349" i="4"/>
  <c r="D338" i="4"/>
  <c r="D339" i="4"/>
  <c r="D341" i="4"/>
  <c r="D342" i="4"/>
  <c r="D343" i="4"/>
  <c r="D355" i="4"/>
  <c r="D350" i="4"/>
  <c r="D351" i="4"/>
  <c r="D352" i="4"/>
  <c r="D353" i="4"/>
  <c r="D354" i="4"/>
  <c r="D356" i="4"/>
  <c r="D361" i="4"/>
  <c r="D301" i="4"/>
  <c r="D302" i="4"/>
  <c r="D303" i="4"/>
  <c r="D304" i="4"/>
  <c r="D357" i="4"/>
  <c r="D358" i="4"/>
  <c r="D359" i="4"/>
  <c r="D360" i="4"/>
  <c r="D365" i="4"/>
  <c r="D366" i="4"/>
  <c r="D364" i="4"/>
  <c r="D372" i="4"/>
  <c r="D363" i="4"/>
  <c r="D362" i="4"/>
  <c r="D368" i="4"/>
  <c r="D369" i="4"/>
  <c r="D370" i="4"/>
  <c r="D380" i="4"/>
  <c r="D374" i="4"/>
  <c r="D375" i="4"/>
  <c r="D376" i="4"/>
  <c r="D371" i="4"/>
  <c r="D377" i="4"/>
  <c r="D378" i="4"/>
  <c r="D379" i="4"/>
  <c r="D373" i="4"/>
  <c r="D381" i="4"/>
  <c r="D394" i="4"/>
  <c r="D389" i="4"/>
  <c r="D388" i="4"/>
  <c r="D393" i="4"/>
  <c r="D390" i="4"/>
  <c r="D391" i="4"/>
  <c r="D392" i="4"/>
  <c r="D399" i="4"/>
  <c r="D400" i="4"/>
  <c r="D401" i="4"/>
  <c r="D402" i="4"/>
  <c r="D403" i="4"/>
  <c r="D404" i="4"/>
  <c r="D395" i="4"/>
  <c r="D396" i="4"/>
  <c r="D397" i="4"/>
  <c r="D398" i="4"/>
  <c r="D382" i="4"/>
  <c r="D383" i="4"/>
  <c r="D384" i="4"/>
  <c r="D385" i="4"/>
  <c r="D386" i="4"/>
  <c r="D387" i="4"/>
  <c r="D409" i="4"/>
  <c r="D405" i="4"/>
  <c r="D406" i="4"/>
  <c r="D407" i="4"/>
  <c r="D408" i="4"/>
  <c r="D410" i="4"/>
  <c r="D415" i="4"/>
  <c r="D1563" i="4"/>
  <c r="D411" i="4"/>
  <c r="D412" i="4"/>
  <c r="D416" i="4"/>
  <c r="D417" i="4"/>
  <c r="D423" i="4"/>
  <c r="D424" i="4"/>
  <c r="D425" i="4"/>
  <c r="D426" i="4"/>
  <c r="D418" i="4"/>
  <c r="D413" i="4"/>
  <c r="D414" i="4"/>
  <c r="D422" i="4"/>
  <c r="D431" i="4"/>
  <c r="D432" i="4"/>
  <c r="D419" i="4"/>
  <c r="D420" i="4"/>
  <c r="D421" i="4"/>
  <c r="D433" i="4"/>
  <c r="D434" i="4"/>
  <c r="D427" i="4"/>
  <c r="D435" i="4"/>
  <c r="D428" i="4"/>
  <c r="D429" i="4"/>
  <c r="D430" i="4"/>
  <c r="D436" i="4"/>
  <c r="D437" i="4"/>
  <c r="D438" i="4"/>
  <c r="D439" i="4"/>
  <c r="D440" i="4"/>
  <c r="D441" i="4"/>
  <c r="D444" i="4"/>
  <c r="D446" i="4"/>
  <c r="D445" i="4"/>
  <c r="D452" i="4"/>
  <c r="D453" i="4"/>
  <c r="D447" i="4"/>
  <c r="D448" i="4"/>
  <c r="D449" i="4"/>
  <c r="D450" i="4"/>
  <c r="D451" i="4"/>
  <c r="D460" i="4"/>
  <c r="D461" i="4"/>
  <c r="D464" i="4"/>
  <c r="D465" i="4"/>
  <c r="D463" i="4"/>
  <c r="D471" i="4"/>
  <c r="D472" i="4"/>
  <c r="D473" i="4"/>
  <c r="D474" i="4"/>
  <c r="D475" i="4"/>
  <c r="D476" i="4"/>
  <c r="D477" i="4"/>
  <c r="D470" i="4"/>
  <c r="D478" i="4"/>
  <c r="D466" i="4"/>
  <c r="D467" i="4"/>
  <c r="D468" i="4"/>
  <c r="D469" i="4"/>
  <c r="D479" i="4"/>
  <c r="D481" i="4"/>
  <c r="D482" i="4"/>
  <c r="D483" i="4"/>
  <c r="D487" i="4"/>
  <c r="D486" i="4"/>
  <c r="D480" i="4"/>
  <c r="D484" i="4"/>
  <c r="D485" i="4"/>
  <c r="D459" i="4"/>
  <c r="D496" i="4"/>
  <c r="D488" i="4"/>
  <c r="D489" i="4"/>
  <c r="D490" i="4"/>
  <c r="D491" i="4"/>
  <c r="D492" i="4"/>
  <c r="D493" i="4"/>
  <c r="D494" i="4"/>
  <c r="D495" i="4"/>
  <c r="D497" i="4"/>
  <c r="D498" i="4"/>
  <c r="D503" i="4"/>
  <c r="D504" i="4"/>
  <c r="D505" i="4"/>
  <c r="D506" i="4"/>
  <c r="D507" i="4"/>
  <c r="D499" i="4"/>
  <c r="D500" i="4"/>
  <c r="D501" i="4"/>
  <c r="D502" i="4"/>
  <c r="D512" i="4"/>
  <c r="D513" i="4"/>
  <c r="D514" i="4"/>
  <c r="D508" i="4"/>
  <c r="D509" i="4"/>
  <c r="D515" i="4"/>
  <c r="D510" i="4"/>
  <c r="D511" i="4"/>
  <c r="D521" i="4"/>
  <c r="D516" i="4"/>
  <c r="D517" i="4"/>
  <c r="D518" i="4"/>
  <c r="D519" i="4"/>
  <c r="D520" i="4"/>
  <c r="D524" i="4"/>
  <c r="D525" i="4"/>
  <c r="D523" i="4"/>
  <c r="D522" i="4"/>
  <c r="D538" i="4"/>
  <c r="D533" i="4"/>
  <c r="D532" i="4"/>
  <c r="D534" i="4"/>
  <c r="D535" i="4"/>
  <c r="D536" i="4"/>
  <c r="D537" i="4"/>
  <c r="D540" i="4"/>
  <c r="D539" i="4"/>
  <c r="D541" i="4"/>
  <c r="D550" i="4"/>
  <c r="D546" i="4"/>
  <c r="D553" i="4"/>
  <c r="D554" i="4"/>
  <c r="D555" i="4"/>
  <c r="D552" i="4"/>
  <c r="D568" i="4"/>
  <c r="D564" i="4"/>
  <c r="D565" i="4"/>
  <c r="D566" i="4"/>
  <c r="D567" i="4"/>
  <c r="D577" i="4"/>
  <c r="D578" i="4"/>
  <c r="D551" i="4"/>
  <c r="D442" i="4"/>
  <c r="D443" i="4"/>
  <c r="D576" i="4"/>
  <c r="D559" i="4"/>
  <c r="D560" i="4"/>
  <c r="D561" i="4"/>
  <c r="D562" i="4"/>
  <c r="D563" i="4"/>
  <c r="D575" i="4"/>
  <c r="D542" i="4"/>
  <c r="D543" i="4"/>
  <c r="D544" i="4"/>
  <c r="D545" i="4"/>
  <c r="D547" i="4"/>
  <c r="D548" i="4"/>
  <c r="D549" i="4"/>
  <c r="D556" i="4"/>
  <c r="D557" i="4"/>
  <c r="D558" i="4"/>
  <c r="D579" i="4"/>
  <c r="D580" i="4"/>
  <c r="D581" i="4"/>
  <c r="D582" i="4"/>
  <c r="D583" i="4"/>
  <c r="D584" i="4"/>
  <c r="D585" i="4"/>
  <c r="D586" i="4"/>
  <c r="D526" i="4"/>
  <c r="D527" i="4"/>
  <c r="D528" i="4"/>
  <c r="D529" i="4"/>
  <c r="D530" i="4"/>
  <c r="D531" i="4"/>
  <c r="D587" i="4"/>
  <c r="D588" i="4"/>
  <c r="D593" i="4"/>
  <c r="D594" i="4"/>
  <c r="D591" i="4"/>
  <c r="D592" i="4"/>
  <c r="D589" i="4"/>
  <c r="D590" i="4"/>
  <c r="D599" i="4"/>
  <c r="D607" i="4"/>
  <c r="D601" i="4"/>
  <c r="D602" i="4"/>
  <c r="D603" i="4"/>
  <c r="D604" i="4"/>
  <c r="D605" i="4"/>
  <c r="D606" i="4"/>
  <c r="D595" i="4"/>
  <c r="D596" i="4"/>
  <c r="D597" i="4"/>
  <c r="D598" i="4"/>
  <c r="D600" i="4"/>
  <c r="D608" i="4"/>
  <c r="D609" i="4"/>
  <c r="D610" i="4"/>
  <c r="D611" i="4"/>
  <c r="D612" i="4"/>
  <c r="D613" i="4"/>
  <c r="D614" i="4"/>
  <c r="D618" i="4"/>
  <c r="D619" i="4"/>
  <c r="D615" i="4"/>
  <c r="D616" i="4"/>
  <c r="D620" i="4"/>
  <c r="D621" i="4"/>
  <c r="D617" i="4"/>
  <c r="D623" i="4"/>
  <c r="D624" i="4"/>
  <c r="D625" i="4"/>
  <c r="D622" i="4"/>
  <c r="D634" i="4"/>
  <c r="D626" i="4"/>
  <c r="D635" i="4"/>
  <c r="D627" i="4"/>
  <c r="D628" i="4"/>
  <c r="D629" i="4"/>
  <c r="D630" i="4"/>
  <c r="D631" i="4"/>
  <c r="D632" i="4"/>
  <c r="D633" i="4"/>
  <c r="D636" i="4"/>
  <c r="D637" i="4"/>
  <c r="D638" i="4"/>
  <c r="D639" i="4"/>
  <c r="D640" i="4"/>
  <c r="D644" i="4"/>
  <c r="D642" i="4"/>
  <c r="D643" i="4"/>
  <c r="D645" i="4"/>
  <c r="D646" i="4"/>
  <c r="D647" i="4"/>
  <c r="D648" i="4"/>
  <c r="D649" i="4"/>
  <c r="D650" i="4"/>
  <c r="D651" i="4"/>
  <c r="D657" i="4"/>
  <c r="D658" i="4"/>
  <c r="D659" i="4"/>
  <c r="D660" i="4"/>
  <c r="D661" i="4"/>
  <c r="D664" i="4"/>
  <c r="D662" i="4"/>
  <c r="D663" i="4"/>
  <c r="D652" i="4"/>
  <c r="D653" i="4"/>
  <c r="D672" i="4"/>
  <c r="D673" i="4"/>
  <c r="D674" i="4"/>
  <c r="D665" i="4"/>
  <c r="D654" i="4"/>
  <c r="D655" i="4"/>
  <c r="D656" i="4"/>
  <c r="D676" i="4"/>
  <c r="D675" i="4"/>
  <c r="D666" i="4"/>
  <c r="D667" i="4"/>
  <c r="D668" i="4"/>
  <c r="D669" i="4"/>
  <c r="D678" i="4"/>
  <c r="D679" i="4"/>
  <c r="D680" i="4"/>
  <c r="D677" i="4"/>
  <c r="D641" i="4"/>
  <c r="D682" i="4"/>
  <c r="D683" i="4"/>
  <c r="D684" i="4"/>
  <c r="D685" i="4"/>
  <c r="D681" i="4"/>
  <c r="D686" i="4"/>
  <c r="D690" i="4"/>
  <c r="D696" i="4"/>
  <c r="D691" i="4"/>
  <c r="D692" i="4"/>
  <c r="D693" i="4"/>
  <c r="D694" i="4"/>
  <c r="D695" i="4"/>
  <c r="D687" i="4"/>
  <c r="D688" i="4"/>
  <c r="D689" i="4"/>
  <c r="D699" i="4"/>
  <c r="D704" i="4"/>
  <c r="D700" i="4"/>
  <c r="D701" i="4"/>
  <c r="D702" i="4"/>
  <c r="D703" i="4"/>
  <c r="D697" i="4"/>
  <c r="D705" i="4"/>
  <c r="D706" i="4"/>
  <c r="D707" i="4"/>
  <c r="D698" i="4"/>
  <c r="D709" i="4"/>
  <c r="D708" i="4"/>
  <c r="D710" i="4"/>
  <c r="D712" i="4"/>
  <c r="D711" i="4"/>
  <c r="D716" i="4"/>
  <c r="D717" i="4"/>
  <c r="D713" i="4"/>
  <c r="D714" i="4"/>
  <c r="D715" i="4"/>
  <c r="D723" i="4"/>
  <c r="D724" i="4"/>
  <c r="D725" i="4"/>
  <c r="D718" i="4"/>
  <c r="D719" i="4"/>
  <c r="D720" i="4"/>
  <c r="D721" i="4"/>
  <c r="D722" i="4"/>
  <c r="D726" i="4"/>
  <c r="D727" i="4"/>
  <c r="D728" i="4"/>
  <c r="D729" i="4"/>
  <c r="D730" i="4"/>
  <c r="D733" i="4"/>
  <c r="D731" i="4"/>
  <c r="D732" i="4"/>
  <c r="D735" i="4"/>
  <c r="D736" i="4"/>
  <c r="D734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9" i="4"/>
  <c r="D758" i="4"/>
  <c r="D757" i="4"/>
  <c r="D760" i="4"/>
  <c r="D761" i="4"/>
  <c r="D762" i="4"/>
  <c r="D763" i="4"/>
  <c r="D764" i="4"/>
  <c r="D765" i="4"/>
  <c r="D768" i="4"/>
  <c r="D769" i="4"/>
  <c r="D772" i="4"/>
  <c r="D773" i="4"/>
  <c r="D774" i="4"/>
  <c r="D775" i="4"/>
  <c r="D766" i="4"/>
  <c r="D767" i="4"/>
  <c r="D771" i="4"/>
  <c r="D770" i="4"/>
  <c r="D776" i="4"/>
  <c r="D777" i="4"/>
  <c r="D778" i="4"/>
  <c r="D670" i="4"/>
  <c r="D671" i="4"/>
  <c r="D779" i="4"/>
  <c r="D781" i="4"/>
  <c r="D780" i="4"/>
  <c r="D784" i="4"/>
  <c r="D783" i="4"/>
  <c r="D782" i="4"/>
  <c r="D786" i="4"/>
  <c r="D787" i="4"/>
  <c r="D788" i="4"/>
  <c r="D789" i="4"/>
  <c r="D796" i="4"/>
  <c r="D793" i="4"/>
  <c r="D794" i="4"/>
  <c r="D795" i="4"/>
  <c r="D797" i="4"/>
  <c r="D798" i="4"/>
  <c r="D790" i="4"/>
  <c r="D791" i="4"/>
  <c r="D792" i="4"/>
  <c r="D785" i="4"/>
  <c r="D799" i="4"/>
  <c r="D801" i="4"/>
  <c r="D802" i="4"/>
  <c r="D800" i="4"/>
  <c r="D805" i="4"/>
  <c r="D803" i="4"/>
  <c r="D804" i="4"/>
  <c r="D807" i="4"/>
  <c r="D808" i="4"/>
  <c r="D809" i="4"/>
  <c r="D810" i="4"/>
  <c r="D811" i="4"/>
  <c r="D813" i="4"/>
  <c r="D814" i="4"/>
  <c r="D806" i="4"/>
  <c r="D812" i="4"/>
  <c r="D815" i="4"/>
  <c r="D817" i="4"/>
  <c r="D816" i="4"/>
  <c r="D818" i="4"/>
  <c r="D819" i="4"/>
  <c r="D820" i="4"/>
  <c r="D821" i="4"/>
  <c r="D822" i="4"/>
  <c r="D823" i="4"/>
  <c r="D824" i="4"/>
  <c r="D828" i="4"/>
  <c r="D829" i="4"/>
  <c r="D825" i="4"/>
  <c r="D826" i="4"/>
  <c r="D827" i="4"/>
  <c r="D830" i="4"/>
  <c r="D831" i="4"/>
  <c r="D832" i="4"/>
  <c r="D836" i="4"/>
  <c r="D833" i="4"/>
  <c r="D834" i="4"/>
  <c r="D835" i="4"/>
  <c r="D837" i="4"/>
  <c r="D840" i="4"/>
  <c r="D838" i="4"/>
  <c r="D839" i="4"/>
  <c r="D841" i="4"/>
  <c r="D843" i="4"/>
  <c r="D844" i="4"/>
  <c r="D845" i="4"/>
  <c r="D846" i="4"/>
  <c r="D842" i="4"/>
  <c r="D847" i="4"/>
  <c r="D850" i="4"/>
  <c r="D851" i="4"/>
  <c r="D848" i="4"/>
  <c r="D849" i="4"/>
  <c r="D852" i="4"/>
  <c r="D863" i="4"/>
  <c r="D862" i="4"/>
  <c r="D855" i="4"/>
  <c r="D856" i="4"/>
  <c r="D857" i="4"/>
  <c r="D858" i="4"/>
  <c r="D859" i="4"/>
  <c r="D860" i="4"/>
  <c r="D861" i="4"/>
  <c r="D853" i="4"/>
  <c r="D854" i="4"/>
  <c r="D864" i="4"/>
  <c r="D866" i="4"/>
  <c r="D865" i="4"/>
  <c r="D867" i="4"/>
  <c r="D868" i="4"/>
  <c r="D869" i="4"/>
  <c r="D870" i="4"/>
  <c r="D871" i="4"/>
  <c r="D872" i="4"/>
  <c r="D873" i="4"/>
  <c r="D874" i="4"/>
  <c r="D875" i="4"/>
  <c r="D876" i="4"/>
  <c r="D882" i="4"/>
  <c r="D877" i="4"/>
  <c r="D878" i="4"/>
  <c r="D879" i="4"/>
  <c r="D880" i="4"/>
  <c r="D881" i="4"/>
  <c r="D887" i="4"/>
  <c r="D888" i="4"/>
  <c r="D889" i="4"/>
  <c r="D885" i="4"/>
  <c r="D886" i="4"/>
  <c r="D883" i="4"/>
  <c r="D884" i="4"/>
  <c r="D893" i="4"/>
  <c r="D890" i="4"/>
  <c r="D891" i="4"/>
  <c r="D892" i="4"/>
  <c r="D894" i="4"/>
  <c r="D896" i="4"/>
  <c r="D897" i="4"/>
  <c r="D895" i="4"/>
  <c r="D898" i="4"/>
  <c r="D899" i="4"/>
  <c r="D900" i="4"/>
  <c r="D901" i="4"/>
  <c r="D903" i="4"/>
  <c r="D907" i="4"/>
  <c r="D902" i="4"/>
  <c r="D904" i="4"/>
  <c r="D905" i="4"/>
  <c r="D906" i="4"/>
  <c r="D911" i="4"/>
  <c r="D908" i="4"/>
  <c r="D909" i="4"/>
  <c r="D910" i="4"/>
  <c r="D912" i="4"/>
  <c r="D913" i="4"/>
  <c r="D916" i="4"/>
  <c r="D915" i="4"/>
  <c r="D917" i="4"/>
  <c r="D914" i="4"/>
  <c r="D920" i="4"/>
  <c r="D918" i="4"/>
  <c r="D919" i="4"/>
  <c r="D921" i="4"/>
  <c r="D923" i="4"/>
  <c r="D924" i="4"/>
  <c r="D925" i="4"/>
  <c r="D926" i="4"/>
  <c r="D927" i="4"/>
  <c r="D928" i="4"/>
  <c r="D929" i="4"/>
  <c r="D930" i="4"/>
  <c r="D931" i="4"/>
  <c r="D932" i="4"/>
  <c r="D922" i="4"/>
  <c r="D933" i="4"/>
  <c r="D935" i="4"/>
  <c r="D936" i="4"/>
  <c r="D934" i="4"/>
  <c r="D937" i="4"/>
  <c r="D938" i="4"/>
  <c r="D947" i="4"/>
  <c r="D944" i="4"/>
  <c r="D945" i="4"/>
  <c r="D946" i="4"/>
  <c r="D940" i="4"/>
  <c r="D941" i="4"/>
  <c r="D939" i="4"/>
  <c r="D942" i="4"/>
  <c r="D943" i="4"/>
  <c r="D948" i="4"/>
  <c r="D949" i="4"/>
  <c r="D950" i="4"/>
  <c r="D951" i="4"/>
  <c r="D952" i="4"/>
  <c r="D954" i="4"/>
  <c r="D953" i="4"/>
  <c r="D958" i="4"/>
  <c r="D959" i="4"/>
  <c r="D960" i="4"/>
  <c r="D956" i="4"/>
  <c r="D957" i="4"/>
  <c r="D955" i="4"/>
  <c r="D962" i="4"/>
  <c r="D961" i="4"/>
  <c r="D964" i="4"/>
  <c r="D963" i="4"/>
  <c r="D966" i="4"/>
  <c r="D965" i="4"/>
  <c r="D967" i="4"/>
  <c r="D968" i="4"/>
  <c r="D969" i="4"/>
  <c r="D972" i="4"/>
  <c r="D973" i="4"/>
  <c r="D974" i="4"/>
  <c r="D970" i="4"/>
  <c r="D971" i="4"/>
  <c r="D976" i="4"/>
  <c r="D977" i="4"/>
  <c r="D975" i="4"/>
  <c r="D979" i="4"/>
  <c r="D980" i="4"/>
  <c r="D978" i="4"/>
  <c r="D981" i="4"/>
  <c r="D982" i="4"/>
  <c r="D983" i="4"/>
  <c r="D987" i="4"/>
  <c r="D988" i="4"/>
  <c r="D986" i="4"/>
  <c r="D984" i="4"/>
  <c r="D985" i="4"/>
  <c r="D993" i="4"/>
  <c r="D990" i="4"/>
  <c r="D991" i="4"/>
  <c r="D992" i="4"/>
  <c r="D989" i="4"/>
  <c r="D994" i="4"/>
  <c r="D995" i="4"/>
  <c r="D996" i="4"/>
  <c r="D997" i="4"/>
  <c r="D998" i="4"/>
  <c r="D999" i="4"/>
  <c r="D1000" i="4"/>
  <c r="D1001" i="4"/>
  <c r="D1002" i="4"/>
  <c r="D1003" i="4"/>
  <c r="D1004" i="4"/>
  <c r="D1006" i="4"/>
  <c r="D1005" i="4"/>
  <c r="D1007" i="4"/>
  <c r="D1008" i="4"/>
  <c r="D1012" i="4"/>
  <c r="D1009" i="4"/>
  <c r="D1010" i="4"/>
  <c r="D1011" i="4"/>
  <c r="D1014" i="4"/>
  <c r="D1013" i="4"/>
  <c r="D1018" i="4"/>
  <c r="D1016" i="4"/>
  <c r="D1017" i="4"/>
  <c r="D1019" i="4"/>
  <c r="D1015" i="4"/>
  <c r="D1020" i="4"/>
  <c r="D1024" i="4"/>
  <c r="D1026" i="4"/>
  <c r="D1027" i="4"/>
  <c r="D1028" i="4"/>
  <c r="D1029" i="4"/>
  <c r="D1030" i="4"/>
  <c r="D1025" i="4"/>
  <c r="D1031" i="4"/>
  <c r="D1040" i="4"/>
  <c r="D1039" i="4"/>
  <c r="D1032" i="4"/>
  <c r="D1033" i="4"/>
  <c r="D1034" i="4"/>
  <c r="D1035" i="4"/>
  <c r="D1036" i="4"/>
  <c r="D1037" i="4"/>
  <c r="D1038" i="4"/>
  <c r="D1041" i="4"/>
  <c r="D1042" i="4"/>
  <c r="D1043" i="4"/>
  <c r="D1044" i="4"/>
  <c r="D1045" i="4"/>
  <c r="D1046" i="4"/>
  <c r="D1047" i="4"/>
  <c r="D1048" i="4"/>
  <c r="D1021" i="4"/>
  <c r="D1022" i="4"/>
  <c r="D1053" i="4"/>
  <c r="D1050" i="4"/>
  <c r="D1052" i="4"/>
  <c r="D1054" i="4"/>
  <c r="D1049" i="4"/>
  <c r="D1055" i="4"/>
  <c r="D1051" i="4"/>
  <c r="D1056" i="4"/>
  <c r="D1061" i="4"/>
  <c r="D1060" i="4"/>
  <c r="D1062" i="4"/>
  <c r="D1063" i="4"/>
  <c r="D1064" i="4"/>
  <c r="D1065" i="4"/>
  <c r="D1069" i="4"/>
  <c r="D1068" i="4"/>
  <c r="D1067" i="4"/>
  <c r="D191" i="4"/>
  <c r="O1093" i="4" l="1"/>
  <c r="L1093" i="4"/>
  <c r="R1093" i="4"/>
  <c r="S1093" i="4"/>
  <c r="T1093" i="4"/>
  <c r="U1093" i="4"/>
  <c r="V1093" i="4" l="1"/>
  <c r="O1088" i="4" l="1"/>
  <c r="L1088" i="4"/>
  <c r="R1088" i="4"/>
  <c r="S1088" i="4"/>
  <c r="T1088" i="4"/>
  <c r="U1088" i="4"/>
  <c r="O1089" i="4"/>
  <c r="L1089" i="4"/>
  <c r="R1089" i="4"/>
  <c r="S1089" i="4"/>
  <c r="T1089" i="4"/>
  <c r="U1089" i="4"/>
  <c r="O1086" i="4"/>
  <c r="O1085" i="4"/>
  <c r="L1086" i="4"/>
  <c r="R1086" i="4"/>
  <c r="S1086" i="4"/>
  <c r="T1086" i="4"/>
  <c r="U1086" i="4"/>
  <c r="L1085" i="4"/>
  <c r="R1085" i="4"/>
  <c r="S1085" i="4"/>
  <c r="T1085" i="4"/>
  <c r="U1085" i="4"/>
  <c r="O1087" i="4"/>
  <c r="L1087" i="4"/>
  <c r="R1087" i="4"/>
  <c r="S1087" i="4"/>
  <c r="T1087" i="4"/>
  <c r="U1087" i="4"/>
  <c r="V1088" i="4" l="1"/>
  <c r="V1085" i="4"/>
  <c r="V1089" i="4"/>
  <c r="V1086" i="4"/>
  <c r="V1087" i="4"/>
  <c r="O1091" i="4" l="1"/>
  <c r="O1090" i="4"/>
  <c r="L1091" i="4"/>
  <c r="R1091" i="4"/>
  <c r="S1091" i="4"/>
  <c r="T1091" i="4"/>
  <c r="U1091" i="4"/>
  <c r="L1090" i="4"/>
  <c r="R1090" i="4"/>
  <c r="S1090" i="4"/>
  <c r="T1090" i="4"/>
  <c r="U1090" i="4"/>
  <c r="V1090" i="4" l="1"/>
  <c r="V1091" i="4"/>
  <c r="O1076" i="4" l="1"/>
  <c r="O1075" i="4"/>
  <c r="L1076" i="4"/>
  <c r="M1076" i="4" s="1"/>
  <c r="L1075" i="4"/>
  <c r="M1075" i="4" s="1"/>
  <c r="R1076" i="4"/>
  <c r="S1076" i="4"/>
  <c r="T1076" i="4"/>
  <c r="U1076" i="4"/>
  <c r="R1075" i="4"/>
  <c r="S1075" i="4"/>
  <c r="T1075" i="4"/>
  <c r="U1075" i="4"/>
  <c r="O1084" i="4"/>
  <c r="L1084" i="4"/>
  <c r="R1084" i="4"/>
  <c r="S1084" i="4"/>
  <c r="T1084" i="4"/>
  <c r="U1084" i="4"/>
  <c r="O1083" i="4"/>
  <c r="O1082" i="4"/>
  <c r="O1081" i="4"/>
  <c r="O1080" i="4"/>
  <c r="O1079" i="4"/>
  <c r="O1078" i="4"/>
  <c r="O1077" i="4"/>
  <c r="L1083" i="4"/>
  <c r="M1083" i="4" s="1"/>
  <c r="R1083" i="4"/>
  <c r="S1083" i="4"/>
  <c r="T1083" i="4"/>
  <c r="U1083" i="4"/>
  <c r="L1082" i="4"/>
  <c r="M1082" i="4" s="1"/>
  <c r="R1082" i="4"/>
  <c r="S1082" i="4"/>
  <c r="T1082" i="4"/>
  <c r="U1082" i="4"/>
  <c r="L1081" i="4"/>
  <c r="M1081" i="4" s="1"/>
  <c r="R1081" i="4"/>
  <c r="S1081" i="4"/>
  <c r="T1081" i="4"/>
  <c r="U1081" i="4"/>
  <c r="L1080" i="4"/>
  <c r="M1080" i="4" s="1"/>
  <c r="R1080" i="4"/>
  <c r="S1080" i="4"/>
  <c r="T1080" i="4"/>
  <c r="U1080" i="4"/>
  <c r="L1079" i="4"/>
  <c r="M1079" i="4" s="1"/>
  <c r="R1079" i="4"/>
  <c r="S1079" i="4"/>
  <c r="T1079" i="4"/>
  <c r="U1079" i="4"/>
  <c r="L1078" i="4"/>
  <c r="M1078" i="4" s="1"/>
  <c r="R1078" i="4"/>
  <c r="S1078" i="4"/>
  <c r="T1078" i="4"/>
  <c r="U1078" i="4"/>
  <c r="L1077" i="4"/>
  <c r="M1077" i="4" s="1"/>
  <c r="R1077" i="4"/>
  <c r="S1077" i="4"/>
  <c r="T1077" i="4"/>
  <c r="U1077" i="4"/>
  <c r="V1075" i="4" l="1"/>
  <c r="V1076" i="4"/>
  <c r="V1084" i="4"/>
  <c r="V1083" i="4"/>
  <c r="V1082" i="4"/>
  <c r="V1078" i="4"/>
  <c r="V1077" i="4"/>
  <c r="V1080" i="4"/>
  <c r="V1081" i="4"/>
  <c r="V1079" i="4"/>
  <c r="O1074" i="4" l="1"/>
  <c r="O1073" i="4"/>
  <c r="O1072" i="4"/>
  <c r="L1074" i="4"/>
  <c r="M1074" i="4" s="1"/>
  <c r="L1073" i="4"/>
  <c r="M1073" i="4" s="1"/>
  <c r="L1072" i="4"/>
  <c r="M1072" i="4" s="1"/>
  <c r="R1074" i="4"/>
  <c r="S1074" i="4"/>
  <c r="T1074" i="4"/>
  <c r="U1074" i="4"/>
  <c r="R1073" i="4"/>
  <c r="S1073" i="4"/>
  <c r="T1073" i="4"/>
  <c r="U1073" i="4"/>
  <c r="R1072" i="4"/>
  <c r="S1072" i="4"/>
  <c r="T1072" i="4"/>
  <c r="U1072" i="4"/>
  <c r="O1071" i="4"/>
  <c r="L1071" i="4"/>
  <c r="M1071" i="4" s="1"/>
  <c r="R1071" i="4"/>
  <c r="S1071" i="4"/>
  <c r="T1071" i="4"/>
  <c r="U1071" i="4"/>
  <c r="O1070" i="4"/>
  <c r="L1070" i="4"/>
  <c r="R1070" i="4"/>
  <c r="S1070" i="4"/>
  <c r="T1070" i="4"/>
  <c r="U1070" i="4"/>
  <c r="O1067" i="4"/>
  <c r="L1067" i="4"/>
  <c r="R1067" i="4"/>
  <c r="S1067" i="4"/>
  <c r="T1067" i="4"/>
  <c r="U1067" i="4"/>
  <c r="O1068" i="4"/>
  <c r="L1068" i="4"/>
  <c r="R1068" i="4"/>
  <c r="S1068" i="4"/>
  <c r="T1068" i="4"/>
  <c r="U1068" i="4"/>
  <c r="O1069" i="4"/>
  <c r="L1069" i="4"/>
  <c r="R1069" i="4"/>
  <c r="S1069" i="4"/>
  <c r="T1069" i="4"/>
  <c r="U1069" i="4"/>
  <c r="M1070" i="4" l="1"/>
  <c r="V1074" i="4"/>
  <c r="V1072" i="4"/>
  <c r="V1073" i="4"/>
  <c r="V1071" i="4"/>
  <c r="V1070" i="4"/>
  <c r="V1067" i="4"/>
  <c r="V1069" i="4"/>
  <c r="V1068" i="4"/>
  <c r="O1065" i="4" l="1"/>
  <c r="L1065" i="4"/>
  <c r="M1065" i="4" s="1"/>
  <c r="O1064" i="4"/>
  <c r="O1063" i="4"/>
  <c r="L1064" i="4"/>
  <c r="M1064" i="4" s="1"/>
  <c r="L1063" i="4"/>
  <c r="M1063" i="4" s="1"/>
  <c r="R1064" i="4"/>
  <c r="S1064" i="4"/>
  <c r="T1064" i="4"/>
  <c r="U1064" i="4"/>
  <c r="R1063" i="4"/>
  <c r="S1063" i="4"/>
  <c r="T1063" i="4"/>
  <c r="U1063" i="4"/>
  <c r="O1062" i="4"/>
  <c r="L1062" i="4"/>
  <c r="M1062" i="4" s="1"/>
  <c r="R1062" i="4"/>
  <c r="S1062" i="4"/>
  <c r="T1062" i="4"/>
  <c r="U1062" i="4"/>
  <c r="O1060" i="4"/>
  <c r="L1060" i="4"/>
  <c r="R1060" i="4"/>
  <c r="S1060" i="4"/>
  <c r="T1060" i="4"/>
  <c r="U1060" i="4"/>
  <c r="O1061" i="4"/>
  <c r="L1061" i="4"/>
  <c r="R1061" i="4"/>
  <c r="S1061" i="4"/>
  <c r="T1061" i="4"/>
  <c r="U1061" i="4"/>
  <c r="V1064" i="4" l="1"/>
  <c r="V1063" i="4"/>
  <c r="V1062" i="4"/>
  <c r="V1060" i="4"/>
  <c r="V1061" i="4"/>
  <c r="O1056" i="4" l="1"/>
  <c r="L1056" i="4"/>
  <c r="R1056" i="4"/>
  <c r="S1056" i="4"/>
  <c r="T1056" i="4"/>
  <c r="U1056" i="4"/>
  <c r="S1055" i="4"/>
  <c r="T1055" i="4"/>
  <c r="T1051" i="4"/>
  <c r="S1051" i="4"/>
  <c r="S1049" i="4"/>
  <c r="T1049" i="4"/>
  <c r="T1054" i="4"/>
  <c r="S1054" i="4"/>
  <c r="O1051" i="4"/>
  <c r="L1051" i="4"/>
  <c r="R1051" i="4"/>
  <c r="U1051" i="4"/>
  <c r="O1055" i="4"/>
  <c r="L1055" i="4"/>
  <c r="R1055" i="4"/>
  <c r="U1055" i="4"/>
  <c r="O1049" i="4"/>
  <c r="L1049" i="4"/>
  <c r="R1049" i="4"/>
  <c r="U1049" i="4"/>
  <c r="O1054" i="4"/>
  <c r="L1054" i="4"/>
  <c r="R1054" i="4"/>
  <c r="U1054" i="4"/>
  <c r="T1052" i="4"/>
  <c r="S1052" i="4"/>
  <c r="O1052" i="4"/>
  <c r="L1052" i="4"/>
  <c r="R1052" i="4"/>
  <c r="U1052" i="4"/>
  <c r="T1022" i="4"/>
  <c r="S1022" i="4"/>
  <c r="T1021" i="4"/>
  <c r="S1021" i="4"/>
  <c r="R1050" i="4"/>
  <c r="S1050" i="4"/>
  <c r="T1050" i="4"/>
  <c r="U1050" i="4"/>
  <c r="T1053" i="4"/>
  <c r="S1053" i="4"/>
  <c r="O1050" i="4"/>
  <c r="L1050" i="4"/>
  <c r="O1053" i="4"/>
  <c r="O1022" i="4"/>
  <c r="L1053" i="4"/>
  <c r="R1053" i="4"/>
  <c r="U1053" i="4"/>
  <c r="L1022" i="4"/>
  <c r="R1022" i="4"/>
  <c r="U1022" i="4"/>
  <c r="O1021" i="4"/>
  <c r="L1021" i="4"/>
  <c r="R1021" i="4"/>
  <c r="U1021" i="4"/>
  <c r="T1048" i="4"/>
  <c r="S1048" i="4"/>
  <c r="O1048" i="4"/>
  <c r="L1048" i="4"/>
  <c r="R1048" i="4"/>
  <c r="U1048" i="4"/>
  <c r="V1049" i="4" l="1"/>
  <c r="V1054" i="4"/>
  <c r="V1051" i="4"/>
  <c r="V1056" i="4"/>
  <c r="V1055" i="4"/>
  <c r="V1052" i="4"/>
  <c r="V1022" i="4"/>
  <c r="V1021" i="4"/>
  <c r="V1050" i="4"/>
  <c r="V1053" i="4"/>
  <c r="T1045" i="4"/>
  <c r="S1045" i="4"/>
  <c r="T1047" i="4"/>
  <c r="S1047" i="4"/>
  <c r="V1048" i="4"/>
  <c r="T1046" i="4"/>
  <c r="S1046" i="4"/>
  <c r="O1047" i="4" l="1"/>
  <c r="O1046" i="4"/>
  <c r="O1045" i="4"/>
  <c r="L1047" i="4"/>
  <c r="M1047" i="4" s="1"/>
  <c r="L1046" i="4"/>
  <c r="M1046" i="4" s="1"/>
  <c r="L1045" i="4"/>
  <c r="M1045" i="4" s="1"/>
  <c r="R1047" i="4"/>
  <c r="U1047" i="4"/>
  <c r="R1046" i="4"/>
  <c r="U1046" i="4"/>
  <c r="R1045" i="4"/>
  <c r="U1045" i="4"/>
  <c r="V1046" i="4" l="1"/>
  <c r="V1045" i="4"/>
  <c r="V1047" i="4"/>
  <c r="T1041" i="4"/>
  <c r="T1042" i="4"/>
  <c r="T1043" i="4"/>
  <c r="T1044" i="4"/>
  <c r="T1039" i="4"/>
  <c r="T1031" i="4"/>
  <c r="T1015" i="4"/>
  <c r="T1020" i="4"/>
  <c r="T1024" i="4"/>
  <c r="T1026" i="4"/>
  <c r="T1027" i="4"/>
  <c r="T1028" i="4"/>
  <c r="T1029" i="4"/>
  <c r="T1030" i="4"/>
  <c r="T1018" i="4"/>
  <c r="T1016" i="4"/>
  <c r="T1017" i="4"/>
  <c r="T1014" i="4"/>
  <c r="T1007" i="4"/>
  <c r="T1008" i="4"/>
  <c r="T1012" i="4"/>
  <c r="T1001" i="4"/>
  <c r="T994" i="4"/>
  <c r="T995" i="4"/>
  <c r="T996" i="4"/>
  <c r="T983" i="4"/>
  <c r="T972" i="4"/>
  <c r="T966" i="4"/>
  <c r="T937" i="4"/>
  <c r="T938" i="4"/>
  <c r="T917" i="4"/>
  <c r="S1031" i="4"/>
  <c r="U757" i="4"/>
  <c r="T757" i="4"/>
  <c r="S757" i="4"/>
  <c r="R757" i="4"/>
  <c r="R886" i="4"/>
  <c r="S886" i="4"/>
  <c r="U886" i="4"/>
  <c r="T886" i="4"/>
  <c r="U971" i="4"/>
  <c r="T971" i="4"/>
  <c r="S971" i="4"/>
  <c r="R971" i="4"/>
  <c r="U880" i="4"/>
  <c r="T880" i="4"/>
  <c r="S880" i="4"/>
  <c r="R880" i="4"/>
  <c r="U806" i="4"/>
  <c r="T806" i="4"/>
  <c r="S806" i="4"/>
  <c r="R806" i="4"/>
  <c r="U756" i="4"/>
  <c r="T756" i="4"/>
  <c r="S756" i="4"/>
  <c r="R756" i="4"/>
  <c r="U752" i="4"/>
  <c r="T752" i="4"/>
  <c r="S752" i="4"/>
  <c r="R752" i="4"/>
  <c r="U701" i="4"/>
  <c r="T701" i="4"/>
  <c r="S701" i="4"/>
  <c r="R701" i="4"/>
  <c r="U666" i="4"/>
  <c r="T666" i="4"/>
  <c r="S666" i="4"/>
  <c r="R666" i="4"/>
  <c r="U597" i="4"/>
  <c r="T597" i="4"/>
  <c r="S597" i="4"/>
  <c r="R597" i="4"/>
  <c r="U605" i="4"/>
  <c r="T605" i="4"/>
  <c r="S605" i="4"/>
  <c r="R605" i="4"/>
  <c r="U549" i="4"/>
  <c r="T549" i="4"/>
  <c r="S549" i="4"/>
  <c r="R549" i="4"/>
  <c r="U545" i="4"/>
  <c r="T545" i="4"/>
  <c r="S545" i="4"/>
  <c r="R545" i="4"/>
  <c r="U536" i="4"/>
  <c r="T536" i="4"/>
  <c r="S536" i="4"/>
  <c r="R536" i="4"/>
  <c r="U488" i="4"/>
  <c r="T488" i="4"/>
  <c r="S488" i="4"/>
  <c r="R488" i="4"/>
  <c r="U437" i="4"/>
  <c r="T437" i="4"/>
  <c r="S437" i="4"/>
  <c r="R437" i="4"/>
  <c r="U371" i="4"/>
  <c r="T371" i="4"/>
  <c r="S371" i="4"/>
  <c r="R371" i="4"/>
  <c r="U311" i="4"/>
  <c r="T311" i="4"/>
  <c r="S311" i="4"/>
  <c r="R311" i="4"/>
  <c r="U225" i="4"/>
  <c r="T225" i="4"/>
  <c r="S225" i="4"/>
  <c r="U1030" i="4"/>
  <c r="S1030" i="4"/>
  <c r="R1030" i="4"/>
  <c r="U872" i="4"/>
  <c r="T872" i="4"/>
  <c r="S872" i="4"/>
  <c r="R872" i="4"/>
  <c r="U614" i="4"/>
  <c r="T614" i="4"/>
  <c r="S614" i="4"/>
  <c r="R614" i="4"/>
  <c r="S1100" i="4"/>
  <c r="T1100" i="4"/>
  <c r="U1011" i="4"/>
  <c r="T1011" i="4"/>
  <c r="S1011" i="4"/>
  <c r="R1011" i="4"/>
  <c r="U928" i="4"/>
  <c r="T928" i="4"/>
  <c r="S928" i="4"/>
  <c r="R928" i="4"/>
  <c r="U923" i="4"/>
  <c r="T923" i="4"/>
  <c r="S923" i="4"/>
  <c r="R923" i="4"/>
  <c r="U881" i="4"/>
  <c r="T881" i="4"/>
  <c r="S881" i="4"/>
  <c r="R881" i="4"/>
  <c r="U875" i="4"/>
  <c r="T875" i="4"/>
  <c r="S875" i="4"/>
  <c r="R875" i="4"/>
  <c r="U860" i="4"/>
  <c r="T860" i="4"/>
  <c r="S860" i="4"/>
  <c r="R860" i="4"/>
  <c r="U754" i="4"/>
  <c r="T754" i="4"/>
  <c r="S754" i="4"/>
  <c r="R754" i="4"/>
  <c r="U695" i="4"/>
  <c r="T695" i="4"/>
  <c r="S695" i="4"/>
  <c r="R695" i="4"/>
  <c r="U685" i="4"/>
  <c r="T685" i="4"/>
  <c r="S685" i="4"/>
  <c r="R685" i="4"/>
  <c r="U658" i="4"/>
  <c r="T658" i="4"/>
  <c r="S658" i="4"/>
  <c r="R658" i="4"/>
  <c r="U638" i="4"/>
  <c r="T638" i="4"/>
  <c r="S638" i="4"/>
  <c r="R638" i="4"/>
  <c r="U629" i="4"/>
  <c r="T629" i="4"/>
  <c r="S629" i="4"/>
  <c r="R629" i="4"/>
  <c r="U601" i="4"/>
  <c r="T601" i="4"/>
  <c r="S601" i="4"/>
  <c r="R601" i="4"/>
  <c r="U527" i="4"/>
  <c r="T527" i="4"/>
  <c r="S527" i="4"/>
  <c r="R527" i="4"/>
  <c r="U585" i="4"/>
  <c r="T585" i="4"/>
  <c r="S585" i="4"/>
  <c r="R585" i="4"/>
  <c r="U582" i="4"/>
  <c r="T582" i="4"/>
  <c r="S582" i="4"/>
  <c r="R582" i="4"/>
  <c r="U548" i="4"/>
  <c r="T548" i="4"/>
  <c r="S548" i="4"/>
  <c r="R548" i="4"/>
  <c r="U483" i="4"/>
  <c r="T483" i="4"/>
  <c r="S483" i="4"/>
  <c r="R483" i="4"/>
  <c r="U467" i="4"/>
  <c r="T467" i="4"/>
  <c r="S467" i="4"/>
  <c r="R467" i="4"/>
  <c r="U385" i="4"/>
  <c r="T385" i="4"/>
  <c r="S385" i="4"/>
  <c r="R385" i="4"/>
  <c r="U398" i="4"/>
  <c r="T398" i="4"/>
  <c r="S398" i="4"/>
  <c r="R398" i="4"/>
  <c r="U403" i="4"/>
  <c r="T403" i="4"/>
  <c r="S403" i="4"/>
  <c r="R403" i="4"/>
  <c r="U346" i="4"/>
  <c r="T346" i="4"/>
  <c r="S346" i="4"/>
  <c r="R346" i="4"/>
  <c r="U326" i="4"/>
  <c r="T326" i="4"/>
  <c r="S326" i="4"/>
  <c r="R326" i="4"/>
  <c r="U306" i="4"/>
  <c r="T306" i="4"/>
  <c r="S306" i="4"/>
  <c r="R306" i="4"/>
  <c r="U969" i="4"/>
  <c r="T969" i="4"/>
  <c r="S969" i="4"/>
  <c r="R969" i="4"/>
  <c r="U942" i="4"/>
  <c r="T942" i="4"/>
  <c r="S942" i="4"/>
  <c r="R942" i="4"/>
  <c r="U947" i="4"/>
  <c r="T947" i="4"/>
  <c r="S947" i="4"/>
  <c r="R947" i="4"/>
  <c r="U933" i="4"/>
  <c r="T933" i="4"/>
  <c r="S933" i="4"/>
  <c r="R933" i="4"/>
  <c r="U853" i="4"/>
  <c r="T853" i="4"/>
  <c r="S853" i="4"/>
  <c r="U1044" i="4"/>
  <c r="S1044" i="4"/>
  <c r="R1044" i="4"/>
  <c r="U491" i="4"/>
  <c r="T491" i="4"/>
  <c r="S491" i="4"/>
  <c r="R491" i="4"/>
  <c r="U490" i="4"/>
  <c r="T490" i="4"/>
  <c r="S490" i="4"/>
  <c r="R490" i="4"/>
  <c r="U345" i="4"/>
  <c r="T345" i="4"/>
  <c r="S345" i="4"/>
  <c r="R345" i="4"/>
  <c r="U344" i="4"/>
  <c r="T344" i="4"/>
  <c r="S344" i="4"/>
  <c r="R344" i="4"/>
  <c r="U1032" i="4"/>
  <c r="T1032" i="4"/>
  <c r="S1032" i="4"/>
  <c r="R1032" i="4"/>
  <c r="U1025" i="4"/>
  <c r="T1025" i="4"/>
  <c r="S1025" i="4"/>
  <c r="R1025" i="4"/>
  <c r="U1029" i="4"/>
  <c r="S1029" i="4"/>
  <c r="R1029" i="4"/>
  <c r="U1024" i="4"/>
  <c r="S1024" i="4"/>
  <c r="R1024" i="4"/>
  <c r="U1015" i="4"/>
  <c r="S1015" i="4"/>
  <c r="R1015" i="4"/>
  <c r="U1012" i="4"/>
  <c r="S1012" i="4"/>
  <c r="R1012" i="4"/>
  <c r="U1001" i="4"/>
  <c r="S1001" i="4"/>
  <c r="R1001" i="4"/>
  <c r="U1000" i="4"/>
  <c r="T1000" i="4"/>
  <c r="S1000" i="4"/>
  <c r="R1000" i="4"/>
  <c r="U989" i="4"/>
  <c r="T989" i="4"/>
  <c r="S989" i="4"/>
  <c r="R989" i="4"/>
  <c r="U993" i="4"/>
  <c r="T993" i="4"/>
  <c r="S993" i="4"/>
  <c r="R993" i="4"/>
  <c r="U983" i="4"/>
  <c r="S983" i="4"/>
  <c r="R983" i="4"/>
  <c r="U976" i="4"/>
  <c r="T976" i="4"/>
  <c r="S976" i="4"/>
  <c r="R976" i="4"/>
  <c r="U974" i="4"/>
  <c r="T974" i="4"/>
  <c r="S974" i="4"/>
  <c r="R974" i="4"/>
  <c r="U966" i="4"/>
  <c r="S966" i="4"/>
  <c r="R966" i="4"/>
  <c r="U959" i="4"/>
  <c r="T959" i="4"/>
  <c r="S959" i="4"/>
  <c r="R959" i="4"/>
  <c r="U939" i="4"/>
  <c r="T939" i="4"/>
  <c r="S939" i="4"/>
  <c r="R939" i="4"/>
  <c r="U916" i="4"/>
  <c r="T916" i="4"/>
  <c r="S916" i="4"/>
  <c r="R916" i="4"/>
  <c r="U645" i="4"/>
  <c r="T645" i="4"/>
  <c r="S645" i="4"/>
  <c r="R645" i="4"/>
  <c r="U608" i="4"/>
  <c r="T608" i="4"/>
  <c r="S608" i="4"/>
  <c r="R608" i="4"/>
  <c r="U1007" i="4"/>
  <c r="S1007" i="4"/>
  <c r="R1007" i="4"/>
  <c r="U1039" i="4"/>
  <c r="S1039" i="4"/>
  <c r="R1039" i="4"/>
  <c r="U1031" i="4"/>
  <c r="R1031" i="4"/>
  <c r="U1027" i="4"/>
  <c r="S1027" i="4"/>
  <c r="R1027" i="4"/>
  <c r="U1019" i="4"/>
  <c r="T1019" i="4"/>
  <c r="S1019" i="4"/>
  <c r="R1019" i="4"/>
  <c r="U1005" i="4"/>
  <c r="T1005" i="4"/>
  <c r="S1005" i="4"/>
  <c r="R1005" i="4"/>
  <c r="U978" i="4"/>
  <c r="T978" i="4"/>
  <c r="S978" i="4"/>
  <c r="R978" i="4"/>
  <c r="U973" i="4"/>
  <c r="T973" i="4"/>
  <c r="S973" i="4"/>
  <c r="R973" i="4"/>
  <c r="U957" i="4"/>
  <c r="T957" i="4"/>
  <c r="S957" i="4"/>
  <c r="R957" i="4"/>
  <c r="U956" i="4"/>
  <c r="T956" i="4"/>
  <c r="S956" i="4"/>
  <c r="R956" i="4"/>
  <c r="U958" i="4"/>
  <c r="T958" i="4"/>
  <c r="S958" i="4"/>
  <c r="R958" i="4"/>
  <c r="U934" i="4"/>
  <c r="T934" i="4"/>
  <c r="S934" i="4"/>
  <c r="R934" i="4"/>
  <c r="U523" i="4"/>
  <c r="T523" i="4"/>
  <c r="S523" i="4"/>
  <c r="R523" i="4"/>
  <c r="U1042" i="4"/>
  <c r="S1042" i="4"/>
  <c r="R1042" i="4"/>
  <c r="U1041" i="4"/>
  <c r="S1041" i="4"/>
  <c r="R1041" i="4"/>
  <c r="U1020" i="4"/>
  <c r="S1020" i="4"/>
  <c r="R1020" i="4"/>
  <c r="U999" i="4"/>
  <c r="T999" i="4"/>
  <c r="S999" i="4"/>
  <c r="R999" i="4"/>
  <c r="U991" i="4"/>
  <c r="T991" i="4"/>
  <c r="S991" i="4"/>
  <c r="R991" i="4"/>
  <c r="U980" i="4"/>
  <c r="T980" i="4"/>
  <c r="S980" i="4"/>
  <c r="R980" i="4"/>
  <c r="U979" i="4"/>
  <c r="T979" i="4"/>
  <c r="S979" i="4"/>
  <c r="R979" i="4"/>
  <c r="U977" i="4"/>
  <c r="T977" i="4"/>
  <c r="S977" i="4"/>
  <c r="R977" i="4"/>
  <c r="U960" i="4"/>
  <c r="T960" i="4"/>
  <c r="S960" i="4"/>
  <c r="R960" i="4"/>
  <c r="U948" i="4"/>
  <c r="T948" i="4"/>
  <c r="S948" i="4"/>
  <c r="R948" i="4"/>
  <c r="U941" i="4"/>
  <c r="T941" i="4"/>
  <c r="S941" i="4"/>
  <c r="R941" i="4"/>
  <c r="U1034" i="4"/>
  <c r="T1034" i="4"/>
  <c r="S1034" i="4"/>
  <c r="R1034" i="4"/>
  <c r="U1033" i="4"/>
  <c r="T1033" i="4"/>
  <c r="S1033" i="4"/>
  <c r="R1033" i="4"/>
  <c r="U1002" i="4"/>
  <c r="T1002" i="4"/>
  <c r="S1002" i="4"/>
  <c r="R1002" i="4"/>
  <c r="U949" i="4"/>
  <c r="T949" i="4"/>
  <c r="S949" i="4"/>
  <c r="R949" i="4"/>
  <c r="U493" i="4"/>
  <c r="T493" i="4"/>
  <c r="S493" i="4"/>
  <c r="R493" i="4"/>
  <c r="T943" i="4"/>
  <c r="S943" i="4"/>
  <c r="U943" i="4"/>
  <c r="R943" i="4"/>
  <c r="U609" i="4"/>
  <c r="T609" i="4"/>
  <c r="S609" i="4"/>
  <c r="R609" i="4"/>
  <c r="U997" i="4"/>
  <c r="T997" i="4"/>
  <c r="S997" i="4"/>
  <c r="R997" i="4"/>
  <c r="U1026" i="4"/>
  <c r="S1026" i="4"/>
  <c r="R1026" i="4"/>
  <c r="U972" i="4"/>
  <c r="S972" i="4"/>
  <c r="R972" i="4"/>
  <c r="S1013" i="4"/>
  <c r="T1013" i="4"/>
  <c r="T953" i="4"/>
  <c r="S953" i="4"/>
  <c r="U1013" i="4"/>
  <c r="R1013" i="4"/>
  <c r="U1006" i="4"/>
  <c r="T1006" i="4"/>
  <c r="S1006" i="4"/>
  <c r="R1006" i="4"/>
  <c r="U967" i="4"/>
  <c r="T967" i="4"/>
  <c r="S967" i="4"/>
  <c r="R967" i="4"/>
  <c r="U963" i="4"/>
  <c r="T963" i="4"/>
  <c r="S963" i="4"/>
  <c r="R963" i="4"/>
  <c r="U953" i="4"/>
  <c r="R953" i="4"/>
  <c r="U952" i="4"/>
  <c r="T952" i="4"/>
  <c r="S952" i="4"/>
  <c r="R952" i="4"/>
  <c r="U1008" i="4"/>
  <c r="S1008" i="4"/>
  <c r="R1008" i="4"/>
  <c r="U981" i="4"/>
  <c r="T981" i="4"/>
  <c r="S981" i="4"/>
  <c r="R981" i="4"/>
  <c r="U965" i="4"/>
  <c r="T965" i="4"/>
  <c r="S965" i="4"/>
  <c r="R965" i="4"/>
  <c r="U962" i="4"/>
  <c r="T962" i="4"/>
  <c r="S962" i="4"/>
  <c r="R962" i="4"/>
  <c r="U955" i="4"/>
  <c r="T955" i="4"/>
  <c r="S955" i="4"/>
  <c r="R955" i="4"/>
  <c r="U1038" i="4"/>
  <c r="T1038" i="4"/>
  <c r="S1038" i="4"/>
  <c r="R1038" i="4"/>
  <c r="U1028" i="4"/>
  <c r="S1028" i="4"/>
  <c r="R1028" i="4"/>
  <c r="U1010" i="4"/>
  <c r="T1010" i="4"/>
  <c r="S1010" i="4"/>
  <c r="R1010" i="4"/>
  <c r="U990" i="4"/>
  <c r="T990" i="4"/>
  <c r="S990" i="4"/>
  <c r="R990" i="4"/>
  <c r="U970" i="4"/>
  <c r="T970" i="4"/>
  <c r="S970" i="4"/>
  <c r="R970" i="4"/>
  <c r="U961" i="4"/>
  <c r="T961" i="4"/>
  <c r="S961" i="4"/>
  <c r="R961" i="4"/>
  <c r="U951" i="4"/>
  <c r="T951" i="4"/>
  <c r="S951" i="4"/>
  <c r="R951" i="4"/>
  <c r="U940" i="4"/>
  <c r="T940" i="4"/>
  <c r="S940" i="4"/>
  <c r="R940" i="4"/>
  <c r="U944" i="4"/>
  <c r="T944" i="4"/>
  <c r="S944" i="4"/>
  <c r="R944" i="4"/>
  <c r="U1035" i="4"/>
  <c r="T1035" i="4"/>
  <c r="S1035" i="4"/>
  <c r="R1035" i="4"/>
  <c r="U1003" i="4"/>
  <c r="T1003" i="4"/>
  <c r="S1003" i="4"/>
  <c r="R1003" i="4"/>
  <c r="U945" i="4"/>
  <c r="T945" i="4"/>
  <c r="S945" i="4"/>
  <c r="R945" i="4"/>
  <c r="U935" i="4"/>
  <c r="T935" i="4"/>
  <c r="S935" i="4"/>
  <c r="R935" i="4"/>
  <c r="U492" i="4"/>
  <c r="T492" i="4"/>
  <c r="S492" i="4"/>
  <c r="R492" i="4"/>
  <c r="R938" i="4"/>
  <c r="S938" i="4"/>
  <c r="U938" i="4"/>
  <c r="U937" i="4"/>
  <c r="S937" i="4"/>
  <c r="R937" i="4"/>
  <c r="V488" i="4" l="1"/>
  <c r="V757" i="4"/>
  <c r="V756" i="4"/>
  <c r="V880" i="4"/>
  <c r="V752" i="4"/>
  <c r="V701" i="4"/>
  <c r="V886" i="4"/>
  <c r="V311" i="4"/>
  <c r="V371" i="4"/>
  <c r="V597" i="4"/>
  <c r="V872" i="4"/>
  <c r="V605" i="4"/>
  <c r="V666" i="4"/>
  <c r="V545" i="4"/>
  <c r="V806" i="4"/>
  <c r="V971" i="4"/>
  <c r="V614" i="4"/>
  <c r="V1030" i="4"/>
  <c r="V437" i="4"/>
  <c r="V536" i="4"/>
  <c r="V549" i="4"/>
  <c r="V933" i="4"/>
  <c r="V942" i="4"/>
  <c r="V398" i="4"/>
  <c r="V467" i="4"/>
  <c r="V601" i="4"/>
  <c r="V638" i="4"/>
  <c r="V875" i="4"/>
  <c r="V923" i="4"/>
  <c r="V1011" i="4"/>
  <c r="V483" i="4"/>
  <c r="V881" i="4"/>
  <c r="V629" i="4"/>
  <c r="V385" i="4"/>
  <c r="V685" i="4"/>
  <c r="V947" i="4"/>
  <c r="V969" i="4"/>
  <c r="V326" i="4"/>
  <c r="V403" i="4"/>
  <c r="V585" i="4"/>
  <c r="V346" i="4"/>
  <c r="V582" i="4"/>
  <c r="V527" i="4"/>
  <c r="V754" i="4"/>
  <c r="V658" i="4"/>
  <c r="V306" i="4"/>
  <c r="V928" i="4"/>
  <c r="V548" i="4"/>
  <c r="V695" i="4"/>
  <c r="V860" i="4"/>
  <c r="V490" i="4"/>
  <c r="V1044" i="4"/>
  <c r="V345" i="4"/>
  <c r="V491" i="4"/>
  <c r="V344" i="4"/>
  <c r="V989" i="4"/>
  <c r="V1032" i="4"/>
  <c r="V1001" i="4"/>
  <c r="V1000" i="4"/>
  <c r="V1025" i="4"/>
  <c r="V966" i="4"/>
  <c r="V916" i="4"/>
  <c r="V608" i="4"/>
  <c r="V1015" i="4"/>
  <c r="V1007" i="4"/>
  <c r="V983" i="4"/>
  <c r="V645" i="4"/>
  <c r="V1029" i="4"/>
  <c r="V939" i="4"/>
  <c r="V993" i="4"/>
  <c r="V976" i="4"/>
  <c r="V1012" i="4"/>
  <c r="V959" i="4"/>
  <c r="V974" i="4"/>
  <c r="V1024" i="4"/>
  <c r="V523" i="4"/>
  <c r="V956" i="4"/>
  <c r="V973" i="4"/>
  <c r="V1005" i="4"/>
  <c r="V1039" i="4"/>
  <c r="V979" i="4"/>
  <c r="V1042" i="4"/>
  <c r="V958" i="4"/>
  <c r="V957" i="4"/>
  <c r="V978" i="4"/>
  <c r="V1019" i="4"/>
  <c r="V1031" i="4"/>
  <c r="V1027" i="4"/>
  <c r="V934" i="4"/>
  <c r="V493" i="4"/>
  <c r="V1002" i="4"/>
  <c r="V1034" i="4"/>
  <c r="V948" i="4"/>
  <c r="V977" i="4"/>
  <c r="V980" i="4"/>
  <c r="V999" i="4"/>
  <c r="V1041" i="4"/>
  <c r="V941" i="4"/>
  <c r="V991" i="4"/>
  <c r="V1020" i="4"/>
  <c r="V1033" i="4"/>
  <c r="V960" i="4"/>
  <c r="V949" i="4"/>
  <c r="V609" i="4"/>
  <c r="V972" i="4"/>
  <c r="V997" i="4"/>
  <c r="V943" i="4"/>
  <c r="V952" i="4"/>
  <c r="V1013" i="4"/>
  <c r="V967" i="4"/>
  <c r="V1026" i="4"/>
  <c r="V955" i="4"/>
  <c r="V965" i="4"/>
  <c r="V1008" i="4"/>
  <c r="V953" i="4"/>
  <c r="V963" i="4"/>
  <c r="V1006" i="4"/>
  <c r="V962" i="4"/>
  <c r="V981" i="4"/>
  <c r="V990" i="4"/>
  <c r="V944" i="4"/>
  <c r="V1028" i="4"/>
  <c r="V970" i="4"/>
  <c r="V1010" i="4"/>
  <c r="V1038" i="4"/>
  <c r="V492" i="4"/>
  <c r="V1035" i="4"/>
  <c r="V951" i="4"/>
  <c r="V940" i="4"/>
  <c r="V961" i="4"/>
  <c r="V1003" i="4"/>
  <c r="V937" i="4"/>
  <c r="V935" i="4"/>
  <c r="V945" i="4"/>
  <c r="V938" i="4"/>
  <c r="U356" i="4" l="1"/>
  <c r="T356" i="4"/>
  <c r="S356" i="4"/>
  <c r="R356" i="4"/>
  <c r="U347" i="4"/>
  <c r="T347" i="4"/>
  <c r="S347" i="4"/>
  <c r="R347" i="4"/>
  <c r="U1043" i="4"/>
  <c r="S1043" i="4"/>
  <c r="R1043" i="4"/>
  <c r="U1037" i="4"/>
  <c r="T1037" i="4"/>
  <c r="S1037" i="4"/>
  <c r="R1037" i="4"/>
  <c r="U1036" i="4"/>
  <c r="T1036" i="4"/>
  <c r="S1036" i="4"/>
  <c r="R1036" i="4"/>
  <c r="U1040" i="4"/>
  <c r="T1040" i="4"/>
  <c r="S1040" i="4"/>
  <c r="R1040" i="4"/>
  <c r="U1017" i="4"/>
  <c r="S1017" i="4"/>
  <c r="R1017" i="4"/>
  <c r="U1014" i="4"/>
  <c r="S1014" i="4"/>
  <c r="R1014" i="4"/>
  <c r="U1009" i="4"/>
  <c r="T1009" i="4"/>
  <c r="S1009" i="4"/>
  <c r="R1009" i="4"/>
  <c r="U1004" i="4"/>
  <c r="T1004" i="4"/>
  <c r="S1004" i="4"/>
  <c r="R1004" i="4"/>
  <c r="U992" i="4"/>
  <c r="T992" i="4"/>
  <c r="S992" i="4"/>
  <c r="R992" i="4"/>
  <c r="U984" i="4"/>
  <c r="T984" i="4"/>
  <c r="S984" i="4"/>
  <c r="R984" i="4"/>
  <c r="U986" i="4"/>
  <c r="T986" i="4"/>
  <c r="S986" i="4"/>
  <c r="R986" i="4"/>
  <c r="U988" i="4"/>
  <c r="T988" i="4"/>
  <c r="S988" i="4"/>
  <c r="R988" i="4"/>
  <c r="U987" i="4"/>
  <c r="T987" i="4"/>
  <c r="S987" i="4"/>
  <c r="R987" i="4"/>
  <c r="U982" i="4"/>
  <c r="T982" i="4"/>
  <c r="S982" i="4"/>
  <c r="R982" i="4"/>
  <c r="U975" i="4"/>
  <c r="T975" i="4"/>
  <c r="S975" i="4"/>
  <c r="R975" i="4"/>
  <c r="U968" i="4"/>
  <c r="T968" i="4"/>
  <c r="S968" i="4"/>
  <c r="R968" i="4"/>
  <c r="U964" i="4"/>
  <c r="T964" i="4"/>
  <c r="S964" i="4"/>
  <c r="R964" i="4"/>
  <c r="U954" i="4"/>
  <c r="T954" i="4"/>
  <c r="S954" i="4"/>
  <c r="R954" i="4"/>
  <c r="U950" i="4"/>
  <c r="T950" i="4"/>
  <c r="S950" i="4"/>
  <c r="R950" i="4"/>
  <c r="U946" i="4"/>
  <c r="T946" i="4"/>
  <c r="S946" i="4"/>
  <c r="R946" i="4"/>
  <c r="U936" i="4"/>
  <c r="T936" i="4"/>
  <c r="S936" i="4"/>
  <c r="R936" i="4"/>
  <c r="U930" i="4"/>
  <c r="T930" i="4"/>
  <c r="S930" i="4"/>
  <c r="R930" i="4"/>
  <c r="U348" i="4"/>
  <c r="T348" i="4"/>
  <c r="S348" i="4"/>
  <c r="R348" i="4"/>
  <c r="R931" i="4"/>
  <c r="S931" i="4"/>
  <c r="T931" i="4"/>
  <c r="U931" i="4"/>
  <c r="R932" i="4"/>
  <c r="S932" i="4"/>
  <c r="T932" i="4"/>
  <c r="U932" i="4"/>
  <c r="R922" i="4"/>
  <c r="S922" i="4"/>
  <c r="T922" i="4"/>
  <c r="U922" i="4"/>
  <c r="U929" i="4"/>
  <c r="T929" i="4"/>
  <c r="S929" i="4"/>
  <c r="R929" i="4"/>
  <c r="R926" i="4"/>
  <c r="S926" i="4"/>
  <c r="T926" i="4"/>
  <c r="U926" i="4"/>
  <c r="R927" i="4"/>
  <c r="S927" i="4"/>
  <c r="T927" i="4"/>
  <c r="U927" i="4"/>
  <c r="T925" i="4"/>
  <c r="S925" i="4"/>
  <c r="R925" i="4"/>
  <c r="U925" i="4"/>
  <c r="U924" i="4"/>
  <c r="T924" i="4"/>
  <c r="S924" i="4"/>
  <c r="R924" i="4"/>
  <c r="S921" i="4"/>
  <c r="T921" i="4"/>
  <c r="R918" i="4"/>
  <c r="S918" i="4"/>
  <c r="T918" i="4"/>
  <c r="U918" i="4"/>
  <c r="R919" i="4"/>
  <c r="S919" i="4"/>
  <c r="T919" i="4"/>
  <c r="U919" i="4"/>
  <c r="R921" i="4"/>
  <c r="U921" i="4"/>
  <c r="U920" i="4"/>
  <c r="T920" i="4"/>
  <c r="S920" i="4"/>
  <c r="R920" i="4"/>
  <c r="U914" i="4"/>
  <c r="T914" i="4"/>
  <c r="S914" i="4"/>
  <c r="R914" i="4"/>
  <c r="U917" i="4"/>
  <c r="S917" i="4"/>
  <c r="R917" i="4"/>
  <c r="U915" i="4"/>
  <c r="T915" i="4"/>
  <c r="S915" i="4"/>
  <c r="R915" i="4"/>
  <c r="T913" i="4"/>
  <c r="S913" i="4"/>
  <c r="T910" i="4"/>
  <c r="S910" i="4"/>
  <c r="R909" i="4"/>
  <c r="S909" i="4"/>
  <c r="T909" i="4"/>
  <c r="U909" i="4"/>
  <c r="R910" i="4"/>
  <c r="U910" i="4"/>
  <c r="R912" i="4"/>
  <c r="S912" i="4"/>
  <c r="T912" i="4"/>
  <c r="U912" i="4"/>
  <c r="R913" i="4"/>
  <c r="U913" i="4"/>
  <c r="U902" i="4"/>
  <c r="T902" i="4"/>
  <c r="S902" i="4"/>
  <c r="R902" i="4"/>
  <c r="T907" i="4"/>
  <c r="R900" i="4"/>
  <c r="S900" i="4"/>
  <c r="T900" i="4"/>
  <c r="U900" i="4"/>
  <c r="R901" i="4"/>
  <c r="S901" i="4"/>
  <c r="T901" i="4"/>
  <c r="U901" i="4"/>
  <c r="R903" i="4"/>
  <c r="S903" i="4"/>
  <c r="T903" i="4"/>
  <c r="U903" i="4"/>
  <c r="R907" i="4"/>
  <c r="S907" i="4"/>
  <c r="U907" i="4"/>
  <c r="R898" i="4"/>
  <c r="S898" i="4"/>
  <c r="T898" i="4"/>
  <c r="U898" i="4"/>
  <c r="U899" i="4"/>
  <c r="T899" i="4"/>
  <c r="S899" i="4"/>
  <c r="R899" i="4"/>
  <c r="R998" i="4"/>
  <c r="S998" i="4"/>
  <c r="T998" i="4"/>
  <c r="U998" i="4"/>
  <c r="R995" i="4"/>
  <c r="S995" i="4"/>
  <c r="U995" i="4"/>
  <c r="R996" i="4"/>
  <c r="S996" i="4"/>
  <c r="U996" i="4"/>
  <c r="S994" i="4"/>
  <c r="U994" i="4"/>
  <c r="R994" i="4"/>
  <c r="S897" i="4"/>
  <c r="U895" i="4"/>
  <c r="T895" i="4"/>
  <c r="S895" i="4"/>
  <c r="R895" i="4"/>
  <c r="U897" i="4"/>
  <c r="T897" i="4"/>
  <c r="R897" i="4"/>
  <c r="U884" i="4"/>
  <c r="T884" i="4"/>
  <c r="S884" i="4"/>
  <c r="R884" i="4"/>
  <c r="T883" i="4"/>
  <c r="S883" i="4"/>
  <c r="R883" i="4"/>
  <c r="R905" i="4"/>
  <c r="S905" i="4"/>
  <c r="T905" i="4"/>
  <c r="U905" i="4"/>
  <c r="R906" i="4"/>
  <c r="S906" i="4"/>
  <c r="T906" i="4"/>
  <c r="U906" i="4"/>
  <c r="R911" i="4"/>
  <c r="S911" i="4"/>
  <c r="T911" i="4"/>
  <c r="U911" i="4"/>
  <c r="R908" i="4"/>
  <c r="S908" i="4"/>
  <c r="T908" i="4"/>
  <c r="U908" i="4"/>
  <c r="U904" i="4"/>
  <c r="T904" i="4"/>
  <c r="S904" i="4"/>
  <c r="R904" i="4"/>
  <c r="U1016" i="4"/>
  <c r="S1016" i="4"/>
  <c r="R1016" i="4"/>
  <c r="U1018" i="4"/>
  <c r="S1018" i="4"/>
  <c r="R1018" i="4"/>
  <c r="U512" i="4"/>
  <c r="T512" i="4"/>
  <c r="S512" i="4"/>
  <c r="R512" i="4"/>
  <c r="V1016" i="4" l="1"/>
  <c r="V917" i="4"/>
  <c r="V1018" i="4"/>
  <c r="V356" i="4"/>
  <c r="V347" i="4"/>
  <c r="V899" i="4"/>
  <c r="V920" i="4"/>
  <c r="V924" i="4"/>
  <c r="V348" i="4"/>
  <c r="V950" i="4"/>
  <c r="V964" i="4"/>
  <c r="V986" i="4"/>
  <c r="V992" i="4"/>
  <c r="V1036" i="4"/>
  <c r="V1043" i="4"/>
  <c r="V1040" i="4"/>
  <c r="V954" i="4"/>
  <c r="V988" i="4"/>
  <c r="V914" i="4"/>
  <c r="V946" i="4"/>
  <c r="V927" i="4"/>
  <c r="V1017" i="4"/>
  <c r="V904" i="4"/>
  <c r="V900" i="4"/>
  <c r="V915" i="4"/>
  <c r="V930" i="4"/>
  <c r="V975" i="4"/>
  <c r="V512" i="4"/>
  <c r="V901" i="4"/>
  <c r="V936" i="4"/>
  <c r="V908" i="4"/>
  <c r="V929" i="4"/>
  <c r="V921" i="4"/>
  <c r="V968" i="4"/>
  <c r="V982" i="4"/>
  <c r="V1009" i="4"/>
  <c r="V912" i="4"/>
  <c r="V919" i="4"/>
  <c r="V984" i="4"/>
  <c r="V1037" i="4"/>
  <c r="V987" i="4"/>
  <c r="V903" i="4"/>
  <c r="V998" i="4"/>
  <c r="V898" i="4"/>
  <c r="V922" i="4"/>
  <c r="V1004" i="4"/>
  <c r="V1014" i="4"/>
  <c r="V994" i="4"/>
  <c r="V995" i="4"/>
  <c r="V909" i="4"/>
  <c r="V895" i="4"/>
  <c r="V907" i="4"/>
  <c r="V932" i="4"/>
  <c r="V918" i="4"/>
  <c r="V911" i="4"/>
  <c r="V905" i="4"/>
  <c r="V884" i="4"/>
  <c r="V996" i="4"/>
  <c r="V902" i="4"/>
  <c r="V931" i="4"/>
  <c r="V906" i="4"/>
  <c r="V897" i="4"/>
  <c r="V913" i="4"/>
  <c r="V926" i="4"/>
  <c r="V925" i="4"/>
  <c r="V910" i="4"/>
  <c r="O1044" i="4" l="1"/>
  <c r="O1043" i="4"/>
  <c r="O1042" i="4"/>
  <c r="L1042" i="4"/>
  <c r="O1041" i="4"/>
  <c r="L1041" i="4"/>
  <c r="O1017" i="4"/>
  <c r="O1038" i="4" l="1"/>
  <c r="O1037" i="4"/>
  <c r="O1036" i="4"/>
  <c r="O1035" i="4"/>
  <c r="O1034" i="4"/>
  <c r="O1033" i="4"/>
  <c r="L1038" i="4"/>
  <c r="M1038" i="4" s="1"/>
  <c r="L1037" i="4"/>
  <c r="M1037" i="4" s="1"/>
  <c r="L1036" i="4"/>
  <c r="M1036" i="4" s="1"/>
  <c r="L1035" i="4"/>
  <c r="M1035" i="4" s="1"/>
  <c r="L1034" i="4"/>
  <c r="M1034" i="4" s="1"/>
  <c r="L1033" i="4"/>
  <c r="M1033" i="4" s="1"/>
  <c r="O1032" i="4"/>
  <c r="L1032" i="4"/>
  <c r="M1032" i="4" s="1"/>
  <c r="O1039" i="4" l="1"/>
  <c r="L1039" i="4"/>
  <c r="L1040" i="4"/>
  <c r="C40" i="8" l="1"/>
  <c r="C39" i="8"/>
  <c r="C38" i="8"/>
  <c r="C37" i="8"/>
  <c r="C36" i="8"/>
  <c r="C35" i="8"/>
  <c r="G29" i="8"/>
  <c r="H29" i="8"/>
  <c r="I29" i="8"/>
  <c r="E31" i="8"/>
  <c r="D31" i="8"/>
  <c r="C31" i="8"/>
  <c r="AA28" i="10"/>
  <c r="AB27" i="10"/>
  <c r="AB26" i="10"/>
  <c r="AB24" i="10"/>
  <c r="AB22" i="10"/>
  <c r="AB21" i="10"/>
  <c r="N24" i="10"/>
  <c r="M28" i="10"/>
  <c r="N22" i="10"/>
  <c r="N27" i="10"/>
  <c r="N26" i="10"/>
  <c r="N21" i="10"/>
  <c r="O1031" i="4"/>
  <c r="L1031" i="4"/>
  <c r="L1025" i="4"/>
  <c r="O1030" i="4" l="1"/>
  <c r="O1029" i="4"/>
  <c r="L1030" i="4"/>
  <c r="L1029" i="4"/>
  <c r="O1028" i="4" l="1"/>
  <c r="L1028" i="4"/>
  <c r="O1027" i="4" l="1"/>
  <c r="L1027" i="4"/>
  <c r="O1026" i="4"/>
  <c r="L1026" i="4"/>
  <c r="M1026" i="4" s="1"/>
  <c r="M1629" i="4" s="1"/>
  <c r="O1024" i="4" l="1"/>
  <c r="L1024" i="4"/>
  <c r="L957" i="4"/>
  <c r="L956" i="4"/>
  <c r="O1020" i="4"/>
  <c r="L1020" i="4"/>
  <c r="L1015" i="4"/>
  <c r="O1019" i="4"/>
  <c r="L1019" i="4"/>
  <c r="L1017" i="4" l="1"/>
  <c r="L1013" i="4"/>
  <c r="L1018" i="4"/>
  <c r="L1014" i="4"/>
  <c r="L1016" i="4" l="1"/>
  <c r="O966" i="4" l="1"/>
  <c r="O938" i="4"/>
  <c r="O937" i="4"/>
  <c r="O922" i="4"/>
  <c r="P815" i="4"/>
  <c r="L1009" i="4"/>
  <c r="L1010" i="4"/>
  <c r="L1011" i="4"/>
  <c r="L1012" i="4"/>
  <c r="L1008" i="4"/>
  <c r="L1007" i="4"/>
  <c r="L1005" i="4"/>
  <c r="L1006" i="4"/>
  <c r="L1002" i="4"/>
  <c r="L1003" i="4"/>
  <c r="L1004" i="4"/>
  <c r="L1001" i="4"/>
  <c r="L1000" i="4"/>
  <c r="L999" i="4"/>
  <c r="L995" i="4"/>
  <c r="L996" i="4"/>
  <c r="L997" i="4"/>
  <c r="L998" i="4"/>
  <c r="L994" i="4"/>
  <c r="L993" i="4"/>
  <c r="L992" i="4"/>
  <c r="L991" i="4"/>
  <c r="L990" i="4"/>
  <c r="L985" i="4"/>
  <c r="L984" i="4"/>
  <c r="L986" i="4"/>
  <c r="L988" i="4"/>
  <c r="L987" i="4"/>
  <c r="L983" i="4" l="1"/>
  <c r="L982" i="4"/>
  <c r="L981" i="4"/>
  <c r="L978" i="4" l="1"/>
  <c r="L980" i="4"/>
  <c r="L979" i="4"/>
  <c r="L975" i="4"/>
  <c r="L977" i="4"/>
  <c r="L976" i="4"/>
  <c r="L869" i="4"/>
  <c r="L870" i="4"/>
  <c r="L971" i="4"/>
  <c r="L970" i="4"/>
  <c r="L973" i="4" l="1"/>
  <c r="L974" i="4"/>
  <c r="L972" i="4"/>
  <c r="L969" i="4" l="1"/>
  <c r="L968" i="4"/>
  <c r="L967" i="4"/>
  <c r="L965" i="4"/>
  <c r="L966" i="4"/>
  <c r="L962" i="4"/>
  <c r="L963" i="4"/>
  <c r="L964" i="4"/>
  <c r="L961" i="4"/>
  <c r="L955" i="4"/>
  <c r="L960" i="4" l="1"/>
  <c r="L959" i="4"/>
  <c r="L958" i="4"/>
  <c r="L953" i="4"/>
  <c r="L954" i="4"/>
  <c r="L952" i="4"/>
  <c r="L951" i="4"/>
  <c r="L950" i="4"/>
  <c r="L949" i="4"/>
  <c r="L948" i="4"/>
  <c r="L943" i="4"/>
  <c r="L942" i="4"/>
  <c r="L939" i="4"/>
  <c r="L941" i="4"/>
  <c r="L940" i="4"/>
  <c r="L946" i="4"/>
  <c r="L945" i="4"/>
  <c r="L944" i="4"/>
  <c r="L938" i="4"/>
  <c r="L947" i="4"/>
  <c r="L937" i="4"/>
  <c r="L934" i="4"/>
  <c r="L936" i="4"/>
  <c r="L935" i="4"/>
  <c r="L933" i="4"/>
  <c r="L922" i="4"/>
  <c r="L932" i="4"/>
  <c r="L931" i="4"/>
  <c r="L930" i="4"/>
  <c r="L929" i="4"/>
  <c r="L928" i="4"/>
  <c r="L927" i="4"/>
  <c r="L926" i="4"/>
  <c r="L925" i="4"/>
  <c r="L924" i="4"/>
  <c r="L923" i="4"/>
  <c r="L920" i="4"/>
  <c r="L921" i="4"/>
  <c r="L919" i="4"/>
  <c r="L918" i="4"/>
  <c r="L914" i="4"/>
  <c r="L917" i="4"/>
  <c r="L915" i="4"/>
  <c r="L916" i="4"/>
  <c r="L913" i="4"/>
  <c r="L912" i="4"/>
  <c r="L910" i="4"/>
  <c r="L909" i="4"/>
  <c r="L908" i="4"/>
  <c r="L911" i="4"/>
  <c r="L904" i="4"/>
  <c r="L902" i="4"/>
  <c r="L907" i="4"/>
  <c r="L903" i="4"/>
  <c r="L901" i="4"/>
  <c r="L900" i="4"/>
  <c r="L899" i="4"/>
  <c r="L898" i="4"/>
  <c r="R896" i="4"/>
  <c r="U896" i="4"/>
  <c r="L895" i="4"/>
  <c r="L896" i="4"/>
  <c r="L897" i="4"/>
  <c r="L882" i="4"/>
  <c r="L884" i="4"/>
  <c r="L883" i="4"/>
  <c r="U883" i="4"/>
  <c r="V883" i="4" s="1"/>
  <c r="L892" i="4"/>
  <c r="L891" i="4"/>
  <c r="R892" i="4"/>
  <c r="U892" i="4"/>
  <c r="R891" i="4"/>
  <c r="U891" i="4"/>
  <c r="L890" i="4"/>
  <c r="R890" i="4"/>
  <c r="U890" i="4"/>
  <c r="L894" i="4"/>
  <c r="R894" i="4"/>
  <c r="U894" i="4"/>
  <c r="U893" i="4"/>
  <c r="T893" i="4"/>
  <c r="S893" i="4"/>
  <c r="R893" i="4"/>
  <c r="L893" i="4"/>
  <c r="L886" i="4"/>
  <c r="U885" i="4"/>
  <c r="T885" i="4"/>
  <c r="S885" i="4"/>
  <c r="R885" i="4"/>
  <c r="L885" i="4"/>
  <c r="V893" i="4" l="1"/>
  <c r="V885" i="4"/>
  <c r="U889" i="4"/>
  <c r="T889" i="4"/>
  <c r="S889" i="4"/>
  <c r="R889" i="4"/>
  <c r="L889" i="4"/>
  <c r="U888" i="4"/>
  <c r="T888" i="4"/>
  <c r="S888" i="4"/>
  <c r="R888" i="4"/>
  <c r="U887" i="4"/>
  <c r="T887" i="4"/>
  <c r="S887" i="4"/>
  <c r="R887" i="4"/>
  <c r="L888" i="4"/>
  <c r="L887" i="4"/>
  <c r="L881" i="4"/>
  <c r="U879" i="4"/>
  <c r="S879" i="4"/>
  <c r="U878" i="4"/>
  <c r="T878" i="4"/>
  <c r="S878" i="4"/>
  <c r="R878" i="4"/>
  <c r="U877" i="4"/>
  <c r="T877" i="4"/>
  <c r="S877" i="4"/>
  <c r="R877" i="4"/>
  <c r="L880" i="4"/>
  <c r="L879" i="4"/>
  <c r="L878" i="4"/>
  <c r="L877" i="4"/>
  <c r="Z28" i="10"/>
  <c r="L28" i="10"/>
  <c r="AB23" i="10"/>
  <c r="AB25" i="10"/>
  <c r="N23" i="10"/>
  <c r="N25" i="10"/>
  <c r="U882" i="4"/>
  <c r="T882" i="4"/>
  <c r="S882" i="4"/>
  <c r="R882" i="4"/>
  <c r="U876" i="4"/>
  <c r="S876" i="4"/>
  <c r="R859" i="4"/>
  <c r="T859" i="4"/>
  <c r="U859" i="4"/>
  <c r="U874" i="4"/>
  <c r="T874" i="4"/>
  <c r="S874" i="4"/>
  <c r="R874" i="4"/>
  <c r="U873" i="4"/>
  <c r="T873" i="4"/>
  <c r="S873" i="4"/>
  <c r="R873" i="4"/>
  <c r="L876" i="4"/>
  <c r="L875" i="4"/>
  <c r="L874" i="4"/>
  <c r="L873" i="4"/>
  <c r="L871" i="4"/>
  <c r="U871" i="4"/>
  <c r="T871" i="4"/>
  <c r="S871" i="4"/>
  <c r="R871" i="4"/>
  <c r="L872" i="4"/>
  <c r="U870" i="4"/>
  <c r="T870" i="4"/>
  <c r="S870" i="4"/>
  <c r="R870" i="4"/>
  <c r="U869" i="4"/>
  <c r="T869" i="4"/>
  <c r="S869" i="4"/>
  <c r="R869" i="4"/>
  <c r="U868" i="4"/>
  <c r="T868" i="4"/>
  <c r="S868" i="4"/>
  <c r="R868" i="4"/>
  <c r="U867" i="4"/>
  <c r="T867" i="4"/>
  <c r="S867" i="4"/>
  <c r="R867" i="4"/>
  <c r="L868" i="4"/>
  <c r="L867" i="4"/>
  <c r="U836" i="4"/>
  <c r="T836" i="4"/>
  <c r="S836" i="4"/>
  <c r="R836" i="4"/>
  <c r="L836" i="4"/>
  <c r="U862" i="4"/>
  <c r="T862" i="4"/>
  <c r="S862" i="4"/>
  <c r="R862" i="4"/>
  <c r="L862" i="4"/>
  <c r="V877" i="4" l="1"/>
  <c r="V887" i="4"/>
  <c r="V889" i="4"/>
  <c r="V879" i="4"/>
  <c r="V878" i="4"/>
  <c r="V888" i="4"/>
  <c r="V874" i="4"/>
  <c r="V876" i="4"/>
  <c r="V882" i="4"/>
  <c r="V859" i="4"/>
  <c r="V871" i="4"/>
  <c r="V873" i="4"/>
  <c r="V870" i="4"/>
  <c r="V869" i="4"/>
  <c r="V867" i="4"/>
  <c r="V868" i="4"/>
  <c r="V862" i="4"/>
  <c r="V836" i="4"/>
  <c r="U865" i="4" l="1"/>
  <c r="T865" i="4"/>
  <c r="S865" i="4"/>
  <c r="R865" i="4"/>
  <c r="L865" i="4"/>
  <c r="U866" i="4"/>
  <c r="T866" i="4"/>
  <c r="S866" i="4"/>
  <c r="R866" i="4"/>
  <c r="L866" i="4"/>
  <c r="U864" i="4"/>
  <c r="T864" i="4"/>
  <c r="S864" i="4"/>
  <c r="R864" i="4"/>
  <c r="L864" i="4"/>
  <c r="U854" i="4"/>
  <c r="T854" i="4"/>
  <c r="S854" i="4"/>
  <c r="R854" i="4"/>
  <c r="R853" i="4"/>
  <c r="V853" i="4" s="1"/>
  <c r="O854" i="4"/>
  <c r="O853" i="4"/>
  <c r="L854" i="4"/>
  <c r="L853" i="4"/>
  <c r="U855" i="4"/>
  <c r="S855" i="4"/>
  <c r="U858" i="4"/>
  <c r="T858" i="4"/>
  <c r="S858" i="4"/>
  <c r="R858" i="4"/>
  <c r="U857" i="4"/>
  <c r="T857" i="4"/>
  <c r="S857" i="4"/>
  <c r="R857" i="4"/>
  <c r="U856" i="4"/>
  <c r="T856" i="4"/>
  <c r="S856" i="4"/>
  <c r="R856" i="4"/>
  <c r="U861" i="4"/>
  <c r="T861" i="4"/>
  <c r="S861" i="4"/>
  <c r="R861" i="4"/>
  <c r="L861" i="4"/>
  <c r="L860" i="4"/>
  <c r="L859" i="4"/>
  <c r="L858" i="4"/>
  <c r="L857" i="4"/>
  <c r="L856" i="4"/>
  <c r="L855" i="4"/>
  <c r="U849" i="4"/>
  <c r="T849" i="4"/>
  <c r="S849" i="4"/>
  <c r="R849" i="4"/>
  <c r="U848" i="4"/>
  <c r="T848" i="4"/>
  <c r="S848" i="4"/>
  <c r="R848" i="4"/>
  <c r="L849" i="4"/>
  <c r="L848" i="4"/>
  <c r="U863" i="4"/>
  <c r="T863" i="4"/>
  <c r="S863" i="4"/>
  <c r="R863" i="4"/>
  <c r="L863" i="4"/>
  <c r="F31" i="8"/>
  <c r="U852" i="4"/>
  <c r="T852" i="4"/>
  <c r="S852" i="4"/>
  <c r="R852" i="4"/>
  <c r="L852" i="4"/>
  <c r="L26" i="8"/>
  <c r="C51" i="8"/>
  <c r="I28" i="8"/>
  <c r="H28" i="8"/>
  <c r="G28" i="8"/>
  <c r="U851" i="4"/>
  <c r="T851" i="4"/>
  <c r="S851" i="4"/>
  <c r="R851" i="4"/>
  <c r="L851" i="4"/>
  <c r="U850" i="4"/>
  <c r="T850" i="4"/>
  <c r="S850" i="4"/>
  <c r="R850" i="4"/>
  <c r="L850" i="4"/>
  <c r="K28" i="10"/>
  <c r="Y28" i="10"/>
  <c r="V865" i="4" l="1"/>
  <c r="V866" i="4"/>
  <c r="V864" i="4"/>
  <c r="V855" i="4"/>
  <c r="V854" i="4"/>
  <c r="V848" i="4"/>
  <c r="V858" i="4"/>
  <c r="V861" i="4"/>
  <c r="V857" i="4"/>
  <c r="V856" i="4"/>
  <c r="V849" i="4"/>
  <c r="V863" i="4"/>
  <c r="V852" i="4"/>
  <c r="V851" i="4"/>
  <c r="V850" i="4"/>
  <c r="E74" i="8"/>
  <c r="D74" i="8"/>
  <c r="C74" i="8"/>
  <c r="U847" i="4" l="1"/>
  <c r="T847" i="4"/>
  <c r="S847" i="4"/>
  <c r="R847" i="4"/>
  <c r="L847" i="4"/>
  <c r="U842" i="4"/>
  <c r="T842" i="4"/>
  <c r="S842" i="4"/>
  <c r="R842" i="4"/>
  <c r="L842" i="4"/>
  <c r="U843" i="4"/>
  <c r="T843" i="4"/>
  <c r="S843" i="4"/>
  <c r="R843" i="4"/>
  <c r="U845" i="4"/>
  <c r="T845" i="4"/>
  <c r="S845" i="4"/>
  <c r="R845" i="4"/>
  <c r="U846" i="4"/>
  <c r="T846" i="4"/>
  <c r="S846" i="4"/>
  <c r="R846" i="4"/>
  <c r="L846" i="4"/>
  <c r="L845" i="4"/>
  <c r="L844" i="4"/>
  <c r="L843" i="4"/>
  <c r="R844" i="4"/>
  <c r="U844" i="4"/>
  <c r="U840" i="4"/>
  <c r="T840" i="4"/>
  <c r="S840" i="4"/>
  <c r="R840" i="4"/>
  <c r="U841" i="4"/>
  <c r="T841" i="4"/>
  <c r="S841" i="4"/>
  <c r="R841" i="4"/>
  <c r="U839" i="4"/>
  <c r="T839" i="4"/>
  <c r="S839" i="4"/>
  <c r="R839" i="4"/>
  <c r="U838" i="4"/>
  <c r="S838" i="4"/>
  <c r="L841" i="4"/>
  <c r="C50" i="8"/>
  <c r="L839" i="4"/>
  <c r="L838" i="4"/>
  <c r="L840" i="4"/>
  <c r="U837" i="4"/>
  <c r="T837" i="4"/>
  <c r="S837" i="4"/>
  <c r="R837" i="4"/>
  <c r="L837" i="4"/>
  <c r="U835" i="4"/>
  <c r="T835" i="4"/>
  <c r="S835" i="4"/>
  <c r="R835" i="4"/>
  <c r="U834" i="4"/>
  <c r="T834" i="4"/>
  <c r="S834" i="4"/>
  <c r="R834" i="4"/>
  <c r="U833" i="4"/>
  <c r="S833" i="4"/>
  <c r="L835" i="4"/>
  <c r="L834" i="4"/>
  <c r="L833" i="4"/>
  <c r="U831" i="4"/>
  <c r="T831" i="4"/>
  <c r="S831" i="4"/>
  <c r="R831" i="4"/>
  <c r="U832" i="4"/>
  <c r="T832" i="4"/>
  <c r="S832" i="4"/>
  <c r="R832" i="4"/>
  <c r="L832" i="4"/>
  <c r="L831" i="4"/>
  <c r="U830" i="4"/>
  <c r="T830" i="4"/>
  <c r="S830" i="4"/>
  <c r="R830" i="4"/>
  <c r="L830" i="4"/>
  <c r="U827" i="4"/>
  <c r="T827" i="4"/>
  <c r="S827" i="4"/>
  <c r="R827" i="4"/>
  <c r="U826" i="4"/>
  <c r="T826" i="4"/>
  <c r="S826" i="4"/>
  <c r="R826" i="4"/>
  <c r="O826" i="4"/>
  <c r="O827" i="4"/>
  <c r="L827" i="4"/>
  <c r="L826" i="4"/>
  <c r="U825" i="4"/>
  <c r="T825" i="4"/>
  <c r="S825" i="4"/>
  <c r="R825" i="4"/>
  <c r="L825" i="4"/>
  <c r="U829" i="4"/>
  <c r="T829" i="4"/>
  <c r="S829" i="4"/>
  <c r="R829" i="4"/>
  <c r="L829" i="4"/>
  <c r="U828" i="4"/>
  <c r="T828" i="4"/>
  <c r="S828" i="4"/>
  <c r="R828" i="4"/>
  <c r="L828" i="4"/>
  <c r="U824" i="4"/>
  <c r="T824" i="4"/>
  <c r="S824" i="4"/>
  <c r="R824" i="4"/>
  <c r="L824" i="4"/>
  <c r="U823" i="4"/>
  <c r="T823" i="4"/>
  <c r="S823" i="4"/>
  <c r="R823" i="4"/>
  <c r="U822" i="4"/>
  <c r="S822" i="4"/>
  <c r="U821" i="4"/>
  <c r="T821" i="4"/>
  <c r="S821" i="4"/>
  <c r="R821" i="4"/>
  <c r="U820" i="4"/>
  <c r="T820" i="4"/>
  <c r="S820" i="4"/>
  <c r="R820" i="4"/>
  <c r="U819" i="4"/>
  <c r="T819" i="4"/>
  <c r="S819" i="4"/>
  <c r="R819" i="4"/>
  <c r="L823" i="4"/>
  <c r="L822" i="4"/>
  <c r="L821" i="4"/>
  <c r="L820" i="4"/>
  <c r="L819" i="4"/>
  <c r="U818" i="4"/>
  <c r="T818" i="4"/>
  <c r="S818" i="4"/>
  <c r="R818" i="4"/>
  <c r="L818" i="4"/>
  <c r="U816" i="4"/>
  <c r="T816" i="4"/>
  <c r="S816" i="4"/>
  <c r="R816" i="4"/>
  <c r="L816" i="4"/>
  <c r="U817" i="4"/>
  <c r="T817" i="4"/>
  <c r="S817" i="4"/>
  <c r="R817" i="4"/>
  <c r="L817" i="4"/>
  <c r="U815" i="4"/>
  <c r="T815" i="4"/>
  <c r="S815" i="4"/>
  <c r="R815" i="4"/>
  <c r="L815" i="4"/>
  <c r="T812" i="4"/>
  <c r="S812" i="4"/>
  <c r="R812" i="4"/>
  <c r="U812" i="4"/>
  <c r="V838" i="4" l="1"/>
  <c r="V846" i="4"/>
  <c r="V843" i="4"/>
  <c r="V842" i="4"/>
  <c r="V845" i="4"/>
  <c r="V847" i="4"/>
  <c r="V833" i="4"/>
  <c r="V839" i="4"/>
  <c r="V840" i="4"/>
  <c r="V841" i="4"/>
  <c r="V837" i="4"/>
  <c r="V831" i="4"/>
  <c r="V834" i="4"/>
  <c r="V835" i="4"/>
  <c r="V832" i="4"/>
  <c r="V830" i="4"/>
  <c r="V829" i="4"/>
  <c r="V825" i="4"/>
  <c r="V827" i="4"/>
  <c r="V826" i="4"/>
  <c r="V828" i="4"/>
  <c r="V822" i="4"/>
  <c r="V823" i="4"/>
  <c r="V824" i="4"/>
  <c r="V820" i="4"/>
  <c r="V819" i="4"/>
  <c r="V821" i="4"/>
  <c r="V817" i="4"/>
  <c r="V818" i="4"/>
  <c r="V815" i="4"/>
  <c r="V816" i="4"/>
  <c r="V812" i="4"/>
  <c r="L812" i="4" l="1"/>
  <c r="L806" i="4"/>
  <c r="U813" i="4"/>
  <c r="T813" i="4"/>
  <c r="S813" i="4"/>
  <c r="R813" i="4"/>
  <c r="U814" i="4"/>
  <c r="T814" i="4"/>
  <c r="S814" i="4"/>
  <c r="R814" i="4"/>
  <c r="L814" i="4"/>
  <c r="L813" i="4"/>
  <c r="U807" i="4"/>
  <c r="T807" i="4"/>
  <c r="S807" i="4"/>
  <c r="R807" i="4"/>
  <c r="T810" i="4"/>
  <c r="S810" i="4"/>
  <c r="R810" i="4"/>
  <c r="U810" i="4"/>
  <c r="V807" i="4" l="1"/>
  <c r="V814" i="4"/>
  <c r="V813" i="4"/>
  <c r="V810" i="4"/>
  <c r="U808" i="4" l="1"/>
  <c r="T808" i="4"/>
  <c r="S808" i="4"/>
  <c r="R808" i="4"/>
  <c r="U811" i="4"/>
  <c r="T811" i="4"/>
  <c r="S811" i="4"/>
  <c r="R811" i="4"/>
  <c r="U809" i="4"/>
  <c r="T809" i="4"/>
  <c r="S809" i="4"/>
  <c r="R809" i="4"/>
  <c r="L811" i="4"/>
  <c r="L810" i="4"/>
  <c r="L809" i="4"/>
  <c r="L808" i="4"/>
  <c r="L807" i="4"/>
  <c r="U804" i="4"/>
  <c r="T804" i="4"/>
  <c r="S804" i="4"/>
  <c r="R804" i="4"/>
  <c r="U803" i="4"/>
  <c r="T803" i="4"/>
  <c r="S803" i="4"/>
  <c r="R803" i="4"/>
  <c r="L804" i="4"/>
  <c r="L803" i="4"/>
  <c r="U805" i="4"/>
  <c r="T805" i="4"/>
  <c r="S805" i="4"/>
  <c r="R805" i="4"/>
  <c r="L805" i="4"/>
  <c r="U800" i="4"/>
  <c r="T800" i="4"/>
  <c r="S800" i="4"/>
  <c r="R800" i="4"/>
  <c r="L800" i="4"/>
  <c r="U802" i="4"/>
  <c r="T802" i="4"/>
  <c r="S802" i="4"/>
  <c r="R802" i="4"/>
  <c r="L802" i="4"/>
  <c r="U801" i="4"/>
  <c r="T801" i="4"/>
  <c r="S801" i="4"/>
  <c r="R801" i="4"/>
  <c r="L801" i="4"/>
  <c r="U799" i="4"/>
  <c r="T799" i="4"/>
  <c r="S799" i="4"/>
  <c r="R799" i="4"/>
  <c r="L799" i="4"/>
  <c r="E13" i="8"/>
  <c r="D13" i="8"/>
  <c r="C13" i="8"/>
  <c r="U785" i="4"/>
  <c r="S785" i="4"/>
  <c r="L785" i="4"/>
  <c r="U790" i="4"/>
  <c r="S790" i="4"/>
  <c r="U792" i="4"/>
  <c r="T792" i="4"/>
  <c r="S792" i="4"/>
  <c r="R792" i="4"/>
  <c r="U791" i="4"/>
  <c r="T791" i="4"/>
  <c r="S791" i="4"/>
  <c r="R791" i="4"/>
  <c r="L792" i="4"/>
  <c r="L791" i="4"/>
  <c r="L790" i="4"/>
  <c r="U798" i="4"/>
  <c r="T798" i="4"/>
  <c r="S798" i="4"/>
  <c r="R798" i="4"/>
  <c r="L798" i="4"/>
  <c r="U797" i="4"/>
  <c r="T797" i="4"/>
  <c r="S797" i="4"/>
  <c r="R797" i="4"/>
  <c r="L797" i="4"/>
  <c r="U795" i="4"/>
  <c r="T795" i="4"/>
  <c r="S795" i="4"/>
  <c r="R795" i="4"/>
  <c r="L795" i="4"/>
  <c r="U794" i="4"/>
  <c r="T794" i="4"/>
  <c r="S794" i="4"/>
  <c r="R794" i="4"/>
  <c r="U793" i="4"/>
  <c r="T793" i="4"/>
  <c r="S793" i="4"/>
  <c r="R793" i="4"/>
  <c r="L794" i="4"/>
  <c r="L793" i="4"/>
  <c r="U796" i="4"/>
  <c r="T796" i="4"/>
  <c r="S796" i="4"/>
  <c r="R796" i="4"/>
  <c r="L796" i="4"/>
  <c r="U788" i="4"/>
  <c r="T788" i="4"/>
  <c r="S788" i="4"/>
  <c r="R788" i="4"/>
  <c r="U787" i="4"/>
  <c r="T787" i="4"/>
  <c r="S787" i="4"/>
  <c r="R787" i="4"/>
  <c r="U786" i="4"/>
  <c r="T786" i="4"/>
  <c r="S786" i="4"/>
  <c r="R786" i="4"/>
  <c r="U782" i="4"/>
  <c r="T782" i="4"/>
  <c r="S782" i="4"/>
  <c r="R782" i="4"/>
  <c r="U789" i="4"/>
  <c r="T789" i="4"/>
  <c r="S789" i="4"/>
  <c r="R789" i="4"/>
  <c r="L787" i="4"/>
  <c r="L789" i="4"/>
  <c r="L788" i="4"/>
  <c r="L786" i="4"/>
  <c r="L782" i="4"/>
  <c r="U784" i="4"/>
  <c r="T784" i="4"/>
  <c r="S784" i="4"/>
  <c r="R784" i="4"/>
  <c r="U783" i="4"/>
  <c r="T783" i="4"/>
  <c r="S783" i="4"/>
  <c r="R783" i="4"/>
  <c r="L783" i="4"/>
  <c r="L24" i="8"/>
  <c r="L25" i="8"/>
  <c r="G27" i="8"/>
  <c r="H27" i="8"/>
  <c r="I27" i="8"/>
  <c r="L784" i="4"/>
  <c r="U780" i="4"/>
  <c r="T780" i="4"/>
  <c r="S780" i="4"/>
  <c r="R780" i="4"/>
  <c r="L780" i="4"/>
  <c r="U781" i="4"/>
  <c r="T781" i="4"/>
  <c r="S781" i="4"/>
  <c r="R781" i="4"/>
  <c r="L781" i="4"/>
  <c r="X28" i="10"/>
  <c r="J28" i="10"/>
  <c r="V809" i="4" l="1"/>
  <c r="V811" i="4"/>
  <c r="V802" i="4"/>
  <c r="V808" i="4"/>
  <c r="V800" i="4"/>
  <c r="V803" i="4"/>
  <c r="V805" i="4"/>
  <c r="V804" i="4"/>
  <c r="V799" i="4"/>
  <c r="V801" i="4"/>
  <c r="V790" i="4"/>
  <c r="V791" i="4"/>
  <c r="V792" i="4"/>
  <c r="V782" i="4"/>
  <c r="V787" i="4"/>
  <c r="V798" i="4"/>
  <c r="V785" i="4"/>
  <c r="V793" i="4"/>
  <c r="V795" i="4"/>
  <c r="V796" i="4"/>
  <c r="V797" i="4"/>
  <c r="V784" i="4"/>
  <c r="V794" i="4"/>
  <c r="V783" i="4"/>
  <c r="V789" i="4"/>
  <c r="V788" i="4"/>
  <c r="V786" i="4"/>
  <c r="V781" i="4"/>
  <c r="V780" i="4"/>
  <c r="L677" i="4"/>
  <c r="U779" i="4"/>
  <c r="T779" i="4"/>
  <c r="S779" i="4"/>
  <c r="R779" i="4"/>
  <c r="L779" i="4"/>
  <c r="U671" i="4"/>
  <c r="T671" i="4"/>
  <c r="S671" i="4"/>
  <c r="R671" i="4"/>
  <c r="U670" i="4"/>
  <c r="T670" i="4"/>
  <c r="S670" i="4"/>
  <c r="R670" i="4"/>
  <c r="L671" i="4"/>
  <c r="L670" i="4"/>
  <c r="U778" i="4"/>
  <c r="T778" i="4"/>
  <c r="S778" i="4"/>
  <c r="R778" i="4"/>
  <c r="U777" i="4"/>
  <c r="T777" i="4"/>
  <c r="S777" i="4"/>
  <c r="R777" i="4"/>
  <c r="L778" i="4"/>
  <c r="L777" i="4"/>
  <c r="U776" i="4"/>
  <c r="T776" i="4"/>
  <c r="S776" i="4"/>
  <c r="R776" i="4"/>
  <c r="L776" i="4"/>
  <c r="U770" i="4"/>
  <c r="T770" i="4"/>
  <c r="S770" i="4"/>
  <c r="R770" i="4"/>
  <c r="L770" i="4"/>
  <c r="U767" i="4"/>
  <c r="T767" i="4"/>
  <c r="S767" i="4"/>
  <c r="R767" i="4"/>
  <c r="U766" i="4"/>
  <c r="T766" i="4"/>
  <c r="S766" i="4"/>
  <c r="R766" i="4"/>
  <c r="L767" i="4"/>
  <c r="L766" i="4"/>
  <c r="U771" i="4"/>
  <c r="T771" i="4"/>
  <c r="S771" i="4"/>
  <c r="R771" i="4"/>
  <c r="L771" i="4"/>
  <c r="R774" i="4"/>
  <c r="S774" i="4"/>
  <c r="T774" i="4"/>
  <c r="U774" i="4"/>
  <c r="R775" i="4"/>
  <c r="S775" i="4"/>
  <c r="T775" i="4"/>
  <c r="U775" i="4"/>
  <c r="U773" i="4"/>
  <c r="T773" i="4"/>
  <c r="S773" i="4"/>
  <c r="R773" i="4"/>
  <c r="U772" i="4"/>
  <c r="T772" i="4"/>
  <c r="S772" i="4"/>
  <c r="R772" i="4"/>
  <c r="L775" i="4"/>
  <c r="L774" i="4"/>
  <c r="L773" i="4"/>
  <c r="L772" i="4"/>
  <c r="U764" i="4"/>
  <c r="T764" i="4"/>
  <c r="S764" i="4"/>
  <c r="R764" i="4"/>
  <c r="U769" i="4"/>
  <c r="T769" i="4"/>
  <c r="S769" i="4"/>
  <c r="R769" i="4"/>
  <c r="U768" i="4"/>
  <c r="T768" i="4"/>
  <c r="S768" i="4"/>
  <c r="R768" i="4"/>
  <c r="L769" i="4"/>
  <c r="L768" i="4"/>
  <c r="L765" i="4"/>
  <c r="L764" i="4"/>
  <c r="R765" i="4"/>
  <c r="U765" i="4"/>
  <c r="U763" i="4"/>
  <c r="T763" i="4"/>
  <c r="R763" i="4"/>
  <c r="U762" i="4"/>
  <c r="T762" i="4"/>
  <c r="S762" i="4"/>
  <c r="R762" i="4"/>
  <c r="L763" i="4"/>
  <c r="L762" i="4"/>
  <c r="U761" i="4"/>
  <c r="T761" i="4"/>
  <c r="S761" i="4"/>
  <c r="R761" i="4"/>
  <c r="L761" i="4"/>
  <c r="U760" i="4"/>
  <c r="T760" i="4"/>
  <c r="S760" i="4"/>
  <c r="R760" i="4"/>
  <c r="L760" i="4"/>
  <c r="L757" i="4"/>
  <c r="U758" i="4"/>
  <c r="T758" i="4"/>
  <c r="S758" i="4"/>
  <c r="R758" i="4"/>
  <c r="L758" i="4"/>
  <c r="U759" i="4"/>
  <c r="T759" i="4"/>
  <c r="S759" i="4"/>
  <c r="R759" i="4"/>
  <c r="L759" i="4"/>
  <c r="L756" i="4"/>
  <c r="U748" i="4"/>
  <c r="S748" i="4"/>
  <c r="U746" i="4"/>
  <c r="T746" i="4"/>
  <c r="S746" i="4"/>
  <c r="R746" i="4"/>
  <c r="U747" i="4"/>
  <c r="T747" i="4"/>
  <c r="S747" i="4"/>
  <c r="R747" i="4"/>
  <c r="U755" i="4"/>
  <c r="T755" i="4"/>
  <c r="S755" i="4"/>
  <c r="R755" i="4"/>
  <c r="U753" i="4"/>
  <c r="T753" i="4"/>
  <c r="S753" i="4"/>
  <c r="R753" i="4"/>
  <c r="U751" i="4"/>
  <c r="T751" i="4"/>
  <c r="S751" i="4"/>
  <c r="R751" i="4"/>
  <c r="U750" i="4"/>
  <c r="T750" i="4"/>
  <c r="S750" i="4"/>
  <c r="R750" i="4"/>
  <c r="U749" i="4"/>
  <c r="T749" i="4"/>
  <c r="S749" i="4"/>
  <c r="R749" i="4"/>
  <c r="L755" i="4"/>
  <c r="L754" i="4"/>
  <c r="L753" i="4"/>
  <c r="L752" i="4"/>
  <c r="L751" i="4"/>
  <c r="L750" i="4"/>
  <c r="L749" i="4"/>
  <c r="L748" i="4"/>
  <c r="L726" i="4"/>
  <c r="R726" i="4"/>
  <c r="S726" i="4"/>
  <c r="U726" i="4"/>
  <c r="V779" i="4" l="1"/>
  <c r="V670" i="4"/>
  <c r="V671" i="4"/>
  <c r="V766" i="4"/>
  <c r="V776" i="4"/>
  <c r="V778" i="4"/>
  <c r="V767" i="4"/>
  <c r="V777" i="4"/>
  <c r="V768" i="4"/>
  <c r="V764" i="4"/>
  <c r="V772" i="4"/>
  <c r="V770" i="4"/>
  <c r="V775" i="4"/>
  <c r="V771" i="4"/>
  <c r="V774" i="4"/>
  <c r="V769" i="4"/>
  <c r="V773" i="4"/>
  <c r="V762" i="4"/>
  <c r="V763" i="4"/>
  <c r="V761" i="4"/>
  <c r="V760" i="4"/>
  <c r="V759" i="4"/>
  <c r="V758" i="4"/>
  <c r="V755" i="4"/>
  <c r="V746" i="4"/>
  <c r="V750" i="4"/>
  <c r="V753" i="4"/>
  <c r="V748" i="4"/>
  <c r="V751" i="4"/>
  <c r="V747" i="4"/>
  <c r="V749" i="4"/>
  <c r="L747" i="4"/>
  <c r="L746" i="4"/>
  <c r="U745" i="4"/>
  <c r="S745" i="4"/>
  <c r="U743" i="4"/>
  <c r="T743" i="4"/>
  <c r="S743" i="4"/>
  <c r="R743" i="4"/>
  <c r="U744" i="4"/>
  <c r="T744" i="4"/>
  <c r="S744" i="4"/>
  <c r="R744" i="4"/>
  <c r="U742" i="4"/>
  <c r="T742" i="4"/>
  <c r="S742" i="4"/>
  <c r="R742" i="4"/>
  <c r="L744" i="4"/>
  <c r="L745" i="4"/>
  <c r="L743" i="4"/>
  <c r="L742" i="4"/>
  <c r="U741" i="4"/>
  <c r="T741" i="4"/>
  <c r="S741" i="4"/>
  <c r="R741" i="4"/>
  <c r="L741" i="4"/>
  <c r="U739" i="4"/>
  <c r="T739" i="4"/>
  <c r="S739" i="4"/>
  <c r="R739" i="4"/>
  <c r="U740" i="4"/>
  <c r="T740" i="4"/>
  <c r="S740" i="4"/>
  <c r="R740" i="4"/>
  <c r="L740" i="4"/>
  <c r="U738" i="4"/>
  <c r="T738" i="4"/>
  <c r="S738" i="4"/>
  <c r="R738" i="4"/>
  <c r="T737" i="4"/>
  <c r="S737" i="4"/>
  <c r="R737" i="4"/>
  <c r="L739" i="4"/>
  <c r="L738" i="4"/>
  <c r="L562" i="4"/>
  <c r="U737" i="4"/>
  <c r="L737" i="4"/>
  <c r="U734" i="4"/>
  <c r="T734" i="4"/>
  <c r="S734" i="4"/>
  <c r="R734" i="4"/>
  <c r="L734" i="4"/>
  <c r="U736" i="4"/>
  <c r="T736" i="4"/>
  <c r="S736" i="4"/>
  <c r="R736" i="4"/>
  <c r="U735" i="4"/>
  <c r="T735" i="4"/>
  <c r="S735" i="4"/>
  <c r="R735" i="4"/>
  <c r="V742" i="4" l="1"/>
  <c r="V743" i="4"/>
  <c r="V744" i="4"/>
  <c r="V745" i="4"/>
  <c r="V741" i="4"/>
  <c r="V739" i="4"/>
  <c r="V740" i="4"/>
  <c r="V738" i="4"/>
  <c r="V737" i="4"/>
  <c r="V735" i="4"/>
  <c r="V734" i="4"/>
  <c r="V736" i="4"/>
  <c r="L736" i="4" l="1"/>
  <c r="L735" i="4"/>
  <c r="U732" i="4"/>
  <c r="T732" i="4"/>
  <c r="S732" i="4"/>
  <c r="R732" i="4"/>
  <c r="L732" i="4"/>
  <c r="U731" i="4"/>
  <c r="T731" i="4"/>
  <c r="S731" i="4"/>
  <c r="R731" i="4"/>
  <c r="L731" i="4"/>
  <c r="U730" i="4"/>
  <c r="T730" i="4"/>
  <c r="S730" i="4"/>
  <c r="R730" i="4"/>
  <c r="L730" i="4"/>
  <c r="U733" i="4"/>
  <c r="T733" i="4"/>
  <c r="S733" i="4"/>
  <c r="R733" i="4"/>
  <c r="L733" i="4"/>
  <c r="U729" i="4"/>
  <c r="T729" i="4"/>
  <c r="S729" i="4"/>
  <c r="R729" i="4"/>
  <c r="L729" i="4"/>
  <c r="T727" i="4"/>
  <c r="S727" i="4"/>
  <c r="R727" i="4"/>
  <c r="T728" i="4"/>
  <c r="S728" i="4"/>
  <c r="R728" i="4"/>
  <c r="U727" i="4"/>
  <c r="U728" i="4"/>
  <c r="L728" i="4"/>
  <c r="L727" i="4"/>
  <c r="U722" i="4"/>
  <c r="T722" i="4"/>
  <c r="S722" i="4"/>
  <c r="R722" i="4"/>
  <c r="L722" i="4"/>
  <c r="U718" i="4"/>
  <c r="T718" i="4"/>
  <c r="S718" i="4"/>
  <c r="R718" i="4"/>
  <c r="U721" i="4"/>
  <c r="S721" i="4"/>
  <c r="U720" i="4"/>
  <c r="T720" i="4"/>
  <c r="S720" i="4"/>
  <c r="R720" i="4"/>
  <c r="U719" i="4"/>
  <c r="T719" i="4"/>
  <c r="S719" i="4"/>
  <c r="R719" i="4"/>
  <c r="L721" i="4"/>
  <c r="L720" i="4"/>
  <c r="L719" i="4"/>
  <c r="L718" i="4"/>
  <c r="C12" i="8"/>
  <c r="D12" i="8"/>
  <c r="E12" i="8"/>
  <c r="U725" i="4"/>
  <c r="T725" i="4"/>
  <c r="S725" i="4"/>
  <c r="R725" i="4"/>
  <c r="T724" i="4"/>
  <c r="S724" i="4"/>
  <c r="R724" i="4"/>
  <c r="U724" i="4"/>
  <c r="V732" i="4" l="1"/>
  <c r="V731" i="4"/>
  <c r="V730" i="4"/>
  <c r="V733" i="4"/>
  <c r="V721" i="4"/>
  <c r="V729" i="4"/>
  <c r="V722" i="4"/>
  <c r="V719" i="4"/>
  <c r="V727" i="4"/>
  <c r="V720" i="4"/>
  <c r="V728" i="4"/>
  <c r="V725" i="4"/>
  <c r="V718" i="4"/>
  <c r="V724" i="4"/>
  <c r="L725" i="4" l="1"/>
  <c r="L724" i="4"/>
  <c r="U723" i="4"/>
  <c r="T723" i="4"/>
  <c r="S723" i="4"/>
  <c r="R723" i="4"/>
  <c r="L723" i="4"/>
  <c r="U715" i="4"/>
  <c r="T715" i="4"/>
  <c r="S715" i="4"/>
  <c r="R715" i="4"/>
  <c r="L715" i="4"/>
  <c r="V723" i="4" l="1"/>
  <c r="V715" i="4"/>
  <c r="U714" i="4" l="1"/>
  <c r="T714" i="4"/>
  <c r="S714" i="4"/>
  <c r="R714" i="4"/>
  <c r="U713" i="4"/>
  <c r="T713" i="4"/>
  <c r="S713" i="4"/>
  <c r="R713" i="4"/>
  <c r="L714" i="4"/>
  <c r="L713" i="4"/>
  <c r="D32" i="8"/>
  <c r="E32" i="8"/>
  <c r="C32" i="8"/>
  <c r="L717" i="4"/>
  <c r="U717" i="4"/>
  <c r="T717" i="4"/>
  <c r="S717" i="4"/>
  <c r="R717" i="4"/>
  <c r="U716" i="4"/>
  <c r="T716" i="4"/>
  <c r="S716" i="4"/>
  <c r="R716" i="4"/>
  <c r="L716" i="4"/>
  <c r="U711" i="4"/>
  <c r="T711" i="4"/>
  <c r="S711" i="4"/>
  <c r="R711" i="4"/>
  <c r="L711" i="4"/>
  <c r="I26" i="8"/>
  <c r="H26" i="8"/>
  <c r="G26" i="8"/>
  <c r="I25" i="8"/>
  <c r="H25" i="8"/>
  <c r="G25" i="8"/>
  <c r="I24" i="8"/>
  <c r="H24" i="8"/>
  <c r="G24" i="8"/>
  <c r="I23" i="8"/>
  <c r="H23" i="8"/>
  <c r="G23" i="8"/>
  <c r="I22" i="8"/>
  <c r="H22" i="8"/>
  <c r="G22" i="8"/>
  <c r="U653" i="4"/>
  <c r="T653" i="4"/>
  <c r="S653" i="4"/>
  <c r="R653" i="4"/>
  <c r="U652" i="4"/>
  <c r="T652" i="4"/>
  <c r="S652" i="4"/>
  <c r="R652" i="4"/>
  <c r="T712" i="4"/>
  <c r="S712" i="4"/>
  <c r="L712" i="4"/>
  <c r="R712" i="4"/>
  <c r="U712" i="4"/>
  <c r="U710" i="4"/>
  <c r="T710" i="4"/>
  <c r="S710" i="4"/>
  <c r="R710" i="4"/>
  <c r="L710" i="4"/>
  <c r="U708" i="4"/>
  <c r="T708" i="4"/>
  <c r="S708" i="4"/>
  <c r="R708" i="4"/>
  <c r="L708" i="4"/>
  <c r="U709" i="4"/>
  <c r="T709" i="4"/>
  <c r="S709" i="4"/>
  <c r="R709" i="4"/>
  <c r="L709" i="4"/>
  <c r="Q28" i="10"/>
  <c r="I28" i="10"/>
  <c r="W28" i="10"/>
  <c r="G31" i="8" l="1"/>
  <c r="H31" i="8"/>
  <c r="I31" i="8"/>
  <c r="V714" i="4"/>
  <c r="V711" i="4"/>
  <c r="V713" i="4"/>
  <c r="V716" i="4"/>
  <c r="V717" i="4"/>
  <c r="V710" i="4"/>
  <c r="V653" i="4"/>
  <c r="V652" i="4"/>
  <c r="V712" i="4"/>
  <c r="V708" i="4"/>
  <c r="V709" i="4"/>
  <c r="U698" i="4"/>
  <c r="T698" i="4"/>
  <c r="S698" i="4"/>
  <c r="R698" i="4"/>
  <c r="L698" i="4"/>
  <c r="U705" i="4"/>
  <c r="T705" i="4"/>
  <c r="S705" i="4"/>
  <c r="R705" i="4"/>
  <c r="U707" i="4"/>
  <c r="T707" i="4"/>
  <c r="S707" i="4"/>
  <c r="R707" i="4"/>
  <c r="U706" i="4"/>
  <c r="T706" i="4"/>
  <c r="S706" i="4"/>
  <c r="R706" i="4"/>
  <c r="L707" i="4"/>
  <c r="L706" i="4"/>
  <c r="L705" i="4"/>
  <c r="U697" i="4"/>
  <c r="T697" i="4"/>
  <c r="S697" i="4"/>
  <c r="R697" i="4"/>
  <c r="L697" i="4"/>
  <c r="U700" i="4"/>
  <c r="S700" i="4"/>
  <c r="V700" i="4" l="1"/>
  <c r="V697" i="4"/>
  <c r="V706" i="4"/>
  <c r="V698" i="4"/>
  <c r="V707" i="4"/>
  <c r="V705" i="4"/>
  <c r="U703" i="4"/>
  <c r="T703" i="4"/>
  <c r="S703" i="4"/>
  <c r="R703" i="4"/>
  <c r="U702" i="4"/>
  <c r="T702" i="4"/>
  <c r="S702" i="4"/>
  <c r="R702" i="4"/>
  <c r="L703" i="4"/>
  <c r="L702" i="4"/>
  <c r="L701" i="4"/>
  <c r="L700" i="4"/>
  <c r="U704" i="4"/>
  <c r="T704" i="4"/>
  <c r="S704" i="4"/>
  <c r="R704" i="4"/>
  <c r="L704" i="4"/>
  <c r="T699" i="4"/>
  <c r="S699" i="4"/>
  <c r="R699" i="4"/>
  <c r="U699" i="4"/>
  <c r="L699" i="4"/>
  <c r="U689" i="4"/>
  <c r="T689" i="4"/>
  <c r="S689" i="4"/>
  <c r="R689" i="4"/>
  <c r="U688" i="4"/>
  <c r="T688" i="4"/>
  <c r="S688" i="4"/>
  <c r="R688" i="4"/>
  <c r="U675" i="4"/>
  <c r="T675" i="4"/>
  <c r="S675" i="4"/>
  <c r="R675" i="4"/>
  <c r="U687" i="4"/>
  <c r="T687" i="4"/>
  <c r="S687" i="4"/>
  <c r="R687" i="4"/>
  <c r="L689" i="4"/>
  <c r="L688" i="4"/>
  <c r="L687" i="4"/>
  <c r="U694" i="4"/>
  <c r="T694" i="4"/>
  <c r="S694" i="4"/>
  <c r="R694" i="4"/>
  <c r="U693" i="4"/>
  <c r="T693" i="4"/>
  <c r="S693" i="4"/>
  <c r="R693" i="4"/>
  <c r="U692" i="4"/>
  <c r="T692" i="4"/>
  <c r="S692" i="4"/>
  <c r="R692" i="4"/>
  <c r="U691" i="4"/>
  <c r="T691" i="4"/>
  <c r="S691" i="4"/>
  <c r="R691" i="4"/>
  <c r="L695" i="4"/>
  <c r="L694" i="4"/>
  <c r="L693" i="4"/>
  <c r="L692" i="4"/>
  <c r="L691" i="4"/>
  <c r="T696" i="4"/>
  <c r="S696" i="4"/>
  <c r="R696" i="4"/>
  <c r="U696" i="4"/>
  <c r="L696" i="4"/>
  <c r="U690" i="4"/>
  <c r="T690" i="4"/>
  <c r="S690" i="4"/>
  <c r="R690" i="4"/>
  <c r="L690" i="4"/>
  <c r="T686" i="4"/>
  <c r="S686" i="4"/>
  <c r="R686" i="4"/>
  <c r="U686" i="4"/>
  <c r="L686" i="4"/>
  <c r="L635" i="4"/>
  <c r="R635" i="4"/>
  <c r="S635" i="4"/>
  <c r="T635" i="4"/>
  <c r="U635" i="4"/>
  <c r="U681" i="4"/>
  <c r="T681" i="4"/>
  <c r="S681" i="4"/>
  <c r="R681" i="4"/>
  <c r="L681" i="4"/>
  <c r="U684" i="4"/>
  <c r="T684" i="4"/>
  <c r="S684" i="4"/>
  <c r="R684" i="4"/>
  <c r="U683" i="4"/>
  <c r="T683" i="4"/>
  <c r="S683" i="4"/>
  <c r="R683" i="4"/>
  <c r="U682" i="4"/>
  <c r="T682" i="4"/>
  <c r="S682" i="4"/>
  <c r="R682" i="4"/>
  <c r="L684" i="4"/>
  <c r="L685" i="4"/>
  <c r="L683" i="4"/>
  <c r="L682" i="4"/>
  <c r="U641" i="4"/>
  <c r="T641" i="4"/>
  <c r="S641" i="4"/>
  <c r="R641" i="4"/>
  <c r="L641" i="4"/>
  <c r="U680" i="4"/>
  <c r="T680" i="4"/>
  <c r="S680" i="4"/>
  <c r="R680" i="4"/>
  <c r="U679" i="4"/>
  <c r="T679" i="4"/>
  <c r="S679" i="4"/>
  <c r="R679" i="4"/>
  <c r="U678" i="4"/>
  <c r="T678" i="4"/>
  <c r="S678" i="4"/>
  <c r="R678" i="4"/>
  <c r="L680" i="4"/>
  <c r="L679" i="4"/>
  <c r="L678" i="4"/>
  <c r="U677" i="4"/>
  <c r="T677" i="4"/>
  <c r="S677" i="4"/>
  <c r="R677" i="4"/>
  <c r="U668" i="4"/>
  <c r="S668" i="4"/>
  <c r="U669" i="4"/>
  <c r="T669" i="4"/>
  <c r="S669" i="4"/>
  <c r="R669" i="4"/>
  <c r="U676" i="4"/>
  <c r="T676" i="4"/>
  <c r="S676" i="4"/>
  <c r="R676" i="4"/>
  <c r="V702" i="4" l="1"/>
  <c r="V703" i="4"/>
  <c r="V704" i="4"/>
  <c r="V699" i="4"/>
  <c r="V687" i="4"/>
  <c r="V688" i="4"/>
  <c r="V689" i="4"/>
  <c r="V692" i="4"/>
  <c r="V694" i="4"/>
  <c r="V690" i="4"/>
  <c r="V675" i="4"/>
  <c r="V691" i="4"/>
  <c r="V693" i="4"/>
  <c r="V696" i="4"/>
  <c r="V681" i="4"/>
  <c r="V686" i="4"/>
  <c r="V635" i="4"/>
  <c r="V641" i="4"/>
  <c r="V683" i="4"/>
  <c r="V682" i="4"/>
  <c r="V684" i="4"/>
  <c r="V680" i="4"/>
  <c r="V679" i="4"/>
  <c r="V678" i="4"/>
  <c r="V668" i="4"/>
  <c r="V676" i="4"/>
  <c r="V677" i="4"/>
  <c r="V669" i="4"/>
  <c r="L669" i="4"/>
  <c r="L668" i="4"/>
  <c r="L667" i="4"/>
  <c r="L666" i="4"/>
  <c r="R667" i="4"/>
  <c r="L675" i="4"/>
  <c r="L676" i="4"/>
  <c r="H19" i="7"/>
  <c r="U656" i="4"/>
  <c r="T656" i="4"/>
  <c r="R656" i="4"/>
  <c r="S656" i="4"/>
  <c r="U655" i="4"/>
  <c r="T655" i="4"/>
  <c r="S655" i="4"/>
  <c r="R655" i="4"/>
  <c r="U654" i="4"/>
  <c r="T654" i="4"/>
  <c r="S654" i="4"/>
  <c r="R654" i="4"/>
  <c r="O656" i="4"/>
  <c r="O655" i="4"/>
  <c r="O654" i="4"/>
  <c r="L656" i="4"/>
  <c r="L655" i="4"/>
  <c r="L654" i="4"/>
  <c r="U665" i="4"/>
  <c r="T665" i="4"/>
  <c r="S665" i="4"/>
  <c r="R665" i="4"/>
  <c r="L665" i="4"/>
  <c r="U674" i="4"/>
  <c r="T674" i="4"/>
  <c r="S674" i="4"/>
  <c r="R674" i="4"/>
  <c r="L674" i="4"/>
  <c r="U673" i="4"/>
  <c r="T673" i="4"/>
  <c r="S673" i="4"/>
  <c r="R673" i="4"/>
  <c r="T672" i="4"/>
  <c r="S672" i="4"/>
  <c r="U672" i="4"/>
  <c r="R672" i="4"/>
  <c r="L673" i="4"/>
  <c r="L672" i="4"/>
  <c r="L653" i="4"/>
  <c r="L652" i="4"/>
  <c r="U663" i="4"/>
  <c r="T663" i="4"/>
  <c r="S663" i="4"/>
  <c r="R663" i="4"/>
  <c r="U662" i="4"/>
  <c r="T662" i="4"/>
  <c r="S662" i="4"/>
  <c r="R662" i="4"/>
  <c r="L663" i="4"/>
  <c r="L662" i="4"/>
  <c r="U664" i="4"/>
  <c r="T664" i="4"/>
  <c r="S664" i="4"/>
  <c r="R664" i="4"/>
  <c r="L664" i="4"/>
  <c r="U661" i="4"/>
  <c r="S661" i="4"/>
  <c r="U660" i="4"/>
  <c r="T660" i="4"/>
  <c r="S660" i="4"/>
  <c r="R660" i="4"/>
  <c r="U659" i="4"/>
  <c r="T659" i="4"/>
  <c r="S659" i="4"/>
  <c r="R659" i="4"/>
  <c r="U657" i="4"/>
  <c r="T657" i="4"/>
  <c r="S657" i="4"/>
  <c r="R657" i="4"/>
  <c r="L661" i="4"/>
  <c r="L660" i="4"/>
  <c r="L659" i="4"/>
  <c r="L658" i="4"/>
  <c r="L657" i="4"/>
  <c r="U649" i="4"/>
  <c r="T649" i="4"/>
  <c r="S649" i="4"/>
  <c r="R649" i="4"/>
  <c r="U651" i="4"/>
  <c r="T651" i="4"/>
  <c r="S651" i="4"/>
  <c r="R651" i="4"/>
  <c r="L651" i="4"/>
  <c r="U650" i="4"/>
  <c r="T650" i="4"/>
  <c r="S650" i="4"/>
  <c r="R650" i="4"/>
  <c r="L650" i="4"/>
  <c r="L649" i="4"/>
  <c r="V655" i="4" l="1"/>
  <c r="V654" i="4"/>
  <c r="V656" i="4"/>
  <c r="V665" i="4"/>
  <c r="V663" i="4"/>
  <c r="V674" i="4"/>
  <c r="V673" i="4"/>
  <c r="V672" i="4"/>
  <c r="V664" i="4"/>
  <c r="V662" i="4"/>
  <c r="V661" i="4"/>
  <c r="V660" i="4"/>
  <c r="V659" i="4"/>
  <c r="V657" i="4"/>
  <c r="V651" i="4"/>
  <c r="V650" i="4"/>
  <c r="V649" i="4"/>
  <c r="U648" i="4"/>
  <c r="T648" i="4"/>
  <c r="S648" i="4"/>
  <c r="R648" i="4"/>
  <c r="L648" i="4"/>
  <c r="U647" i="4"/>
  <c r="T647" i="4"/>
  <c r="S647" i="4"/>
  <c r="R647" i="4"/>
  <c r="U646" i="4"/>
  <c r="T646" i="4"/>
  <c r="S646" i="4"/>
  <c r="R646" i="4"/>
  <c r="L647" i="4"/>
  <c r="L646" i="4"/>
  <c r="L645" i="4"/>
  <c r="U643" i="4"/>
  <c r="T643" i="4"/>
  <c r="S643" i="4"/>
  <c r="R643" i="4"/>
  <c r="U642" i="4"/>
  <c r="S642" i="4"/>
  <c r="L643" i="4"/>
  <c r="L642" i="4"/>
  <c r="U644" i="4"/>
  <c r="T644" i="4"/>
  <c r="S644" i="4"/>
  <c r="R644" i="4"/>
  <c r="L644" i="4"/>
  <c r="U640" i="4"/>
  <c r="T640" i="4"/>
  <c r="S640" i="4"/>
  <c r="R640" i="4"/>
  <c r="U636" i="4"/>
  <c r="T636" i="4"/>
  <c r="S636" i="4"/>
  <c r="R636" i="4"/>
  <c r="U639" i="4"/>
  <c r="S639" i="4"/>
  <c r="U637" i="4"/>
  <c r="T637" i="4"/>
  <c r="S637" i="4"/>
  <c r="R637" i="4"/>
  <c r="L640" i="4"/>
  <c r="L639" i="4"/>
  <c r="L638" i="4"/>
  <c r="L637" i="4"/>
  <c r="L636" i="4"/>
  <c r="U632" i="4"/>
  <c r="S632" i="4"/>
  <c r="U631" i="4"/>
  <c r="T631" i="4"/>
  <c r="S631" i="4"/>
  <c r="R631" i="4"/>
  <c r="U630" i="4"/>
  <c r="T630" i="4"/>
  <c r="S630" i="4"/>
  <c r="R630" i="4"/>
  <c r="U628" i="4"/>
  <c r="T628" i="4"/>
  <c r="S628" i="4"/>
  <c r="R628" i="4"/>
  <c r="L633" i="4"/>
  <c r="L632" i="4"/>
  <c r="L631" i="4"/>
  <c r="L630" i="4"/>
  <c r="L629" i="4"/>
  <c r="L628" i="4"/>
  <c r="R633" i="4"/>
  <c r="S633" i="4"/>
  <c r="U633" i="4"/>
  <c r="V647" i="4" l="1"/>
  <c r="V640" i="4"/>
  <c r="V646" i="4"/>
  <c r="V644" i="4"/>
  <c r="V648" i="4"/>
  <c r="V642" i="4"/>
  <c r="V643" i="4"/>
  <c r="V632" i="4"/>
  <c r="V639" i="4"/>
  <c r="V637" i="4"/>
  <c r="V628" i="4"/>
  <c r="V631" i="4"/>
  <c r="V636" i="4"/>
  <c r="V630" i="4"/>
  <c r="V633" i="4"/>
  <c r="U627" i="4"/>
  <c r="T627" i="4"/>
  <c r="S627" i="4"/>
  <c r="R627" i="4"/>
  <c r="L627" i="4"/>
  <c r="U626" i="4"/>
  <c r="T626" i="4"/>
  <c r="S626" i="4"/>
  <c r="R626" i="4"/>
  <c r="P622" i="4"/>
  <c r="P626" i="4"/>
  <c r="L626" i="4"/>
  <c r="U634" i="4"/>
  <c r="S634" i="4"/>
  <c r="L634" i="4"/>
  <c r="V28" i="10"/>
  <c r="H28" i="10"/>
  <c r="U28" i="10"/>
  <c r="G28" i="10"/>
  <c r="U622" i="4"/>
  <c r="T622" i="4"/>
  <c r="S622" i="4"/>
  <c r="R622" i="4"/>
  <c r="L622" i="4"/>
  <c r="U625" i="4"/>
  <c r="T625" i="4"/>
  <c r="S625" i="4"/>
  <c r="R625" i="4"/>
  <c r="L624" i="4"/>
  <c r="L625" i="4"/>
  <c r="U624" i="4"/>
  <c r="T624" i="4"/>
  <c r="S624" i="4"/>
  <c r="R624" i="4"/>
  <c r="L617" i="4"/>
  <c r="L623" i="4"/>
  <c r="U623" i="4"/>
  <c r="T623" i="4"/>
  <c r="S623" i="4"/>
  <c r="R623" i="4"/>
  <c r="U617" i="4"/>
  <c r="T617" i="4"/>
  <c r="S617" i="4"/>
  <c r="R617" i="4"/>
  <c r="U621" i="4"/>
  <c r="T621" i="4"/>
  <c r="S621" i="4"/>
  <c r="R621" i="4"/>
  <c r="T620" i="4"/>
  <c r="S620" i="4"/>
  <c r="AB28" i="10" l="1"/>
  <c r="V627" i="4"/>
  <c r="V634" i="4"/>
  <c r="V626" i="4"/>
  <c r="V617" i="4"/>
  <c r="V624" i="4"/>
  <c r="V623" i="4"/>
  <c r="V622" i="4"/>
  <c r="V625" i="4"/>
  <c r="V621" i="4"/>
  <c r="L621" i="4"/>
  <c r="L620" i="4"/>
  <c r="R620" i="4"/>
  <c r="U620" i="4"/>
  <c r="U616" i="4"/>
  <c r="T616" i="4"/>
  <c r="S616" i="4"/>
  <c r="R616" i="4"/>
  <c r="U615" i="4"/>
  <c r="T615" i="4"/>
  <c r="S615" i="4"/>
  <c r="R615" i="4"/>
  <c r="L616" i="4"/>
  <c r="L615" i="4"/>
  <c r="U619" i="4"/>
  <c r="T619" i="4"/>
  <c r="S619" i="4"/>
  <c r="R619" i="4"/>
  <c r="U618" i="4"/>
  <c r="T618" i="4"/>
  <c r="S618" i="4"/>
  <c r="R618" i="4"/>
  <c r="L619" i="4"/>
  <c r="L618" i="4"/>
  <c r="T613" i="4"/>
  <c r="R613" i="4"/>
  <c r="S613" i="4"/>
  <c r="U613" i="4"/>
  <c r="L614" i="4"/>
  <c r="U611" i="4"/>
  <c r="T611" i="4"/>
  <c r="S611" i="4"/>
  <c r="R611" i="4"/>
  <c r="U612" i="4"/>
  <c r="T612" i="4"/>
  <c r="S612" i="4"/>
  <c r="R612" i="4"/>
  <c r="U610" i="4"/>
  <c r="T610" i="4"/>
  <c r="S610" i="4"/>
  <c r="R610" i="4"/>
  <c r="L608" i="4"/>
  <c r="L609" i="4"/>
  <c r="L610" i="4"/>
  <c r="L611" i="4"/>
  <c r="L612" i="4"/>
  <c r="L613" i="4"/>
  <c r="U600" i="4"/>
  <c r="T600" i="4"/>
  <c r="S600" i="4"/>
  <c r="R600" i="4"/>
  <c r="L600" i="4"/>
  <c r="U598" i="4"/>
  <c r="S598" i="4"/>
  <c r="U595" i="4"/>
  <c r="T595" i="4"/>
  <c r="S595" i="4"/>
  <c r="R595" i="4"/>
  <c r="U596" i="4"/>
  <c r="T596" i="4"/>
  <c r="S596" i="4"/>
  <c r="R596" i="4"/>
  <c r="L598" i="4"/>
  <c r="L597" i="4"/>
  <c r="L596" i="4"/>
  <c r="L595" i="4"/>
  <c r="U606" i="4"/>
  <c r="T606" i="4"/>
  <c r="S606" i="4"/>
  <c r="R606" i="4"/>
  <c r="L606" i="4"/>
  <c r="T604" i="4"/>
  <c r="S604" i="4"/>
  <c r="U603" i="4"/>
  <c r="T603" i="4"/>
  <c r="S603" i="4"/>
  <c r="R603" i="4"/>
  <c r="U602" i="4"/>
  <c r="T602" i="4"/>
  <c r="S602" i="4"/>
  <c r="R602" i="4"/>
  <c r="L603" i="4"/>
  <c r="L604" i="4"/>
  <c r="L605" i="4"/>
  <c r="L602" i="4"/>
  <c r="L601" i="4"/>
  <c r="R604" i="4"/>
  <c r="U604" i="4"/>
  <c r="U607" i="4"/>
  <c r="T607" i="4"/>
  <c r="S607" i="4"/>
  <c r="R607" i="4"/>
  <c r="L607" i="4"/>
  <c r="U590" i="4"/>
  <c r="T590" i="4"/>
  <c r="S590" i="4"/>
  <c r="R590" i="4"/>
  <c r="U589" i="4"/>
  <c r="T589" i="4"/>
  <c r="S589" i="4"/>
  <c r="R589" i="4"/>
  <c r="L590" i="4"/>
  <c r="L589" i="4"/>
  <c r="U592" i="4"/>
  <c r="T592" i="4"/>
  <c r="S592" i="4"/>
  <c r="R592" i="4"/>
  <c r="U591" i="4"/>
  <c r="T591" i="4"/>
  <c r="S591" i="4"/>
  <c r="R591" i="4"/>
  <c r="L592" i="4"/>
  <c r="L591" i="4"/>
  <c r="U599" i="4"/>
  <c r="T599" i="4"/>
  <c r="S599" i="4"/>
  <c r="R599" i="4"/>
  <c r="L599" i="4"/>
  <c r="U594" i="4"/>
  <c r="T594" i="4"/>
  <c r="S594" i="4"/>
  <c r="R594" i="4"/>
  <c r="U593" i="4"/>
  <c r="T593" i="4"/>
  <c r="S593" i="4"/>
  <c r="R593" i="4"/>
  <c r="L594" i="4"/>
  <c r="L593" i="4"/>
  <c r="U588" i="4"/>
  <c r="T588" i="4"/>
  <c r="S588" i="4"/>
  <c r="R588" i="4"/>
  <c r="U587" i="4"/>
  <c r="T587" i="4"/>
  <c r="S587" i="4"/>
  <c r="R587" i="4"/>
  <c r="L588" i="4"/>
  <c r="L587" i="4"/>
  <c r="V620" i="4" l="1"/>
  <c r="V616" i="4"/>
  <c r="V615" i="4"/>
  <c r="V613" i="4"/>
  <c r="V619" i="4"/>
  <c r="V612" i="4"/>
  <c r="V610" i="4"/>
  <c r="V611" i="4"/>
  <c r="V618" i="4"/>
  <c r="V600" i="4"/>
  <c r="V598" i="4"/>
  <c r="V602" i="4"/>
  <c r="V595" i="4"/>
  <c r="V596" i="4"/>
  <c r="V603" i="4"/>
  <c r="V606" i="4"/>
  <c r="V607" i="4"/>
  <c r="V604" i="4"/>
  <c r="V591" i="4"/>
  <c r="V589" i="4"/>
  <c r="V590" i="4"/>
  <c r="V588" i="4"/>
  <c r="V599" i="4"/>
  <c r="V592" i="4"/>
  <c r="V593" i="4"/>
  <c r="V594" i="4"/>
  <c r="V587" i="4"/>
  <c r="T528" i="4"/>
  <c r="S528" i="4"/>
  <c r="R528" i="4"/>
  <c r="U528" i="4"/>
  <c r="U529" i="4"/>
  <c r="T529" i="4"/>
  <c r="S529" i="4"/>
  <c r="R529" i="4"/>
  <c r="V528" i="4" l="1"/>
  <c r="V529" i="4"/>
  <c r="U530" i="4" l="1"/>
  <c r="T530" i="4"/>
  <c r="S530" i="4"/>
  <c r="R530" i="4"/>
  <c r="U531" i="4"/>
  <c r="T531" i="4"/>
  <c r="S531" i="4"/>
  <c r="R531" i="4"/>
  <c r="U526" i="4"/>
  <c r="T526" i="4"/>
  <c r="S526" i="4"/>
  <c r="R526" i="4"/>
  <c r="L531" i="4"/>
  <c r="L530" i="4"/>
  <c r="L529" i="4"/>
  <c r="L528" i="4"/>
  <c r="L527" i="4"/>
  <c r="L526" i="4"/>
  <c r="U586" i="4"/>
  <c r="S586" i="4"/>
  <c r="U584" i="4"/>
  <c r="T584" i="4"/>
  <c r="S584" i="4"/>
  <c r="R584" i="4"/>
  <c r="U583" i="4"/>
  <c r="T583" i="4"/>
  <c r="S583" i="4"/>
  <c r="R583" i="4"/>
  <c r="L586" i="4"/>
  <c r="L585" i="4"/>
  <c r="L584" i="4"/>
  <c r="L583" i="4"/>
  <c r="L512" i="4"/>
  <c r="U580" i="4"/>
  <c r="T580" i="4"/>
  <c r="S580" i="4"/>
  <c r="R580" i="4"/>
  <c r="U579" i="4"/>
  <c r="T579" i="4"/>
  <c r="S579" i="4"/>
  <c r="R579" i="4"/>
  <c r="U581" i="4"/>
  <c r="T581" i="4"/>
  <c r="S581" i="4"/>
  <c r="R581" i="4"/>
  <c r="L582" i="4"/>
  <c r="L581" i="4"/>
  <c r="L580" i="4"/>
  <c r="L579" i="4"/>
  <c r="S557" i="4"/>
  <c r="U557" i="4"/>
  <c r="T557" i="4"/>
  <c r="R557" i="4"/>
  <c r="U558" i="4"/>
  <c r="T558" i="4"/>
  <c r="S558" i="4"/>
  <c r="R558" i="4"/>
  <c r="U556" i="4"/>
  <c r="T556" i="4"/>
  <c r="S556" i="4"/>
  <c r="R556" i="4"/>
  <c r="L558" i="4"/>
  <c r="L557" i="4"/>
  <c r="L556" i="4"/>
  <c r="R547" i="4"/>
  <c r="V526" i="4" l="1"/>
  <c r="V531" i="4"/>
  <c r="V530" i="4"/>
  <c r="V583" i="4"/>
  <c r="V586" i="4"/>
  <c r="V584" i="4"/>
  <c r="V580" i="4"/>
  <c r="V556" i="4"/>
  <c r="V558" i="4"/>
  <c r="V579" i="4"/>
  <c r="V581" i="4"/>
  <c r="V557" i="4"/>
  <c r="U547" i="4" l="1"/>
  <c r="T547" i="4"/>
  <c r="S547" i="4"/>
  <c r="L549" i="4"/>
  <c r="L548" i="4"/>
  <c r="L547" i="4"/>
  <c r="V547" i="4" l="1"/>
  <c r="U544" i="4"/>
  <c r="T544" i="4"/>
  <c r="S544" i="4"/>
  <c r="R544" i="4"/>
  <c r="U543" i="4"/>
  <c r="T543" i="4"/>
  <c r="S543" i="4"/>
  <c r="R543" i="4"/>
  <c r="U542" i="4"/>
  <c r="T542" i="4"/>
  <c r="S542" i="4"/>
  <c r="R542" i="4"/>
  <c r="L545" i="4"/>
  <c r="L544" i="4"/>
  <c r="L543" i="4"/>
  <c r="L542" i="4"/>
  <c r="L575" i="4"/>
  <c r="R575" i="4"/>
  <c r="S575" i="4"/>
  <c r="T575" i="4"/>
  <c r="U575" i="4"/>
  <c r="U563" i="4"/>
  <c r="T563" i="4"/>
  <c r="S563" i="4"/>
  <c r="R563" i="4"/>
  <c r="L563" i="4"/>
  <c r="U562" i="4"/>
  <c r="T562" i="4"/>
  <c r="S562" i="4"/>
  <c r="R562" i="4"/>
  <c r="U561" i="4"/>
  <c r="T561" i="4"/>
  <c r="S561" i="4"/>
  <c r="R561" i="4"/>
  <c r="L561" i="4"/>
  <c r="U560" i="4"/>
  <c r="T560" i="4"/>
  <c r="S560" i="4"/>
  <c r="R560" i="4"/>
  <c r="L560" i="4"/>
  <c r="U559" i="4"/>
  <c r="T559" i="4"/>
  <c r="S559" i="4"/>
  <c r="R559" i="4"/>
  <c r="L559" i="4"/>
  <c r="L576" i="4"/>
  <c r="R576" i="4"/>
  <c r="S576" i="4"/>
  <c r="T576" i="4"/>
  <c r="U576" i="4"/>
  <c r="U443" i="4"/>
  <c r="T443" i="4"/>
  <c r="S443" i="4"/>
  <c r="R443" i="4"/>
  <c r="U442" i="4"/>
  <c r="T442" i="4"/>
  <c r="S442" i="4"/>
  <c r="R442" i="4"/>
  <c r="L443" i="4"/>
  <c r="L442" i="4"/>
  <c r="U551" i="4"/>
  <c r="T551" i="4"/>
  <c r="S551" i="4"/>
  <c r="R551" i="4"/>
  <c r="L551" i="4"/>
  <c r="U578" i="4"/>
  <c r="T578" i="4"/>
  <c r="S578" i="4"/>
  <c r="R578" i="4"/>
  <c r="U577" i="4"/>
  <c r="T577" i="4"/>
  <c r="S577" i="4"/>
  <c r="R577" i="4"/>
  <c r="L578" i="4"/>
  <c r="L577" i="4"/>
  <c r="U566" i="4"/>
  <c r="T566" i="4"/>
  <c r="S566" i="4"/>
  <c r="R566" i="4"/>
  <c r="U565" i="4"/>
  <c r="T565" i="4"/>
  <c r="S565" i="4"/>
  <c r="R565" i="4"/>
  <c r="U567" i="4"/>
  <c r="T567" i="4"/>
  <c r="S567" i="4"/>
  <c r="R567" i="4"/>
  <c r="L567" i="4"/>
  <c r="L566" i="4"/>
  <c r="L565" i="4"/>
  <c r="U564" i="4"/>
  <c r="T564" i="4"/>
  <c r="S564" i="4"/>
  <c r="R564" i="4"/>
  <c r="L564" i="4"/>
  <c r="T568" i="4"/>
  <c r="S568" i="4"/>
  <c r="R568" i="4"/>
  <c r="U568" i="4"/>
  <c r="L568" i="4"/>
  <c r="U552" i="4"/>
  <c r="T552" i="4"/>
  <c r="S552" i="4"/>
  <c r="R552" i="4"/>
  <c r="L552" i="4"/>
  <c r="U555" i="4"/>
  <c r="T555" i="4"/>
  <c r="S555" i="4"/>
  <c r="R555" i="4"/>
  <c r="U554" i="4"/>
  <c r="T554" i="4"/>
  <c r="S554" i="4"/>
  <c r="R554" i="4"/>
  <c r="L555" i="4"/>
  <c r="L554" i="4"/>
  <c r="U553" i="4"/>
  <c r="T553" i="4"/>
  <c r="S553" i="4"/>
  <c r="R553" i="4"/>
  <c r="L553" i="4"/>
  <c r="U546" i="4"/>
  <c r="T546" i="4"/>
  <c r="S546" i="4"/>
  <c r="R546" i="4"/>
  <c r="L546" i="4"/>
  <c r="U550" i="4"/>
  <c r="T550" i="4"/>
  <c r="S550" i="4"/>
  <c r="R550" i="4"/>
  <c r="L550" i="4"/>
  <c r="U541" i="4"/>
  <c r="T541" i="4"/>
  <c r="S541" i="4"/>
  <c r="R541" i="4"/>
  <c r="O541" i="4"/>
  <c r="L541" i="4"/>
  <c r="U539" i="4"/>
  <c r="S539" i="4"/>
  <c r="L539" i="4"/>
  <c r="U540" i="4"/>
  <c r="T540" i="4"/>
  <c r="S540" i="4"/>
  <c r="R540" i="4"/>
  <c r="L540" i="4"/>
  <c r="U535" i="4"/>
  <c r="T535" i="4"/>
  <c r="S535" i="4"/>
  <c r="R535" i="4"/>
  <c r="U534" i="4"/>
  <c r="T534" i="4"/>
  <c r="S534" i="4"/>
  <c r="R534" i="4"/>
  <c r="U537" i="4"/>
  <c r="T537" i="4"/>
  <c r="S537" i="4"/>
  <c r="R537" i="4"/>
  <c r="L537" i="4"/>
  <c r="L536" i="4"/>
  <c r="L535" i="4"/>
  <c r="L534" i="4"/>
  <c r="U532" i="4"/>
  <c r="T532" i="4"/>
  <c r="S532" i="4"/>
  <c r="R532" i="4"/>
  <c r="L532" i="4"/>
  <c r="U533" i="4"/>
  <c r="T533" i="4"/>
  <c r="S533" i="4"/>
  <c r="R533" i="4"/>
  <c r="L533" i="4"/>
  <c r="T538" i="4"/>
  <c r="S538" i="4"/>
  <c r="R538" i="4"/>
  <c r="U538" i="4"/>
  <c r="L538" i="4"/>
  <c r="D17" i="8"/>
  <c r="E17" i="8"/>
  <c r="C17" i="8"/>
  <c r="V542" i="4" l="1"/>
  <c r="V544" i="4"/>
  <c r="V543" i="4"/>
  <c r="V575" i="4"/>
  <c r="V563" i="4"/>
  <c r="V562" i="4"/>
  <c r="V559" i="4"/>
  <c r="V561" i="4"/>
  <c r="V560" i="4"/>
  <c r="V576" i="4"/>
  <c r="V443" i="4"/>
  <c r="V551" i="4"/>
  <c r="V578" i="4"/>
  <c r="V564" i="4"/>
  <c r="V442" i="4"/>
  <c r="V577" i="4"/>
  <c r="V555" i="4"/>
  <c r="V567" i="4"/>
  <c r="V566" i="4"/>
  <c r="V565" i="4"/>
  <c r="V552" i="4"/>
  <c r="V554" i="4"/>
  <c r="V568" i="4"/>
  <c r="V553" i="4"/>
  <c r="V550" i="4"/>
  <c r="V541" i="4"/>
  <c r="V546" i="4"/>
  <c r="V539" i="4"/>
  <c r="V540" i="4"/>
  <c r="V534" i="4"/>
  <c r="V535" i="4"/>
  <c r="V532" i="4"/>
  <c r="V537" i="4"/>
  <c r="V533" i="4"/>
  <c r="V538" i="4"/>
  <c r="U522" i="4"/>
  <c r="R522" i="4"/>
  <c r="T522" i="4"/>
  <c r="S522" i="4"/>
  <c r="L522" i="4"/>
  <c r="L523" i="4"/>
  <c r="U525" i="4"/>
  <c r="T525" i="4"/>
  <c r="S525" i="4"/>
  <c r="R525" i="4"/>
  <c r="U524" i="4"/>
  <c r="T524" i="4"/>
  <c r="S524" i="4"/>
  <c r="R524" i="4"/>
  <c r="L525" i="4"/>
  <c r="L524" i="4"/>
  <c r="U520" i="4"/>
  <c r="T520" i="4"/>
  <c r="S520" i="4"/>
  <c r="R520" i="4"/>
  <c r="U519" i="4"/>
  <c r="T519" i="4"/>
  <c r="S519" i="4"/>
  <c r="R519" i="4"/>
  <c r="U518" i="4"/>
  <c r="T518" i="4"/>
  <c r="S518" i="4"/>
  <c r="R518" i="4"/>
  <c r="U517" i="4"/>
  <c r="T517" i="4"/>
  <c r="S517" i="4"/>
  <c r="R517" i="4"/>
  <c r="L520" i="4"/>
  <c r="L519" i="4"/>
  <c r="L518" i="4"/>
  <c r="L517" i="4"/>
  <c r="U516" i="4"/>
  <c r="T516" i="4"/>
  <c r="S516" i="4"/>
  <c r="R516" i="4"/>
  <c r="L516" i="4"/>
  <c r="U521" i="4"/>
  <c r="T521" i="4"/>
  <c r="S521" i="4"/>
  <c r="R521" i="4"/>
  <c r="L521" i="4"/>
  <c r="U510" i="4"/>
  <c r="T510" i="4"/>
  <c r="S510" i="4"/>
  <c r="R510" i="4"/>
  <c r="L510" i="4"/>
  <c r="U511" i="4"/>
  <c r="T511" i="4"/>
  <c r="S511" i="4"/>
  <c r="R511" i="4"/>
  <c r="L511" i="4"/>
  <c r="U515" i="4"/>
  <c r="T515" i="4"/>
  <c r="S515" i="4"/>
  <c r="R515" i="4"/>
  <c r="L515" i="4"/>
  <c r="V521" i="4" l="1"/>
  <c r="V525" i="4"/>
  <c r="V522" i="4"/>
  <c r="V518" i="4"/>
  <c r="V520" i="4"/>
  <c r="V516" i="4"/>
  <c r="V519" i="4"/>
  <c r="V517" i="4"/>
  <c r="V511" i="4"/>
  <c r="V524" i="4"/>
  <c r="V510" i="4"/>
  <c r="V515" i="4"/>
  <c r="U514" i="4"/>
  <c r="T514" i="4"/>
  <c r="S514" i="4"/>
  <c r="R514" i="4"/>
  <c r="U509" i="4"/>
  <c r="T509" i="4"/>
  <c r="S509" i="4"/>
  <c r="R509" i="4"/>
  <c r="U508" i="4"/>
  <c r="T508" i="4"/>
  <c r="S508" i="4"/>
  <c r="R508" i="4"/>
  <c r="U513" i="4"/>
  <c r="T513" i="4"/>
  <c r="S513" i="4"/>
  <c r="R513" i="4"/>
  <c r="L509" i="4"/>
  <c r="L508" i="4"/>
  <c r="L384" i="4"/>
  <c r="L383" i="4"/>
  <c r="L514" i="4"/>
  <c r="L513" i="4"/>
  <c r="T475" i="4"/>
  <c r="S475" i="4"/>
  <c r="R475" i="4"/>
  <c r="U475" i="4"/>
  <c r="V513" i="4" l="1"/>
  <c r="V508" i="4"/>
  <c r="V514" i="4"/>
  <c r="V509" i="4"/>
  <c r="V475" i="4"/>
  <c r="R502" i="4" l="1"/>
  <c r="S502" i="4"/>
  <c r="T502" i="4"/>
  <c r="U502" i="4"/>
  <c r="T501" i="4"/>
  <c r="S501" i="4"/>
  <c r="R501" i="4"/>
  <c r="U501" i="4"/>
  <c r="U500" i="4"/>
  <c r="T500" i="4"/>
  <c r="S500" i="4"/>
  <c r="R500" i="4"/>
  <c r="L502" i="4"/>
  <c r="L501" i="4"/>
  <c r="L500" i="4"/>
  <c r="L499" i="4"/>
  <c r="R499" i="4"/>
  <c r="S499" i="4"/>
  <c r="T499" i="4"/>
  <c r="U499" i="4"/>
  <c r="U507" i="4"/>
  <c r="T507" i="4"/>
  <c r="S507" i="4"/>
  <c r="R507" i="4"/>
  <c r="L507" i="4"/>
  <c r="V502" i="4" l="1"/>
  <c r="V501" i="4"/>
  <c r="V500" i="4"/>
  <c r="V499" i="4"/>
  <c r="V507" i="4"/>
  <c r="U495" i="4"/>
  <c r="T495" i="4"/>
  <c r="S495" i="4"/>
  <c r="R495" i="4"/>
  <c r="U504" i="4"/>
  <c r="T504" i="4"/>
  <c r="S504" i="4"/>
  <c r="R504" i="4"/>
  <c r="U505" i="4"/>
  <c r="T505" i="4"/>
  <c r="S505" i="4"/>
  <c r="R505" i="4"/>
  <c r="U506" i="4"/>
  <c r="T506" i="4"/>
  <c r="S506" i="4"/>
  <c r="R506" i="4"/>
  <c r="U489" i="4"/>
  <c r="T489" i="4"/>
  <c r="S489" i="4"/>
  <c r="R489" i="4"/>
  <c r="U494" i="4"/>
  <c r="T494" i="4"/>
  <c r="S494" i="4"/>
  <c r="R494" i="4"/>
  <c r="U503" i="4"/>
  <c r="T503" i="4"/>
  <c r="S503" i="4"/>
  <c r="R503" i="4"/>
  <c r="U498" i="4"/>
  <c r="T498" i="4"/>
  <c r="S498" i="4"/>
  <c r="R498" i="4"/>
  <c r="U497" i="4"/>
  <c r="T497" i="4"/>
  <c r="S497" i="4"/>
  <c r="R497" i="4"/>
  <c r="L506" i="4"/>
  <c r="L505" i="4"/>
  <c r="L504" i="4"/>
  <c r="L503" i="4"/>
  <c r="V503" i="4" l="1"/>
  <c r="V495" i="4"/>
  <c r="V489" i="4"/>
  <c r="V497" i="4"/>
  <c r="V498" i="4"/>
  <c r="V494" i="4"/>
  <c r="V506" i="4"/>
  <c r="V504" i="4"/>
  <c r="V505" i="4"/>
  <c r="L498" i="4"/>
  <c r="L497" i="4"/>
  <c r="L495" i="4" l="1"/>
  <c r="L494" i="4"/>
  <c r="L493" i="4"/>
  <c r="L492" i="4"/>
  <c r="L491" i="4"/>
  <c r="L490" i="4"/>
  <c r="L489" i="4"/>
  <c r="L488" i="4"/>
  <c r="R439" i="4"/>
  <c r="U496" i="4"/>
  <c r="T496" i="4"/>
  <c r="S496" i="4"/>
  <c r="R496" i="4"/>
  <c r="L496" i="4"/>
  <c r="L459" i="4"/>
  <c r="R459" i="4"/>
  <c r="U459" i="4"/>
  <c r="U484" i="4"/>
  <c r="T484" i="4"/>
  <c r="S484" i="4"/>
  <c r="R484" i="4"/>
  <c r="U485" i="4"/>
  <c r="T485" i="4"/>
  <c r="S485" i="4"/>
  <c r="R485" i="4"/>
  <c r="L485" i="4"/>
  <c r="L484" i="4"/>
  <c r="U480" i="4"/>
  <c r="T480" i="4"/>
  <c r="S480" i="4"/>
  <c r="R480" i="4"/>
  <c r="L480" i="4"/>
  <c r="U486" i="4"/>
  <c r="T486" i="4"/>
  <c r="S486" i="4"/>
  <c r="R486" i="4"/>
  <c r="L486" i="4"/>
  <c r="U487" i="4"/>
  <c r="T487" i="4"/>
  <c r="S487" i="4"/>
  <c r="R487" i="4"/>
  <c r="L487" i="4"/>
  <c r="C28" i="10"/>
  <c r="N28" i="10" s="1"/>
  <c r="V484" i="4" l="1"/>
  <c r="V485" i="4"/>
  <c r="V480" i="4"/>
  <c r="V496" i="4"/>
  <c r="V487" i="4"/>
  <c r="V486" i="4"/>
  <c r="U482" i="4"/>
  <c r="T482" i="4"/>
  <c r="S482" i="4"/>
  <c r="R482" i="4"/>
  <c r="U481" i="4"/>
  <c r="T481" i="4"/>
  <c r="S481" i="4"/>
  <c r="R481" i="4"/>
  <c r="L483" i="4"/>
  <c r="L482" i="4"/>
  <c r="L481" i="4"/>
  <c r="V481" i="4" l="1"/>
  <c r="V482" i="4"/>
  <c r="U479" i="4"/>
  <c r="T479" i="4"/>
  <c r="S479" i="4"/>
  <c r="R479" i="4"/>
  <c r="L479" i="4"/>
  <c r="U469" i="4"/>
  <c r="T469" i="4"/>
  <c r="S469" i="4"/>
  <c r="R469" i="4"/>
  <c r="U468" i="4"/>
  <c r="T468" i="4"/>
  <c r="S468" i="4"/>
  <c r="R468" i="4"/>
  <c r="U466" i="4"/>
  <c r="T466" i="4"/>
  <c r="S466" i="4"/>
  <c r="R466" i="4"/>
  <c r="L469" i="4"/>
  <c r="L468" i="4"/>
  <c r="L467" i="4"/>
  <c r="L466" i="4"/>
  <c r="U478" i="4"/>
  <c r="T478" i="4"/>
  <c r="S478" i="4"/>
  <c r="R478" i="4"/>
  <c r="L478" i="4"/>
  <c r="R470" i="4"/>
  <c r="U470" i="4"/>
  <c r="T470" i="4"/>
  <c r="S470" i="4"/>
  <c r="L470" i="4"/>
  <c r="U476" i="4"/>
  <c r="T476" i="4"/>
  <c r="S476" i="4"/>
  <c r="R476" i="4"/>
  <c r="U477" i="4"/>
  <c r="T477" i="4"/>
  <c r="R477" i="4"/>
  <c r="U474" i="4"/>
  <c r="T474" i="4"/>
  <c r="S474" i="4"/>
  <c r="R474" i="4"/>
  <c r="U473" i="4"/>
  <c r="T473" i="4"/>
  <c r="S473" i="4"/>
  <c r="R473" i="4"/>
  <c r="U472" i="4"/>
  <c r="T472" i="4"/>
  <c r="S472" i="4"/>
  <c r="R472" i="4"/>
  <c r="U471" i="4"/>
  <c r="T471" i="4"/>
  <c r="S471" i="4"/>
  <c r="R471" i="4"/>
  <c r="L477" i="4"/>
  <c r="L476" i="4"/>
  <c r="L475" i="4"/>
  <c r="L474" i="4"/>
  <c r="L473" i="4"/>
  <c r="L472" i="4"/>
  <c r="L471" i="4"/>
  <c r="U463" i="4"/>
  <c r="T463" i="4"/>
  <c r="S463" i="4"/>
  <c r="R463" i="4"/>
  <c r="L463" i="4"/>
  <c r="U464" i="4"/>
  <c r="T464" i="4"/>
  <c r="S464" i="4"/>
  <c r="R464" i="4"/>
  <c r="U465" i="4"/>
  <c r="T465" i="4"/>
  <c r="S465" i="4"/>
  <c r="R465" i="4"/>
  <c r="U461" i="4"/>
  <c r="T461" i="4"/>
  <c r="S461" i="4"/>
  <c r="R461" i="4"/>
  <c r="L465" i="4"/>
  <c r="L464" i="4"/>
  <c r="U460" i="4"/>
  <c r="T460" i="4"/>
  <c r="S460" i="4"/>
  <c r="R460" i="4"/>
  <c r="L461" i="4"/>
  <c r="L460" i="4"/>
  <c r="U453" i="4"/>
  <c r="T453" i="4"/>
  <c r="S453" i="4"/>
  <c r="R453" i="4"/>
  <c r="U450" i="4"/>
  <c r="T450" i="4"/>
  <c r="S450" i="4"/>
  <c r="R450" i="4"/>
  <c r="U449" i="4"/>
  <c r="S449" i="4"/>
  <c r="R449" i="4"/>
  <c r="T449" i="4"/>
  <c r="U451" i="4"/>
  <c r="T451" i="4"/>
  <c r="S451" i="4"/>
  <c r="R451" i="4"/>
  <c r="U448" i="4"/>
  <c r="T448" i="4"/>
  <c r="S448" i="4"/>
  <c r="R448" i="4"/>
  <c r="U447" i="4"/>
  <c r="T447" i="4"/>
  <c r="S447" i="4"/>
  <c r="R447" i="4"/>
  <c r="L451" i="4"/>
  <c r="L450" i="4"/>
  <c r="L449" i="4"/>
  <c r="L448" i="4"/>
  <c r="L447" i="4"/>
  <c r="L453" i="4"/>
  <c r="U452" i="4"/>
  <c r="T452" i="4"/>
  <c r="S452" i="4"/>
  <c r="R452" i="4"/>
  <c r="L452" i="4"/>
  <c r="U445" i="4"/>
  <c r="T445" i="4"/>
  <c r="R445" i="4"/>
  <c r="L445" i="4"/>
  <c r="S445" i="4"/>
  <c r="U446" i="4"/>
  <c r="T446" i="4"/>
  <c r="S446" i="4"/>
  <c r="R446" i="4"/>
  <c r="L446" i="4"/>
  <c r="U444" i="4"/>
  <c r="T444" i="4"/>
  <c r="S444" i="4"/>
  <c r="R444" i="4"/>
  <c r="L444" i="4"/>
  <c r="U441" i="4"/>
  <c r="T441" i="4"/>
  <c r="S441" i="4"/>
  <c r="R441" i="4"/>
  <c r="L441" i="4"/>
  <c r="U439" i="4"/>
  <c r="T439" i="4"/>
  <c r="S439" i="4"/>
  <c r="U440" i="4"/>
  <c r="T440" i="4"/>
  <c r="S440" i="4"/>
  <c r="R440" i="4"/>
  <c r="L440" i="4"/>
  <c r="L439" i="4"/>
  <c r="U438" i="4"/>
  <c r="T438" i="4"/>
  <c r="R438" i="4"/>
  <c r="U436" i="4"/>
  <c r="T436" i="4"/>
  <c r="S436" i="4"/>
  <c r="R436" i="4"/>
  <c r="L438" i="4"/>
  <c r="L437" i="4"/>
  <c r="L436" i="4"/>
  <c r="L242" i="4"/>
  <c r="R242" i="4"/>
  <c r="T242" i="4"/>
  <c r="U242" i="4"/>
  <c r="U426" i="4"/>
  <c r="T426" i="4"/>
  <c r="S426" i="4"/>
  <c r="R426" i="4"/>
  <c r="U425" i="4"/>
  <c r="T425" i="4"/>
  <c r="S425" i="4"/>
  <c r="R425" i="4"/>
  <c r="L426" i="4"/>
  <c r="L425" i="4"/>
  <c r="U429" i="4"/>
  <c r="T429" i="4"/>
  <c r="S429" i="4"/>
  <c r="R429" i="4"/>
  <c r="U428" i="4"/>
  <c r="T428" i="4"/>
  <c r="S428" i="4"/>
  <c r="R428" i="4"/>
  <c r="U430" i="4"/>
  <c r="T430" i="4"/>
  <c r="S430" i="4"/>
  <c r="R430" i="4"/>
  <c r="L430" i="4"/>
  <c r="L429" i="4"/>
  <c r="L428" i="4"/>
  <c r="T435" i="4"/>
  <c r="S435" i="4"/>
  <c r="R435" i="4"/>
  <c r="U435" i="4"/>
  <c r="L435" i="4"/>
  <c r="U427" i="4"/>
  <c r="T427" i="4"/>
  <c r="S427" i="4"/>
  <c r="R427" i="4"/>
  <c r="L427" i="4"/>
  <c r="U434" i="4"/>
  <c r="T434" i="4"/>
  <c r="S434" i="4"/>
  <c r="R434" i="4"/>
  <c r="U433" i="4"/>
  <c r="T433" i="4"/>
  <c r="S433" i="4"/>
  <c r="R433" i="4"/>
  <c r="L434" i="4"/>
  <c r="L433" i="4"/>
  <c r="T419" i="4"/>
  <c r="S419" i="4"/>
  <c r="R419" i="4"/>
  <c r="U419" i="4"/>
  <c r="U420" i="4"/>
  <c r="T420" i="4"/>
  <c r="S420" i="4"/>
  <c r="R420" i="4"/>
  <c r="U421" i="4"/>
  <c r="T421" i="4"/>
  <c r="S421" i="4"/>
  <c r="R421" i="4"/>
  <c r="L421" i="4"/>
  <c r="L420" i="4"/>
  <c r="L419" i="4"/>
  <c r="U431" i="4"/>
  <c r="T431" i="4"/>
  <c r="S431" i="4"/>
  <c r="R431" i="4"/>
  <c r="U432" i="4"/>
  <c r="T432" i="4"/>
  <c r="S432" i="4"/>
  <c r="R432" i="4"/>
  <c r="L432" i="4"/>
  <c r="L431" i="4"/>
  <c r="U422" i="4"/>
  <c r="T422" i="4"/>
  <c r="S422" i="4"/>
  <c r="R422" i="4"/>
  <c r="L422" i="4"/>
  <c r="T414" i="4"/>
  <c r="S414" i="4"/>
  <c r="R414" i="4"/>
  <c r="U414" i="4"/>
  <c r="R413" i="4"/>
  <c r="V466" i="4" l="1"/>
  <c r="V468" i="4"/>
  <c r="V479" i="4"/>
  <c r="V463" i="4"/>
  <c r="V469" i="4"/>
  <c r="V478" i="4"/>
  <c r="V474" i="4"/>
  <c r="V471" i="4"/>
  <c r="V476" i="4"/>
  <c r="V464" i="4"/>
  <c r="V447" i="4"/>
  <c r="V450" i="4"/>
  <c r="V472" i="4"/>
  <c r="V473" i="4"/>
  <c r="V461" i="4"/>
  <c r="V465" i="4"/>
  <c r="V446" i="4"/>
  <c r="V477" i="4"/>
  <c r="V470" i="4"/>
  <c r="V444" i="4"/>
  <c r="V453" i="4"/>
  <c r="V460" i="4"/>
  <c r="V449" i="4"/>
  <c r="V448" i="4"/>
  <c r="V441" i="4"/>
  <c r="V452" i="4"/>
  <c r="V445" i="4"/>
  <c r="V451" i="4"/>
  <c r="V440" i="4"/>
  <c r="V436" i="4"/>
  <c r="V439" i="4"/>
  <c r="V438" i="4"/>
  <c r="V242" i="4"/>
  <c r="V432" i="4"/>
  <c r="V435" i="4"/>
  <c r="V425" i="4"/>
  <c r="V421" i="4"/>
  <c r="V426" i="4"/>
  <c r="V434" i="4"/>
  <c r="V420" i="4"/>
  <c r="V430" i="4"/>
  <c r="V429" i="4"/>
  <c r="V431" i="4"/>
  <c r="V427" i="4"/>
  <c r="V433" i="4"/>
  <c r="V428" i="4"/>
  <c r="V419" i="4"/>
  <c r="V422" i="4"/>
  <c r="V414" i="4"/>
  <c r="U413" i="4" l="1"/>
  <c r="T413" i="4"/>
  <c r="S413" i="4"/>
  <c r="L414" i="4"/>
  <c r="L413" i="4"/>
  <c r="U418" i="4"/>
  <c r="T418" i="4"/>
  <c r="S418" i="4"/>
  <c r="R418" i="4"/>
  <c r="L418" i="4"/>
  <c r="U1563" i="4"/>
  <c r="S1563" i="4"/>
  <c r="S424" i="4"/>
  <c r="U423" i="4"/>
  <c r="T423" i="4"/>
  <c r="S423" i="4"/>
  <c r="R423" i="4"/>
  <c r="L424" i="4"/>
  <c r="L423" i="4"/>
  <c r="U424" i="4"/>
  <c r="V424" i="4" l="1"/>
  <c r="V413" i="4"/>
  <c r="V418" i="4"/>
  <c r="V1563" i="4"/>
  <c r="V423" i="4"/>
  <c r="U417" i="4" l="1"/>
  <c r="T417" i="4"/>
  <c r="S417" i="4"/>
  <c r="R417" i="4"/>
  <c r="U416" i="4"/>
  <c r="T416" i="4"/>
  <c r="S416" i="4"/>
  <c r="R416" i="4"/>
  <c r="L416" i="4"/>
  <c r="L417" i="4"/>
  <c r="U411" i="4"/>
  <c r="U412" i="4"/>
  <c r="T412" i="4"/>
  <c r="T411" i="4"/>
  <c r="S412" i="4"/>
  <c r="S411" i="4"/>
  <c r="R412" i="4"/>
  <c r="R411" i="4"/>
  <c r="P412" i="4"/>
  <c r="L412" i="4"/>
  <c r="P411" i="4"/>
  <c r="L411" i="4"/>
  <c r="L405" i="4"/>
  <c r="R405" i="4"/>
  <c r="S405" i="4"/>
  <c r="T405" i="4"/>
  <c r="U405" i="4"/>
  <c r="S410" i="4"/>
  <c r="R410" i="4"/>
  <c r="T410" i="4"/>
  <c r="U410" i="4"/>
  <c r="U415" i="4"/>
  <c r="T415" i="4"/>
  <c r="S415" i="4"/>
  <c r="R415" i="4"/>
  <c r="L415" i="4"/>
  <c r="L410" i="4"/>
  <c r="U408" i="4"/>
  <c r="T408" i="4"/>
  <c r="S408" i="4"/>
  <c r="R408" i="4"/>
  <c r="U407" i="4"/>
  <c r="T407" i="4"/>
  <c r="S407" i="4"/>
  <c r="R407" i="4"/>
  <c r="U406" i="4"/>
  <c r="T406" i="4"/>
  <c r="S406" i="4"/>
  <c r="R406" i="4"/>
  <c r="L408" i="4"/>
  <c r="L407" i="4"/>
  <c r="L406" i="4"/>
  <c r="U409" i="4"/>
  <c r="T409" i="4"/>
  <c r="S409" i="4"/>
  <c r="R409" i="4"/>
  <c r="L409" i="4"/>
  <c r="U387" i="4"/>
  <c r="T387" i="4"/>
  <c r="S387" i="4"/>
  <c r="R387" i="4"/>
  <c r="U386" i="4"/>
  <c r="T386" i="4"/>
  <c r="S386" i="4"/>
  <c r="R386" i="4"/>
  <c r="O387" i="4"/>
  <c r="O386" i="4"/>
  <c r="L387" i="4"/>
  <c r="L386" i="4"/>
  <c r="U384" i="4"/>
  <c r="T384" i="4"/>
  <c r="S384" i="4"/>
  <c r="R384" i="4"/>
  <c r="U383" i="4"/>
  <c r="T383" i="4"/>
  <c r="S383" i="4"/>
  <c r="R383" i="4"/>
  <c r="U382" i="4"/>
  <c r="T382" i="4"/>
  <c r="S382" i="4"/>
  <c r="R382" i="4"/>
  <c r="L385" i="4"/>
  <c r="L382" i="4"/>
  <c r="V416" i="4" l="1"/>
  <c r="V417" i="4"/>
  <c r="V405" i="4"/>
  <c r="V383" i="4"/>
  <c r="V386" i="4"/>
  <c r="V410" i="4"/>
  <c r="V411" i="4"/>
  <c r="V412" i="4"/>
  <c r="V409" i="4"/>
  <c r="V406" i="4"/>
  <c r="V408" i="4"/>
  <c r="V407" i="4"/>
  <c r="V415" i="4"/>
  <c r="V387" i="4"/>
  <c r="V384" i="4"/>
  <c r="V382" i="4"/>
  <c r="U397" i="4"/>
  <c r="T397" i="4"/>
  <c r="S397" i="4"/>
  <c r="R397" i="4"/>
  <c r="U396" i="4"/>
  <c r="T396" i="4"/>
  <c r="S396" i="4"/>
  <c r="R396" i="4"/>
  <c r="U395" i="4"/>
  <c r="T395" i="4"/>
  <c r="S395" i="4"/>
  <c r="R395" i="4"/>
  <c r="L397" i="4"/>
  <c r="L398" i="4"/>
  <c r="L396" i="4"/>
  <c r="L395" i="4"/>
  <c r="V395" i="4" l="1"/>
  <c r="V397" i="4"/>
  <c r="V396" i="4"/>
  <c r="T401" i="4"/>
  <c r="S401" i="4"/>
  <c r="R401" i="4"/>
  <c r="U401" i="4"/>
  <c r="V401" i="4" l="1"/>
  <c r="U402" i="4" l="1"/>
  <c r="T402" i="4"/>
  <c r="S402" i="4"/>
  <c r="R402" i="4"/>
  <c r="U404" i="4"/>
  <c r="T404" i="4"/>
  <c r="R404" i="4"/>
  <c r="U400" i="4"/>
  <c r="T400" i="4"/>
  <c r="S400" i="4"/>
  <c r="R400" i="4"/>
  <c r="U399" i="4"/>
  <c r="T399" i="4"/>
  <c r="S399" i="4"/>
  <c r="R399" i="4"/>
  <c r="L399" i="4"/>
  <c r="L400" i="4"/>
  <c r="L401" i="4"/>
  <c r="L402" i="4"/>
  <c r="L403" i="4"/>
  <c r="L404" i="4"/>
  <c r="U392" i="4"/>
  <c r="T392" i="4"/>
  <c r="S392" i="4"/>
  <c r="R392" i="4"/>
  <c r="U391" i="4"/>
  <c r="T391" i="4"/>
  <c r="S391" i="4"/>
  <c r="R391" i="4"/>
  <c r="U390" i="4"/>
  <c r="T390" i="4"/>
  <c r="S390" i="4"/>
  <c r="R390" i="4"/>
  <c r="L392" i="4"/>
  <c r="L391" i="4"/>
  <c r="L390" i="4"/>
  <c r="V399" i="4" l="1"/>
  <c r="V400" i="4"/>
  <c r="V390" i="4"/>
  <c r="V392" i="4"/>
  <c r="V404" i="4"/>
  <c r="V391" i="4"/>
  <c r="V402" i="4"/>
  <c r="U393" i="4"/>
  <c r="T393" i="4"/>
  <c r="R393" i="4"/>
  <c r="S393" i="4"/>
  <c r="L393" i="4"/>
  <c r="V393" i="4" l="1"/>
  <c r="T388" i="4" l="1"/>
  <c r="R388" i="4"/>
  <c r="S388" i="4"/>
  <c r="U388" i="4"/>
  <c r="L388" i="4"/>
  <c r="S389" i="4"/>
  <c r="U389" i="4"/>
  <c r="T389" i="4"/>
  <c r="R389" i="4"/>
  <c r="L389" i="4"/>
  <c r="U394" i="4"/>
  <c r="T394" i="4"/>
  <c r="S394" i="4"/>
  <c r="R394" i="4"/>
  <c r="L394" i="4"/>
  <c r="T381" i="4"/>
  <c r="R381" i="4"/>
  <c r="S381" i="4"/>
  <c r="U381" i="4"/>
  <c r="L381" i="4"/>
  <c r="V388" i="4" l="1"/>
  <c r="V394" i="4"/>
  <c r="V389" i="4"/>
  <c r="V381" i="4"/>
  <c r="U373" i="4" l="1"/>
  <c r="T373" i="4"/>
  <c r="S373" i="4"/>
  <c r="R373" i="4"/>
  <c r="L373" i="4"/>
  <c r="I19" i="7"/>
  <c r="I21" i="7" s="1"/>
  <c r="G19" i="7"/>
  <c r="I20" i="7" s="1"/>
  <c r="V373" i="4" l="1"/>
  <c r="L310" i="4"/>
  <c r="U377" i="4"/>
  <c r="T377" i="4"/>
  <c r="S377" i="4"/>
  <c r="R377" i="4"/>
  <c r="U379" i="4"/>
  <c r="T379" i="4"/>
  <c r="S379" i="4"/>
  <c r="R379" i="4"/>
  <c r="U378" i="4"/>
  <c r="T378" i="4"/>
  <c r="S378" i="4"/>
  <c r="R378" i="4"/>
  <c r="L379" i="4"/>
  <c r="L378" i="4"/>
  <c r="L377" i="4"/>
  <c r="L371" i="4"/>
  <c r="U376" i="4"/>
  <c r="T376" i="4"/>
  <c r="S376" i="4"/>
  <c r="R376" i="4"/>
  <c r="U375" i="4"/>
  <c r="T375" i="4"/>
  <c r="S375" i="4"/>
  <c r="R375" i="4"/>
  <c r="U374" i="4"/>
  <c r="T374" i="4"/>
  <c r="S374" i="4"/>
  <c r="R374" i="4"/>
  <c r="L376" i="4"/>
  <c r="L375" i="4"/>
  <c r="L374" i="4"/>
  <c r="U369" i="4"/>
  <c r="T369" i="4"/>
  <c r="S369" i="4"/>
  <c r="R369" i="4"/>
  <c r="U370" i="4"/>
  <c r="T370" i="4"/>
  <c r="S370" i="4"/>
  <c r="R370" i="4"/>
  <c r="U368" i="4"/>
  <c r="T368" i="4"/>
  <c r="S368" i="4"/>
  <c r="R368" i="4"/>
  <c r="R362" i="4"/>
  <c r="S362" i="4"/>
  <c r="T362" i="4"/>
  <c r="U362" i="4"/>
  <c r="L370" i="4"/>
  <c r="L369" i="4"/>
  <c r="L368" i="4"/>
  <c r="T380" i="4"/>
  <c r="S380" i="4"/>
  <c r="R380" i="4"/>
  <c r="U380" i="4"/>
  <c r="L380" i="4"/>
  <c r="V374" i="4" l="1"/>
  <c r="V379" i="4"/>
  <c r="V368" i="4"/>
  <c r="V370" i="4"/>
  <c r="V362" i="4"/>
  <c r="V375" i="4"/>
  <c r="V377" i="4"/>
  <c r="V378" i="4"/>
  <c r="V376" i="4"/>
  <c r="V369" i="4"/>
  <c r="V380" i="4"/>
  <c r="L362" i="4" l="1"/>
  <c r="U308" i="4"/>
  <c r="U363" i="4"/>
  <c r="T363" i="4"/>
  <c r="S363" i="4"/>
  <c r="R363" i="4"/>
  <c r="L363" i="4"/>
  <c r="U372" i="4"/>
  <c r="T372" i="4"/>
  <c r="S372" i="4"/>
  <c r="R372" i="4"/>
  <c r="L372" i="4"/>
  <c r="T364" i="4"/>
  <c r="S364" i="4"/>
  <c r="U364" i="4"/>
  <c r="R364" i="4"/>
  <c r="L364" i="4"/>
  <c r="V363" i="4" l="1"/>
  <c r="V372" i="4"/>
  <c r="V364" i="4"/>
  <c r="U366" i="4" l="1"/>
  <c r="T366" i="4"/>
  <c r="S366" i="4"/>
  <c r="R366" i="4"/>
  <c r="L366" i="4"/>
  <c r="V366" i="4" l="1"/>
  <c r="U365" i="4"/>
  <c r="T365" i="4"/>
  <c r="S365" i="4"/>
  <c r="R365" i="4"/>
  <c r="L365" i="4"/>
  <c r="V365" i="4" l="1"/>
  <c r="U360" i="4"/>
  <c r="T360" i="4"/>
  <c r="S360" i="4"/>
  <c r="R360" i="4"/>
  <c r="L360" i="4"/>
  <c r="U357" i="4"/>
  <c r="T357" i="4"/>
  <c r="S357" i="4"/>
  <c r="R357" i="4"/>
  <c r="U358" i="4"/>
  <c r="T358" i="4"/>
  <c r="S358" i="4"/>
  <c r="R358" i="4"/>
  <c r="U359" i="4"/>
  <c r="T359" i="4"/>
  <c r="S359" i="4"/>
  <c r="R359" i="4"/>
  <c r="L359" i="4"/>
  <c r="U355" i="4"/>
  <c r="T355" i="4"/>
  <c r="S355" i="4"/>
  <c r="R355" i="4"/>
  <c r="L358" i="4"/>
  <c r="L357" i="4"/>
  <c r="U304" i="4"/>
  <c r="T304" i="4"/>
  <c r="S304" i="4"/>
  <c r="R304" i="4"/>
  <c r="U303" i="4"/>
  <c r="T303" i="4"/>
  <c r="S303" i="4"/>
  <c r="R303" i="4"/>
  <c r="L304" i="4"/>
  <c r="L303" i="4"/>
  <c r="U301" i="4"/>
  <c r="T301" i="4"/>
  <c r="S301" i="4"/>
  <c r="R301" i="4"/>
  <c r="U302" i="4"/>
  <c r="T302" i="4"/>
  <c r="S302" i="4"/>
  <c r="R302" i="4"/>
  <c r="L302" i="4"/>
  <c r="L301" i="4"/>
  <c r="U361" i="4"/>
  <c r="T361" i="4"/>
  <c r="S361" i="4"/>
  <c r="R361" i="4"/>
  <c r="L361" i="4"/>
  <c r="V360" i="4" l="1"/>
  <c r="V359" i="4"/>
  <c r="V357" i="4"/>
  <c r="V303" i="4"/>
  <c r="V304" i="4"/>
  <c r="V358" i="4"/>
  <c r="V355" i="4"/>
  <c r="V302" i="4"/>
  <c r="V361" i="4"/>
  <c r="V301" i="4"/>
  <c r="L355" i="4" l="1"/>
  <c r="U352" i="4" l="1"/>
  <c r="T352" i="4"/>
  <c r="S352" i="4"/>
  <c r="R352" i="4"/>
  <c r="U351" i="4"/>
  <c r="T351" i="4"/>
  <c r="S351" i="4"/>
  <c r="R351" i="4"/>
  <c r="T350" i="4"/>
  <c r="S350" i="4"/>
  <c r="R350" i="4"/>
  <c r="U350" i="4"/>
  <c r="U343" i="4"/>
  <c r="T343" i="4"/>
  <c r="R343" i="4"/>
  <c r="S343" i="4"/>
  <c r="U341" i="4"/>
  <c r="T341" i="4"/>
  <c r="S341" i="4"/>
  <c r="R341" i="4"/>
  <c r="T336" i="4"/>
  <c r="R336" i="4"/>
  <c r="S336" i="4"/>
  <c r="U336" i="4"/>
  <c r="U353" i="4"/>
  <c r="T353" i="4"/>
  <c r="S353" i="4"/>
  <c r="R353" i="4"/>
  <c r="T339" i="4"/>
  <c r="S339" i="4"/>
  <c r="R339" i="4"/>
  <c r="U339" i="4"/>
  <c r="U354" i="4"/>
  <c r="T354" i="4"/>
  <c r="S354" i="4"/>
  <c r="R354" i="4"/>
  <c r="U338" i="4"/>
  <c r="T338" i="4"/>
  <c r="S338" i="4"/>
  <c r="R338" i="4"/>
  <c r="U342" i="4"/>
  <c r="T342" i="4"/>
  <c r="S342" i="4"/>
  <c r="R342" i="4"/>
  <c r="U349" i="4"/>
  <c r="T349" i="4"/>
  <c r="S349" i="4"/>
  <c r="R349" i="4"/>
  <c r="U340" i="4"/>
  <c r="T340" i="4"/>
  <c r="S340" i="4"/>
  <c r="R340" i="4"/>
  <c r="U337" i="4"/>
  <c r="T337" i="4"/>
  <c r="R337" i="4"/>
  <c r="S337" i="4"/>
  <c r="S321" i="4"/>
  <c r="V340" i="4" l="1"/>
  <c r="V342" i="4"/>
  <c r="V353" i="4"/>
  <c r="V341" i="4"/>
  <c r="V350" i="4"/>
  <c r="V354" i="4"/>
  <c r="V352" i="4"/>
  <c r="V339" i="4"/>
  <c r="V343" i="4"/>
  <c r="V337" i="4"/>
  <c r="V351" i="4"/>
  <c r="V349" i="4"/>
  <c r="V338" i="4"/>
  <c r="V336" i="4"/>
  <c r="T317" i="4"/>
  <c r="L356" i="4"/>
  <c r="L354" i="4"/>
  <c r="L353" i="4"/>
  <c r="L352" i="4"/>
  <c r="L351" i="4"/>
  <c r="L350" i="4"/>
  <c r="L343" i="4" l="1"/>
  <c r="L342" i="4"/>
  <c r="L341" i="4"/>
  <c r="L336" i="4"/>
  <c r="L339" i="4"/>
  <c r="L338" i="4"/>
  <c r="L349" i="4"/>
  <c r="L340" i="4"/>
  <c r="L348" i="4"/>
  <c r="L347" i="4"/>
  <c r="L346" i="4"/>
  <c r="L345" i="4"/>
  <c r="L344" i="4"/>
  <c r="U462" i="4"/>
  <c r="T462" i="4"/>
  <c r="S462" i="4"/>
  <c r="R462" i="4"/>
  <c r="L462" i="4"/>
  <c r="L337" i="4"/>
  <c r="U324" i="4"/>
  <c r="T324" i="4"/>
  <c r="S324" i="4"/>
  <c r="R324" i="4"/>
  <c r="R325" i="4"/>
  <c r="U325" i="4"/>
  <c r="T325" i="4"/>
  <c r="S325" i="4"/>
  <c r="V462" i="4" l="1"/>
  <c r="V325" i="4"/>
  <c r="V324" i="4"/>
  <c r="L324" i="4"/>
  <c r="L325" i="4"/>
  <c r="L326" i="4"/>
  <c r="U329" i="4"/>
  <c r="T329" i="4"/>
  <c r="S329" i="4"/>
  <c r="R329" i="4"/>
  <c r="L329" i="4"/>
  <c r="T335" i="4"/>
  <c r="S335" i="4"/>
  <c r="R335" i="4"/>
  <c r="L335" i="4"/>
  <c r="U335" i="4"/>
  <c r="U334" i="4"/>
  <c r="R334" i="4"/>
  <c r="T334" i="4"/>
  <c r="L334" i="4"/>
  <c r="T367" i="4"/>
  <c r="S367" i="4"/>
  <c r="L367" i="4"/>
  <c r="R367" i="4"/>
  <c r="U367" i="4"/>
  <c r="S282" i="4"/>
  <c r="S289" i="4"/>
  <c r="S271" i="4"/>
  <c r="S280" i="4"/>
  <c r="S312" i="4"/>
  <c r="S319" i="4"/>
  <c r="S318" i="4"/>
  <c r="S298" i="4"/>
  <c r="T320" i="4"/>
  <c r="T331" i="4"/>
  <c r="T332" i="4"/>
  <c r="T323" i="4"/>
  <c r="T330" i="4"/>
  <c r="T298" i="4"/>
  <c r="T316" i="4"/>
  <c r="T315" i="4"/>
  <c r="T313" i="4"/>
  <c r="T314" i="4"/>
  <c r="T294" i="4"/>
  <c r="T292" i="4"/>
  <c r="T291" i="4"/>
  <c r="T300" i="4"/>
  <c r="T290" i="4"/>
  <c r="T289" i="4"/>
  <c r="T283" i="4"/>
  <c r="T278" i="4"/>
  <c r="T284" i="4"/>
  <c r="T281" i="4"/>
  <c r="T280" i="4"/>
  <c r="T255" i="4"/>
  <c r="T321" i="4"/>
  <c r="T254" i="4"/>
  <c r="T253" i="4"/>
  <c r="T288" i="4"/>
  <c r="T282" i="4"/>
  <c r="T312" i="4"/>
  <c r="T309" i="4"/>
  <c r="T310" i="4"/>
  <c r="T308" i="4"/>
  <c r="T307" i="4"/>
  <c r="T293" i="4"/>
  <c r="T299" i="4"/>
  <c r="T285" i="4"/>
  <c r="T305" i="4"/>
  <c r="T319" i="4"/>
  <c r="T318" i="4"/>
  <c r="T277" i="4"/>
  <c r="T333" i="4"/>
  <c r="S333" i="4"/>
  <c r="U332" i="4"/>
  <c r="S332" i="4"/>
  <c r="S323" i="4"/>
  <c r="T322" i="4"/>
  <c r="S322" i="4"/>
  <c r="R322" i="4"/>
  <c r="U322" i="4"/>
  <c r="S277" i="4"/>
  <c r="L333" i="4"/>
  <c r="R333" i="4"/>
  <c r="U333" i="4"/>
  <c r="L332" i="4"/>
  <c r="R332" i="4"/>
  <c r="V367" i="4" l="1"/>
  <c r="V335" i="4"/>
  <c r="V329" i="4"/>
  <c r="V334" i="4"/>
  <c r="V333" i="4"/>
  <c r="V332" i="4"/>
  <c r="V322" i="4"/>
  <c r="L323" i="4"/>
  <c r="R323" i="4"/>
  <c r="U323" i="4"/>
  <c r="L322" i="4"/>
  <c r="L321" i="4"/>
  <c r="R321" i="4"/>
  <c r="U321" i="4"/>
  <c r="S320" i="4"/>
  <c r="L320" i="4"/>
  <c r="R320" i="4"/>
  <c r="U320" i="4"/>
  <c r="S331" i="4"/>
  <c r="T272" i="4"/>
  <c r="L331" i="4"/>
  <c r="R331" i="4"/>
  <c r="U331" i="4"/>
  <c r="U330" i="4"/>
  <c r="S330" i="4"/>
  <c r="R330" i="4"/>
  <c r="O293" i="4"/>
  <c r="O285" i="4"/>
  <c r="O284" i="4"/>
  <c r="L330" i="4"/>
  <c r="S316" i="4"/>
  <c r="L312" i="4"/>
  <c r="R312" i="4"/>
  <c r="U312" i="4"/>
  <c r="L317" i="4"/>
  <c r="R317" i="4"/>
  <c r="S317" i="4"/>
  <c r="U317" i="4"/>
  <c r="L316" i="4"/>
  <c r="R316" i="4"/>
  <c r="U316" i="4"/>
  <c r="L315" i="4"/>
  <c r="R315" i="4"/>
  <c r="S315" i="4"/>
  <c r="U315" i="4"/>
  <c r="L314" i="4"/>
  <c r="R314" i="4"/>
  <c r="S314" i="4"/>
  <c r="U314" i="4"/>
  <c r="L313" i="4"/>
  <c r="R313" i="4"/>
  <c r="S313" i="4"/>
  <c r="U313" i="4"/>
  <c r="L294" i="4"/>
  <c r="R294" i="4"/>
  <c r="S294" i="4"/>
  <c r="U294" i="4"/>
  <c r="L292" i="4"/>
  <c r="R292" i="4"/>
  <c r="S292" i="4"/>
  <c r="U292" i="4"/>
  <c r="L291" i="4"/>
  <c r="R291" i="4"/>
  <c r="S291" i="4"/>
  <c r="U291" i="4"/>
  <c r="L293" i="4"/>
  <c r="R293" i="4"/>
  <c r="S293" i="4"/>
  <c r="U293" i="4"/>
  <c r="L300" i="4"/>
  <c r="R300" i="4"/>
  <c r="S300" i="4"/>
  <c r="U300" i="4"/>
  <c r="L299" i="4"/>
  <c r="R299" i="4"/>
  <c r="S299" i="4"/>
  <c r="U299" i="4"/>
  <c r="R298" i="4"/>
  <c r="U298" i="4"/>
  <c r="L290" i="4"/>
  <c r="R290" i="4"/>
  <c r="S290" i="4"/>
  <c r="U290" i="4"/>
  <c r="L289" i="4"/>
  <c r="R289" i="4"/>
  <c r="U289" i="4"/>
  <c r="L283" i="4"/>
  <c r="R283" i="4"/>
  <c r="S283" i="4"/>
  <c r="U283" i="4"/>
  <c r="L278" i="4"/>
  <c r="R278" i="4"/>
  <c r="S278" i="4"/>
  <c r="U278" i="4"/>
  <c r="L285" i="4"/>
  <c r="R285" i="4"/>
  <c r="S285" i="4"/>
  <c r="U285" i="4"/>
  <c r="L284" i="4"/>
  <c r="R284" i="4"/>
  <c r="S284" i="4"/>
  <c r="U284" i="4"/>
  <c r="L281" i="4"/>
  <c r="R281" i="4"/>
  <c r="S281" i="4"/>
  <c r="U281" i="4"/>
  <c r="L280" i="4"/>
  <c r="R280" i="4"/>
  <c r="U280" i="4"/>
  <c r="L255" i="4"/>
  <c r="R255" i="4"/>
  <c r="S255" i="4"/>
  <c r="U255" i="4"/>
  <c r="L254" i="4"/>
  <c r="R254" i="4"/>
  <c r="S254" i="4"/>
  <c r="U254" i="4"/>
  <c r="L253" i="4"/>
  <c r="R253" i="4"/>
  <c r="S253" i="4"/>
  <c r="U253" i="4"/>
  <c r="L288" i="4"/>
  <c r="R288" i="4"/>
  <c r="S288" i="4"/>
  <c r="U288" i="4"/>
  <c r="L282" i="4"/>
  <c r="R282" i="4"/>
  <c r="U282" i="4"/>
  <c r="L311" i="4"/>
  <c r="R310" i="4"/>
  <c r="S310" i="4"/>
  <c r="U310" i="4"/>
  <c r="L309" i="4"/>
  <c r="R309" i="4"/>
  <c r="S309" i="4"/>
  <c r="U309" i="4"/>
  <c r="L308" i="4"/>
  <c r="R308" i="4"/>
  <c r="S308" i="4"/>
  <c r="L307" i="4"/>
  <c r="R307" i="4"/>
  <c r="S307" i="4"/>
  <c r="U307" i="4"/>
  <c r="L306" i="4"/>
  <c r="L305" i="4"/>
  <c r="R305" i="4"/>
  <c r="S305" i="4"/>
  <c r="U305" i="4"/>
  <c r="L318" i="4"/>
  <c r="R318" i="4"/>
  <c r="U318" i="4"/>
  <c r="L319" i="4"/>
  <c r="R319" i="4"/>
  <c r="U319" i="4"/>
  <c r="R244" i="4"/>
  <c r="T208" i="4"/>
  <c r="S208" i="4"/>
  <c r="T193" i="4"/>
  <c r="S193" i="4"/>
  <c r="T227" i="4"/>
  <c r="U238" i="4"/>
  <c r="T238" i="4"/>
  <c r="S238" i="4"/>
  <c r="R238" i="4"/>
  <c r="J220" i="4"/>
  <c r="L220" i="4" s="1"/>
  <c r="J219" i="4"/>
  <c r="J1629" i="4" s="1"/>
  <c r="L277" i="4"/>
  <c r="R277" i="4"/>
  <c r="U277" i="4"/>
  <c r="L268" i="4"/>
  <c r="L228" i="4"/>
  <c r="L276" i="4"/>
  <c r="L275" i="4"/>
  <c r="L274" i="4"/>
  <c r="L273" i="4"/>
  <c r="L270" i="4"/>
  <c r="L279" i="4"/>
  <c r="L272" i="4"/>
  <c r="L261" i="4"/>
  <c r="L260" i="4"/>
  <c r="L259" i="4"/>
  <c r="L258" i="4"/>
  <c r="L271" i="4"/>
  <c r="L227" i="4"/>
  <c r="L252" i="4"/>
  <c r="L251" i="4"/>
  <c r="L257" i="4"/>
  <c r="L256" i="4"/>
  <c r="L458" i="4"/>
  <c r="L457" i="4"/>
  <c r="L456" i="4"/>
  <c r="L250" i="4"/>
  <c r="L249" i="4"/>
  <c r="L244" i="4"/>
  <c r="L246" i="4"/>
  <c r="L245" i="4"/>
  <c r="L234" i="4"/>
  <c r="L1100" i="4"/>
  <c r="L1023" i="4"/>
  <c r="L214" i="4"/>
  <c r="L231" i="4"/>
  <c r="L240" i="4"/>
  <c r="L215" i="4"/>
  <c r="L230" i="4"/>
  <c r="L269" i="4"/>
  <c r="U273" i="4"/>
  <c r="U458" i="4"/>
  <c r="U258" i="4"/>
  <c r="R458" i="4"/>
  <c r="R258" i="4"/>
  <c r="T258" i="4"/>
  <c r="T458" i="4"/>
  <c r="R456" i="4"/>
  <c r="R276" i="4"/>
  <c r="R275" i="4"/>
  <c r="R274" i="4"/>
  <c r="R249" i="4"/>
  <c r="U276" i="4"/>
  <c r="U275" i="4"/>
  <c r="U274" i="4"/>
  <c r="T275" i="4"/>
  <c r="T276" i="4"/>
  <c r="T274" i="4"/>
  <c r="S275" i="4"/>
  <c r="S276" i="4"/>
  <c r="S274" i="4"/>
  <c r="U456" i="4"/>
  <c r="T456" i="4"/>
  <c r="U233" i="4"/>
  <c r="T233" i="4"/>
  <c r="U457" i="4"/>
  <c r="T457" i="4"/>
  <c r="R457" i="4"/>
  <c r="T454" i="4"/>
  <c r="T455" i="4"/>
  <c r="R273" i="4"/>
  <c r="T273" i="4"/>
  <c r="S273" i="4"/>
  <c r="T261" i="4"/>
  <c r="S261" i="4"/>
  <c r="U270" i="4"/>
  <c r="T270" i="4"/>
  <c r="S270" i="4"/>
  <c r="R270" i="4"/>
  <c r="U271" i="4"/>
  <c r="T271" i="4"/>
  <c r="R271" i="4"/>
  <c r="U259" i="4"/>
  <c r="T259" i="4"/>
  <c r="S259" i="4"/>
  <c r="R259" i="4"/>
  <c r="T251" i="4"/>
  <c r="S251" i="4"/>
  <c r="T260" i="4"/>
  <c r="S260" i="4"/>
  <c r="J455" i="4"/>
  <c r="R455" i="4" s="1"/>
  <c r="J454" i="4"/>
  <c r="R260" i="4"/>
  <c r="U260" i="4"/>
  <c r="R261" i="4"/>
  <c r="U261" i="4"/>
  <c r="R251" i="4"/>
  <c r="U251" i="4"/>
  <c r="U252" i="4"/>
  <c r="R252" i="4"/>
  <c r="S252" i="4"/>
  <c r="T252" i="4"/>
  <c r="S272" i="4"/>
  <c r="R272" i="4"/>
  <c r="U272" i="4"/>
  <c r="S279" i="4"/>
  <c r="T279" i="4"/>
  <c r="R279" i="4"/>
  <c r="U279" i="4"/>
  <c r="S268" i="4"/>
  <c r="T268" i="4"/>
  <c r="S257" i="4"/>
  <c r="T257" i="4"/>
  <c r="S227" i="4"/>
  <c r="S256" i="4"/>
  <c r="T256" i="4"/>
  <c r="S269" i="4"/>
  <c r="T269" i="4"/>
  <c r="S246" i="4"/>
  <c r="T246" i="4"/>
  <c r="S249" i="4"/>
  <c r="T249" i="4"/>
  <c r="S250" i="4"/>
  <c r="T250" i="4"/>
  <c r="U246" i="4"/>
  <c r="U244" i="4"/>
  <c r="U249" i="4"/>
  <c r="U250" i="4"/>
  <c r="U256" i="4"/>
  <c r="U257" i="4"/>
  <c r="U227" i="4"/>
  <c r="U268" i="4"/>
  <c r="R245" i="4"/>
  <c r="R246" i="4"/>
  <c r="R250" i="4"/>
  <c r="R256" i="4"/>
  <c r="R257" i="4"/>
  <c r="R227" i="4"/>
  <c r="R268" i="4"/>
  <c r="R269" i="4"/>
  <c r="U269" i="4"/>
  <c r="T240" i="4"/>
  <c r="S240" i="4"/>
  <c r="S244" i="4"/>
  <c r="T244" i="4"/>
  <c r="S187" i="4"/>
  <c r="T187" i="4"/>
  <c r="T245" i="4"/>
  <c r="S245" i="4"/>
  <c r="T234" i="4"/>
  <c r="S234" i="4"/>
  <c r="S192" i="4"/>
  <c r="T192" i="4"/>
  <c r="T194" i="4"/>
  <c r="U178" i="4"/>
  <c r="T178" i="4"/>
  <c r="S178" i="4"/>
  <c r="R178" i="4"/>
  <c r="S237" i="4"/>
  <c r="T237" i="4"/>
  <c r="S226" i="4"/>
  <c r="S202" i="4"/>
  <c r="T226" i="4"/>
  <c r="T202" i="4"/>
  <c r="T161" i="4"/>
  <c r="T248" i="4"/>
  <c r="R248" i="4"/>
  <c r="T239" i="4"/>
  <c r="T224" i="4"/>
  <c r="T223" i="4"/>
  <c r="T247" i="4"/>
  <c r="T243" i="4"/>
  <c r="T241" i="4"/>
  <c r="T235" i="4"/>
  <c r="T232" i="4"/>
  <c r="T186" i="4"/>
  <c r="T205" i="4"/>
  <c r="T204" i="4"/>
  <c r="T203" i="4"/>
  <c r="S231" i="4"/>
  <c r="T231" i="4"/>
  <c r="S197" i="4"/>
  <c r="S228" i="4"/>
  <c r="T197" i="4"/>
  <c r="T228" i="4"/>
  <c r="S214" i="4"/>
  <c r="T191" i="4"/>
  <c r="S191" i="4"/>
  <c r="U197" i="4"/>
  <c r="U185" i="4"/>
  <c r="U161" i="4"/>
  <c r="U186" i="4"/>
  <c r="U187" i="4"/>
  <c r="U188" i="4"/>
  <c r="U192" i="4"/>
  <c r="U195" i="4"/>
  <c r="U194" i="4"/>
  <c r="U193" i="4"/>
  <c r="U200" i="4"/>
  <c r="U198" i="4"/>
  <c r="U228" i="4"/>
  <c r="U214" i="4"/>
  <c r="U215" i="4"/>
  <c r="U202" i="4"/>
  <c r="U203" i="4"/>
  <c r="U204" i="4"/>
  <c r="U205" i="4"/>
  <c r="U218" i="4"/>
  <c r="U199" i="4"/>
  <c r="U206" i="4"/>
  <c r="U201" i="4"/>
  <c r="U2" i="4"/>
  <c r="U1023" i="4"/>
  <c r="U210" i="4"/>
  <c r="U207" i="4"/>
  <c r="U208" i="4"/>
  <c r="U209" i="4"/>
  <c r="U211" i="4"/>
  <c r="U217" i="4"/>
  <c r="U212" i="4"/>
  <c r="U213" i="4"/>
  <c r="U216" i="4"/>
  <c r="U196" i="4"/>
  <c r="U222" i="4"/>
  <c r="U221" i="4"/>
  <c r="U327" i="4"/>
  <c r="U328" i="4"/>
  <c r="U232" i="4"/>
  <c r="U235" i="4"/>
  <c r="U241" i="4"/>
  <c r="U243" i="4"/>
  <c r="U247" i="4"/>
  <c r="U248" i="4"/>
  <c r="U223" i="4"/>
  <c r="U224" i="4"/>
  <c r="U226" i="4"/>
  <c r="U236" i="4"/>
  <c r="U237" i="4"/>
  <c r="U1100" i="4"/>
  <c r="U240" i="4"/>
  <c r="U239" i="4"/>
  <c r="U231" i="4"/>
  <c r="U234" i="4"/>
  <c r="U286" i="4"/>
  <c r="U287" i="4"/>
  <c r="U229" i="4"/>
  <c r="U245" i="4"/>
  <c r="U230" i="4"/>
  <c r="U191" i="4"/>
  <c r="R161" i="4"/>
  <c r="R186" i="4"/>
  <c r="S186" i="4" s="1"/>
  <c r="R187" i="4"/>
  <c r="R188" i="4"/>
  <c r="R192" i="4"/>
  <c r="R195" i="4"/>
  <c r="R194" i="4"/>
  <c r="R193" i="4"/>
  <c r="R200" i="4"/>
  <c r="R198" i="4"/>
  <c r="R228" i="4"/>
  <c r="R214" i="4"/>
  <c r="R215" i="4"/>
  <c r="R202" i="4"/>
  <c r="R203" i="4"/>
  <c r="S203" i="4" s="1"/>
  <c r="R204" i="4"/>
  <c r="S204" i="4" s="1"/>
  <c r="R205" i="4"/>
  <c r="S205" i="4" s="1"/>
  <c r="R218" i="4"/>
  <c r="R199" i="4"/>
  <c r="R206" i="4"/>
  <c r="R201" i="4"/>
  <c r="R2" i="4"/>
  <c r="R1023" i="4"/>
  <c r="R210" i="4"/>
  <c r="R207" i="4"/>
  <c r="R208" i="4"/>
  <c r="R209" i="4"/>
  <c r="S209" i="4" s="1"/>
  <c r="R211" i="4"/>
  <c r="R217" i="4"/>
  <c r="R212" i="4"/>
  <c r="R213" i="4"/>
  <c r="S213" i="4" s="1"/>
  <c r="R216" i="4"/>
  <c r="R196" i="4"/>
  <c r="R222" i="4"/>
  <c r="R221" i="4"/>
  <c r="R327" i="4"/>
  <c r="R328" i="4"/>
  <c r="R232" i="4"/>
  <c r="S232" i="4" s="1"/>
  <c r="R233" i="4"/>
  <c r="R235" i="4"/>
  <c r="S235" i="4" s="1"/>
  <c r="R241" i="4"/>
  <c r="S241" i="4" s="1"/>
  <c r="R243" i="4"/>
  <c r="S243" i="4" s="1"/>
  <c r="R247" i="4"/>
  <c r="S247" i="4" s="1"/>
  <c r="R223" i="4"/>
  <c r="R224" i="4"/>
  <c r="R225" i="4"/>
  <c r="R226" i="4"/>
  <c r="R236" i="4"/>
  <c r="R237" i="4"/>
  <c r="R1100" i="4"/>
  <c r="R240" i="4"/>
  <c r="R239" i="4"/>
  <c r="R231" i="4"/>
  <c r="R234" i="4"/>
  <c r="R286" i="4"/>
  <c r="R287" i="4"/>
  <c r="R229" i="4"/>
  <c r="R230" i="4"/>
  <c r="R197" i="4"/>
  <c r="R191" i="4"/>
  <c r="T236" i="4"/>
  <c r="T328" i="4"/>
  <c r="S236" i="4"/>
  <c r="T201" i="4"/>
  <c r="S201" i="4"/>
  <c r="T185" i="4"/>
  <c r="S185" i="4"/>
  <c r="R185" i="4"/>
  <c r="S327" i="4"/>
  <c r="T327" i="4"/>
  <c r="T221" i="4"/>
  <c r="T222" i="4"/>
  <c r="T196" i="4"/>
  <c r="S196" i="4"/>
  <c r="S217" i="4"/>
  <c r="T217" i="4"/>
  <c r="S211" i="4"/>
  <c r="T211" i="4"/>
  <c r="T210" i="4"/>
  <c r="T1023" i="4"/>
  <c r="S1023" i="4"/>
  <c r="T213" i="4"/>
  <c r="T209" i="4"/>
  <c r="S328" i="4"/>
  <c r="T2" i="4"/>
  <c r="S2" i="4"/>
  <c r="T230" i="4"/>
  <c r="S230" i="4"/>
  <c r="T216" i="4"/>
  <c r="S216" i="4"/>
  <c r="T212" i="4"/>
  <c r="S212" i="4"/>
  <c r="T206" i="4"/>
  <c r="S206" i="4"/>
  <c r="T207" i="4"/>
  <c r="S207" i="4"/>
  <c r="T199" i="4"/>
  <c r="S199" i="4"/>
  <c r="T218" i="4"/>
  <c r="S218" i="4"/>
  <c r="T215" i="4"/>
  <c r="S215" i="4"/>
  <c r="T214" i="4"/>
  <c r="T198" i="4"/>
  <c r="S198" i="4"/>
  <c r="T195" i="4"/>
  <c r="S195" i="4"/>
  <c r="T188" i="4"/>
  <c r="S188" i="4"/>
  <c r="K177" i="1"/>
  <c r="M177" i="1"/>
  <c r="K182" i="1"/>
  <c r="I182" i="1"/>
  <c r="M68" i="1"/>
  <c r="K68" i="1"/>
  <c r="M180" i="1"/>
  <c r="K180" i="1"/>
  <c r="M179" i="1"/>
  <c r="M178" i="1"/>
  <c r="K178" i="1"/>
  <c r="K179" i="1"/>
  <c r="M172" i="1"/>
  <c r="M173" i="1"/>
  <c r="M176" i="1"/>
  <c r="K172" i="1"/>
  <c r="M175" i="1"/>
  <c r="K175" i="1"/>
  <c r="K176" i="1"/>
  <c r="K173" i="1"/>
  <c r="M167" i="1"/>
  <c r="M101" i="1"/>
  <c r="M164" i="1"/>
  <c r="M169" i="1"/>
  <c r="M171" i="1"/>
  <c r="M174" i="1"/>
  <c r="M168" i="1"/>
  <c r="K174" i="1"/>
  <c r="I171" i="1"/>
  <c r="K171" i="1" s="1"/>
  <c r="K169" i="1"/>
  <c r="K168" i="1"/>
  <c r="M98" i="1"/>
  <c r="M163" i="1"/>
  <c r="M162" i="1"/>
  <c r="K101" i="1"/>
  <c r="K164" i="1"/>
  <c r="K98" i="1"/>
  <c r="K167" i="1"/>
  <c r="K162" i="1"/>
  <c r="K163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81" i="1"/>
  <c r="K181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M105" i="1"/>
  <c r="K105" i="1"/>
  <c r="M104" i="1"/>
  <c r="M103" i="1"/>
  <c r="K104" i="1"/>
  <c r="K103" i="1"/>
  <c r="M102" i="1"/>
  <c r="K102" i="1"/>
  <c r="M106" i="1"/>
  <c r="K106" i="1"/>
  <c r="M107" i="1"/>
  <c r="M108" i="1"/>
  <c r="M86" i="1"/>
  <c r="K86" i="1"/>
  <c r="K108" i="1"/>
  <c r="K107" i="1"/>
  <c r="K170" i="1"/>
  <c r="M165" i="1"/>
  <c r="M170" i="1"/>
  <c r="K165" i="1"/>
  <c r="M166" i="1"/>
  <c r="K166" i="1"/>
  <c r="M77" i="1"/>
  <c r="M83" i="1"/>
  <c r="M90" i="1"/>
  <c r="M70" i="1"/>
  <c r="M72" i="1"/>
  <c r="M79" i="1"/>
  <c r="M87" i="1"/>
  <c r="M84" i="1"/>
  <c r="M85" i="1"/>
  <c r="M88" i="1"/>
  <c r="M92" i="1"/>
  <c r="M91" i="1"/>
  <c r="M93" i="1"/>
  <c r="M94" i="1"/>
  <c r="M76" i="1"/>
  <c r="M97" i="1"/>
  <c r="M99" i="1"/>
  <c r="M96" i="1"/>
  <c r="M95" i="1"/>
  <c r="M89" i="1"/>
  <c r="K99" i="1"/>
  <c r="K76" i="1"/>
  <c r="K93" i="1"/>
  <c r="K96" i="1"/>
  <c r="K95" i="1"/>
  <c r="K97" i="1"/>
  <c r="K94" i="1"/>
  <c r="K91" i="1"/>
  <c r="K88" i="1"/>
  <c r="K92" i="1"/>
  <c r="K72" i="1"/>
  <c r="K70" i="1"/>
  <c r="K79" i="1"/>
  <c r="K90" i="1"/>
  <c r="K87" i="1"/>
  <c r="K84" i="1"/>
  <c r="K85" i="1"/>
  <c r="K83" i="1"/>
  <c r="K89" i="1"/>
  <c r="K77" i="1"/>
  <c r="M80" i="1"/>
  <c r="K80" i="1"/>
  <c r="M81" i="1"/>
  <c r="K81" i="1"/>
  <c r="M82" i="1"/>
  <c r="K82" i="1"/>
  <c r="M74" i="1"/>
  <c r="K74" i="1"/>
  <c r="M73" i="1"/>
  <c r="K73" i="1"/>
  <c r="M71" i="1"/>
  <c r="K71" i="1"/>
  <c r="M75" i="1"/>
  <c r="K75" i="1"/>
  <c r="M67" i="1"/>
  <c r="M57" i="1"/>
  <c r="M59" i="1"/>
  <c r="M78" i="1"/>
  <c r="M69" i="1"/>
  <c r="M58" i="1"/>
  <c r="M50" i="1"/>
  <c r="M60" i="1"/>
  <c r="M100" i="1"/>
  <c r="M61" i="1"/>
  <c r="K100" i="1"/>
  <c r="U1629" i="4" l="1"/>
  <c r="T1629" i="4"/>
  <c r="M6" i="7" s="1"/>
  <c r="V191" i="4"/>
  <c r="R219" i="4"/>
  <c r="R1629" i="4" s="1"/>
  <c r="M4" i="7" s="1"/>
  <c r="R454" i="4"/>
  <c r="V323" i="4"/>
  <c r="V321" i="4"/>
  <c r="T220" i="4"/>
  <c r="U220" i="4"/>
  <c r="V330" i="4"/>
  <c r="V320" i="4"/>
  <c r="V331" i="4"/>
  <c r="V272" i="4"/>
  <c r="V277" i="4"/>
  <c r="V319" i="4"/>
  <c r="V305" i="4"/>
  <c r="V307" i="4"/>
  <c r="V309" i="4"/>
  <c r="V288" i="4"/>
  <c r="V254" i="4"/>
  <c r="V281" i="4"/>
  <c r="V285" i="4"/>
  <c r="V283" i="4"/>
  <c r="V298" i="4"/>
  <c r="V300" i="4"/>
  <c r="V293" i="4"/>
  <c r="V292" i="4"/>
  <c r="V313" i="4"/>
  <c r="V315" i="4"/>
  <c r="V271" i="4"/>
  <c r="V275" i="4"/>
  <c r="V318" i="4"/>
  <c r="V308" i="4"/>
  <c r="V310" i="4"/>
  <c r="V282" i="4"/>
  <c r="V253" i="4"/>
  <c r="V255" i="4"/>
  <c r="V280" i="4"/>
  <c r="V284" i="4"/>
  <c r="V278" i="4"/>
  <c r="V289" i="4"/>
  <c r="V290" i="4"/>
  <c r="V299" i="4"/>
  <c r="V291" i="4"/>
  <c r="V294" i="4"/>
  <c r="V314" i="4"/>
  <c r="V276" i="4"/>
  <c r="V279" i="4"/>
  <c r="V456" i="4"/>
  <c r="V268" i="4"/>
  <c r="V273" i="4"/>
  <c r="V317" i="4"/>
  <c r="V457" i="4"/>
  <c r="V458" i="4"/>
  <c r="V274" i="4"/>
  <c r="V316" i="4"/>
  <c r="V312" i="4"/>
  <c r="R220" i="4"/>
  <c r="S220" i="4" s="1"/>
  <c r="L219" i="4"/>
  <c r="U219" i="4"/>
  <c r="T219" i="4"/>
  <c r="V269" i="4"/>
  <c r="V238" i="4"/>
  <c r="L455" i="4"/>
  <c r="L454" i="4"/>
  <c r="V258" i="4"/>
  <c r="V261" i="4"/>
  <c r="U455" i="4"/>
  <c r="V260" i="4"/>
  <c r="V251" i="4"/>
  <c r="S455" i="4"/>
  <c r="U454" i="4"/>
  <c r="S454" i="4"/>
  <c r="V249" i="4"/>
  <c r="V230" i="4"/>
  <c r="V256" i="4"/>
  <c r="V259" i="4"/>
  <c r="V270" i="4"/>
  <c r="V252" i="4"/>
  <c r="V229" i="4"/>
  <c r="V234" i="4"/>
  <c r="V227" i="4"/>
  <c r="V231" i="4"/>
  <c r="V1100" i="4"/>
  <c r="V245" i="4"/>
  <c r="V244" i="4"/>
  <c r="V257" i="4"/>
  <c r="V246" i="4"/>
  <c r="V250" i="4"/>
  <c r="V200" i="4"/>
  <c r="S223" i="4"/>
  <c r="V223" i="4" s="1"/>
  <c r="S224" i="4"/>
  <c r="V224" i="4" s="1"/>
  <c r="S239" i="4"/>
  <c r="V239" i="4" s="1"/>
  <c r="V232" i="4"/>
  <c r="V205" i="4"/>
  <c r="V186" i="4"/>
  <c r="V248" i="4"/>
  <c r="V204" i="4"/>
  <c r="V193" i="4"/>
  <c r="V161" i="4"/>
  <c r="V225" i="4"/>
  <c r="V233" i="4"/>
  <c r="V178" i="4"/>
  <c r="V235" i="4"/>
  <c r="V222" i="4"/>
  <c r="V208" i="4"/>
  <c r="V237" i="4"/>
  <c r="V243" i="4"/>
  <c r="V201" i="4"/>
  <c r="V215" i="4"/>
  <c r="V192" i="4"/>
  <c r="V221" i="4"/>
  <c r="V197" i="4"/>
  <c r="V240" i="4"/>
  <c r="V1023" i="4"/>
  <c r="V203" i="4"/>
  <c r="V194" i="4"/>
  <c r="V328" i="4"/>
  <c r="V217" i="4"/>
  <c r="V287" i="4"/>
  <c r="V241" i="4"/>
  <c r="V206" i="4"/>
  <c r="V188" i="4"/>
  <c r="V286" i="4"/>
  <c r="V226" i="4"/>
  <c r="V187" i="4"/>
  <c r="V236" i="4"/>
  <c r="V327" i="4"/>
  <c r="V211" i="4"/>
  <c r="V214" i="4"/>
  <c r="V199" i="4"/>
  <c r="V228" i="4"/>
  <c r="V218" i="4"/>
  <c r="V196" i="4"/>
  <c r="V207" i="4"/>
  <c r="V216" i="4"/>
  <c r="V210" i="4"/>
  <c r="V213" i="4"/>
  <c r="V198" i="4"/>
  <c r="V247" i="4"/>
  <c r="V212" i="4"/>
  <c r="V2" i="4"/>
  <c r="V202" i="4"/>
  <c r="V195" i="4"/>
  <c r="V185" i="4"/>
  <c r="V209" i="4"/>
  <c r="K69" i="1"/>
  <c r="K58" i="1"/>
  <c r="K59" i="1"/>
  <c r="K67" i="1"/>
  <c r="K57" i="1"/>
  <c r="K78" i="1"/>
  <c r="M65" i="1"/>
  <c r="M66" i="1"/>
  <c r="M64" i="1"/>
  <c r="K66" i="1"/>
  <c r="K65" i="1"/>
  <c r="K64" i="1"/>
  <c r="M63" i="1"/>
  <c r="K63" i="1"/>
  <c r="M62" i="1"/>
  <c r="K62" i="1"/>
  <c r="N52" i="2"/>
  <c r="O52" i="2"/>
  <c r="O51" i="2"/>
  <c r="N51" i="2"/>
  <c r="O48" i="2"/>
  <c r="N48" i="2"/>
  <c r="O45" i="2"/>
  <c r="N45" i="2"/>
  <c r="N44" i="2"/>
  <c r="O44" i="2"/>
  <c r="O39" i="2"/>
  <c r="N39" i="2"/>
  <c r="N36" i="2"/>
  <c r="O36" i="2"/>
  <c r="N35" i="2"/>
  <c r="N32" i="2"/>
  <c r="N25" i="2"/>
  <c r="N19" i="2"/>
  <c r="O35" i="2"/>
  <c r="O32" i="2"/>
  <c r="O25" i="2"/>
  <c r="O19" i="2"/>
  <c r="O15" i="2"/>
  <c r="N15" i="2"/>
  <c r="O13" i="2"/>
  <c r="O12" i="2"/>
  <c r="O10" i="2"/>
  <c r="N12" i="2"/>
  <c r="N10" i="2"/>
  <c r="O50" i="2"/>
  <c r="N50" i="2"/>
  <c r="N49" i="2"/>
  <c r="O49" i="2"/>
  <c r="N41" i="2"/>
  <c r="O41" i="2"/>
  <c r="O40" i="2"/>
  <c r="N40" i="2"/>
  <c r="O37" i="2"/>
  <c r="O28" i="2"/>
  <c r="O27" i="2"/>
  <c r="O23" i="2"/>
  <c r="N37" i="2"/>
  <c r="N28" i="2"/>
  <c r="N27" i="2"/>
  <c r="N23" i="2"/>
  <c r="O18" i="2"/>
  <c r="O17" i="2"/>
  <c r="N18" i="2"/>
  <c r="N17" i="2"/>
  <c r="O14" i="2"/>
  <c r="N14" i="2"/>
  <c r="O11" i="2"/>
  <c r="N11" i="2"/>
  <c r="O7" i="2"/>
  <c r="N7" i="2"/>
  <c r="O9" i="2"/>
  <c r="N9" i="2"/>
  <c r="N29" i="2"/>
  <c r="N24" i="2"/>
  <c r="O24" i="2"/>
  <c r="O29" i="2"/>
  <c r="O2" i="2"/>
  <c r="O47" i="2"/>
  <c r="O46" i="2"/>
  <c r="O43" i="2"/>
  <c r="O42" i="2"/>
  <c r="O38" i="2"/>
  <c r="O34" i="2"/>
  <c r="O33" i="2"/>
  <c r="O31" i="2"/>
  <c r="O30" i="2"/>
  <c r="O26" i="2"/>
  <c r="O22" i="2"/>
  <c r="O21" i="2"/>
  <c r="O20" i="2"/>
  <c r="O16" i="2"/>
  <c r="O8" i="2"/>
  <c r="N47" i="2"/>
  <c r="N46" i="2"/>
  <c r="N43" i="2"/>
  <c r="N42" i="2"/>
  <c r="N38" i="2"/>
  <c r="N34" i="2"/>
  <c r="N33" i="2"/>
  <c r="N31" i="2"/>
  <c r="N30" i="2"/>
  <c r="N26" i="2"/>
  <c r="N22" i="2"/>
  <c r="N21" i="2"/>
  <c r="N20" i="2"/>
  <c r="N16" i="2"/>
  <c r="N8" i="2"/>
  <c r="N6" i="2"/>
  <c r="O6" i="2"/>
  <c r="O5" i="2"/>
  <c r="N5" i="2"/>
  <c r="O4" i="2"/>
  <c r="N4" i="2"/>
  <c r="O3" i="2"/>
  <c r="N3" i="2"/>
  <c r="P3" i="2"/>
  <c r="P4" i="2"/>
  <c r="P5" i="2"/>
  <c r="P6" i="2"/>
  <c r="P7" i="2"/>
  <c r="P8" i="2"/>
  <c r="P9" i="2"/>
  <c r="P51" i="2"/>
  <c r="P11" i="2"/>
  <c r="P39" i="2"/>
  <c r="P36" i="2"/>
  <c r="P14" i="2"/>
  <c r="P48" i="2"/>
  <c r="P16" i="2"/>
  <c r="P17" i="2"/>
  <c r="P18" i="2"/>
  <c r="P52" i="2"/>
  <c r="P20" i="2"/>
  <c r="P21" i="2"/>
  <c r="P22" i="2"/>
  <c r="P40" i="2"/>
  <c r="P24" i="2"/>
  <c r="P15" i="2"/>
  <c r="P26" i="2"/>
  <c r="P41" i="2"/>
  <c r="P49" i="2"/>
  <c r="P29" i="2"/>
  <c r="P30" i="2"/>
  <c r="P31" i="2"/>
  <c r="P10" i="2"/>
  <c r="P33" i="2"/>
  <c r="P34" i="2"/>
  <c r="P13" i="2"/>
  <c r="P19" i="2"/>
  <c r="P23" i="2"/>
  <c r="P38" i="2"/>
  <c r="P25" i="2"/>
  <c r="P27" i="2"/>
  <c r="P28" i="2"/>
  <c r="P42" i="2"/>
  <c r="P43" i="2"/>
  <c r="P32" i="2"/>
  <c r="P35" i="2"/>
  <c r="P46" i="2"/>
  <c r="P47" i="2"/>
  <c r="P12" i="2"/>
  <c r="P37" i="2"/>
  <c r="P50" i="2"/>
  <c r="P45" i="2"/>
  <c r="P44" i="2"/>
  <c r="P2" i="2"/>
  <c r="M37" i="2"/>
  <c r="M52" i="2"/>
  <c r="M3" i="2"/>
  <c r="M4" i="2"/>
  <c r="M5" i="2"/>
  <c r="M6" i="2"/>
  <c r="M7" i="2"/>
  <c r="M8" i="2"/>
  <c r="M9" i="2"/>
  <c r="M51" i="2"/>
  <c r="M11" i="2"/>
  <c r="M39" i="2"/>
  <c r="M36" i="2"/>
  <c r="M14" i="2"/>
  <c r="M48" i="2"/>
  <c r="M16" i="2"/>
  <c r="M17" i="2"/>
  <c r="M18" i="2"/>
  <c r="M20" i="2"/>
  <c r="M21" i="2"/>
  <c r="M22" i="2"/>
  <c r="M40" i="2"/>
  <c r="M24" i="2"/>
  <c r="M15" i="2"/>
  <c r="M26" i="2"/>
  <c r="M41" i="2"/>
  <c r="M49" i="2"/>
  <c r="M29" i="2"/>
  <c r="M30" i="2"/>
  <c r="M31" i="2"/>
  <c r="M10" i="2"/>
  <c r="M33" i="2"/>
  <c r="M34" i="2"/>
  <c r="M13" i="2"/>
  <c r="M19" i="2"/>
  <c r="M23" i="2"/>
  <c r="M38" i="2"/>
  <c r="M25" i="2"/>
  <c r="M27" i="2"/>
  <c r="M28" i="2"/>
  <c r="M42" i="2"/>
  <c r="M43" i="2"/>
  <c r="M32" i="2"/>
  <c r="M35" i="2"/>
  <c r="M46" i="2"/>
  <c r="M47" i="2"/>
  <c r="M12" i="2"/>
  <c r="M50" i="2"/>
  <c r="M45" i="2"/>
  <c r="M44" i="2"/>
  <c r="M2" i="2"/>
  <c r="B4" i="7" l="1"/>
  <c r="B2" i="34"/>
  <c r="S219" i="4"/>
  <c r="S1629" i="4" s="1"/>
  <c r="M5" i="7" s="1"/>
  <c r="V220" i="4"/>
  <c r="V455" i="4"/>
  <c r="V454" i="4"/>
  <c r="Q12" i="2"/>
  <c r="Q10" i="2"/>
  <c r="Q25" i="2"/>
  <c r="Q48" i="2"/>
  <c r="Q17" i="2"/>
  <c r="Q45" i="2"/>
  <c r="Q15" i="2"/>
  <c r="Q28" i="2"/>
  <c r="Q51" i="2"/>
  <c r="Q16" i="2"/>
  <c r="Q27" i="2"/>
  <c r="Q50" i="2"/>
  <c r="Q40" i="2"/>
  <c r="Q37" i="2"/>
  <c r="Q18" i="2"/>
  <c r="Q7" i="2"/>
  <c r="Q9" i="2"/>
  <c r="Q32" i="2"/>
  <c r="Q49" i="2"/>
  <c r="Q20" i="2"/>
  <c r="Q46" i="2"/>
  <c r="Q30" i="2"/>
  <c r="Q14" i="2"/>
  <c r="Q38" i="2"/>
  <c r="Q11" i="2"/>
  <c r="Q3" i="2"/>
  <c r="Q13" i="2"/>
  <c r="Q41" i="2"/>
  <c r="Q52" i="2"/>
  <c r="Q24" i="2"/>
  <c r="Q19" i="2"/>
  <c r="Q31" i="2"/>
  <c r="Q36" i="2"/>
  <c r="Q35" i="2"/>
  <c r="Q23" i="2"/>
  <c r="Q29" i="2"/>
  <c r="Q39" i="2"/>
  <c r="Q44" i="2"/>
  <c r="Q34" i="2"/>
  <c r="Q2" i="2"/>
  <c r="Q26" i="2"/>
  <c r="Q43" i="2"/>
  <c r="Q8" i="2"/>
  <c r="Q33" i="2"/>
  <c r="Q47" i="2"/>
  <c r="Q22" i="2"/>
  <c r="Q21" i="2"/>
  <c r="Q42" i="2"/>
  <c r="Q6" i="2"/>
  <c r="O54" i="2"/>
  <c r="Q5" i="2"/>
  <c r="Q4" i="2"/>
  <c r="N54" i="2"/>
  <c r="P54" i="2"/>
  <c r="M54" i="2"/>
  <c r="V219" i="4" l="1"/>
  <c r="Q54" i="2"/>
  <c r="M18" i="1"/>
  <c r="M19" i="1"/>
  <c r="M20" i="1"/>
  <c r="M21" i="1"/>
  <c r="M22" i="1"/>
  <c r="M23" i="1"/>
  <c r="M24" i="1"/>
  <c r="M25" i="1"/>
  <c r="M26" i="1"/>
  <c r="M28" i="1"/>
  <c r="M29" i="1"/>
  <c r="M30" i="1"/>
  <c r="M31" i="1"/>
  <c r="M32" i="1"/>
  <c r="M33" i="1"/>
  <c r="M34" i="1"/>
  <c r="M35" i="1"/>
  <c r="M36" i="1"/>
  <c r="M37" i="1"/>
  <c r="M16" i="1"/>
  <c r="K20" i="1"/>
  <c r="K21" i="1"/>
  <c r="K22" i="1"/>
  <c r="K23" i="1"/>
  <c r="K24" i="1"/>
  <c r="I19" i="1"/>
  <c r="K19" i="1" s="1"/>
  <c r="K30" i="1"/>
  <c r="K29" i="1"/>
  <c r="I16" i="1"/>
  <c r="K16" i="1" s="1"/>
  <c r="I34" i="1"/>
  <c r="K34" i="1" s="1"/>
  <c r="I35" i="1"/>
  <c r="K35" i="1" s="1"/>
  <c r="K18" i="1"/>
  <c r="K25" i="1"/>
  <c r="K26" i="1"/>
  <c r="K28" i="1"/>
  <c r="K31" i="1"/>
  <c r="K32" i="1"/>
  <c r="K33" i="1"/>
  <c r="I36" i="1"/>
  <c r="K36" i="1" s="1"/>
  <c r="K37" i="1"/>
  <c r="M55" i="1"/>
  <c r="M56" i="1"/>
  <c r="K55" i="1"/>
  <c r="K56" i="1"/>
  <c r="M54" i="1"/>
  <c r="K54" i="1"/>
  <c r="M44" i="1"/>
  <c r="K44" i="1"/>
  <c r="M52" i="1"/>
  <c r="K52" i="1"/>
  <c r="M51" i="1"/>
  <c r="M49" i="1"/>
  <c r="M47" i="1"/>
  <c r="M48" i="1"/>
  <c r="M46" i="1"/>
  <c r="M45" i="1"/>
  <c r="M43" i="1"/>
  <c r="M42" i="1"/>
  <c r="M41" i="1"/>
  <c r="M39" i="1"/>
  <c r="M40" i="1"/>
  <c r="M38" i="1"/>
  <c r="K39" i="1"/>
  <c r="K41" i="1"/>
  <c r="K42" i="1"/>
  <c r="K43" i="1"/>
  <c r="K45" i="1"/>
  <c r="K46" i="1"/>
  <c r="K48" i="1"/>
  <c r="K47" i="1"/>
  <c r="K50" i="1"/>
  <c r="K49" i="1"/>
  <c r="K51" i="1"/>
  <c r="I40" i="1"/>
  <c r="K40" i="1" s="1"/>
  <c r="M17" i="1"/>
  <c r="M13" i="1"/>
  <c r="M15" i="1"/>
  <c r="M11" i="1"/>
  <c r="M14" i="1"/>
  <c r="M12" i="1"/>
  <c r="M10" i="1"/>
  <c r="M9" i="1"/>
  <c r="M8" i="1"/>
  <c r="M27" i="1"/>
  <c r="M7" i="1"/>
  <c r="M6" i="1"/>
  <c r="M5" i="1"/>
  <c r="M4" i="1"/>
  <c r="M53" i="1"/>
  <c r="M3" i="1"/>
  <c r="M2" i="1"/>
  <c r="K53" i="1"/>
  <c r="K2" i="1"/>
  <c r="K3" i="1"/>
  <c r="K4" i="1"/>
  <c r="K5" i="1"/>
  <c r="K6" i="1"/>
  <c r="K7" i="1"/>
  <c r="K27" i="1"/>
  <c r="K8" i="1"/>
  <c r="K9" i="1"/>
  <c r="K10" i="1"/>
  <c r="K12" i="1"/>
  <c r="K14" i="1"/>
  <c r="K11" i="1"/>
  <c r="K15" i="1"/>
  <c r="K13" i="1"/>
  <c r="K17" i="1"/>
  <c r="K38" i="1"/>
  <c r="K61" i="1"/>
  <c r="K60" i="1"/>
  <c r="M7" i="7" l="1"/>
  <c r="M8" i="7" s="1"/>
  <c r="V1629" i="4"/>
  <c r="L18" i="4"/>
  <c r="L1629" i="4" s="1"/>
  <c r="B4" i="34" l="1"/>
  <c r="D4" i="7"/>
  <c r="C4" i="7"/>
  <c r="B3" i="34"/>
  <c r="D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tc={E91BC88C-CDDD-4D7F-AB11-A899AC2F4F0C}</author>
    <author>tc={0561A7A8-658A-4567-B0D1-78173639C9F4}</author>
    <author>tc={BE086A55-60E4-4FE5-8328-6BAE0F761C95}</author>
    <author>tc={CC83B0F1-4AC0-4B17-A81D-613731B85DEC}</author>
    <author>tc={C9FB560F-9119-438D-ACC6-89D3433FC592}</author>
    <author>tc={A7552384-173D-43B0-A537-1D85C61A7CB5}</author>
    <author>tc={65B34AB1-6A70-45F9-922A-3538E930E37B}</author>
    <author>tc={C4ADBCE1-BE7C-4D6D-8E61-5780F1194C38}</author>
    <author>tc={92F52183-D1EE-4974-B572-0CED31B0E377}</author>
    <author>tc={E8241E04-DB81-4626-A236-5669F56E0705}</author>
    <author>tc={4C4E7272-DF2E-4378-A344-54DD27E7A297}</author>
    <author>tc={014F1ED6-467F-407F-8E72-974A20303EAD}</author>
    <author>tc={064BAD4C-6BA2-497A-BF4D-AAE92C4876C4}</author>
    <author>tc={5A24B59C-29C4-4F1F-BCF0-ED1C4A3B5510}</author>
    <author>tc={63925900-19F8-44F3-A568-D7C73BAA3C74}</author>
    <author>tc={788CA651-79E9-4FF3-BAEC-4C1F506FAAA9}</author>
    <author>tc={8704C623-5EB8-4F81-B3FE-9C13B6241014}</author>
    <author>tc={6A27F566-B60D-4334-9252-C44580B198F6}</author>
    <author>tc={24F558B3-3A76-451B-A6C3-33FFAA26567F}</author>
    <author>tc={7ECBD855-D94A-4257-9E58-08A45AF8A4AB}</author>
    <author>tc={278D3B7D-AEC2-4C88-AADB-41C6A07E202B}</author>
    <author>tc={4CD6EFBD-9C39-4BA1-B370-E2EE494A6B41}</author>
    <author>tc={E35FF6E8-FB20-4C2B-A58B-DAA3FDF99120}</author>
    <author>tc={BB514BD6-44B1-470C-981C-851CCB3893D1}</author>
    <author>tc={1F124BE0-0B7D-47E8-846D-4CB9CD465E4B}</author>
    <author>tc={2A8FF3D8-5598-4CCF-8ED0-8F771F3D1D32}</author>
  </authors>
  <commentList>
    <comment ref="J905" authorId="0" shapeId="0" xr:uid="{E91BC88C-CDDD-4D7F-AB11-A899AC2F4F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Quantidade de polos no pedido= 19  un. Voltaram as 17, para fazer uma arte na camiseta, fazem parte das brancas.</t>
      </text>
    </comment>
    <comment ref="J906" authorId="1" shapeId="0" xr:uid="{0561A7A8-658A-4567-B0D1-78173639C9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Quantidade de camisetas no pedido= 85 un. Voltaram 22, para fazer uma arte na camiseta, fazem parte das brancas.</t>
      </text>
    </comment>
    <comment ref="J957" authorId="2" shapeId="0" xr:uid="{BE086A55-60E4-4FE5-8328-6BAE0F761C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1000 UNIDADES; FALTAM 250 PARA PRODUÇÃO</t>
      </text>
    </comment>
    <comment ref="J973" authorId="3" shapeId="0" xr:uid="{CC83B0F1-4AC0-4B17-A81D-613731B85DE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ENTREGUE 50/100 UN - 05/12/2025
</t>
      </text>
    </comment>
    <comment ref="J1001" authorId="4" shapeId="0" xr:uid="{C9FB560F-9119-438D-ACC6-89D3433FC5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11/12/2025 - 100 sacolas, 2 cx de 8,72 kg</t>
      </text>
    </comment>
    <comment ref="J1020" authorId="5" shapeId="0" xr:uid="{A7552384-173D-43B0-A537-1D85C61A7CB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Enviado 200 peças - 07/01/2026
Pedido pronto 08/01 </t>
      </text>
    </comment>
    <comment ref="J1068" authorId="6" shapeId="0" xr:uid="{65B34AB1-6A70-45F9-922A-3538E930E3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500 UNIDADES ENTREGUE 26/01
Responder:
    500 UNIDADES PRONTAS 04/02</t>
      </text>
    </comment>
    <comment ref="J1108" authorId="7" shapeId="0" xr:uid="{C4ADBCE1-BE7C-4D6D-8E61-5780F1194C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ENTREGUE 27/03 344 DE 500 UNIDADES.
Finalizado dia 08/04</t>
      </text>
    </comment>
    <comment ref="J1146" authorId="8" shapeId="0" xr:uid="{92F52183-D1EE-4974-B572-0CED31B0E37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Entregue 268 unidades do pedido de 300 Un - 25/03
</t>
      </text>
    </comment>
    <comment ref="B1159" authorId="9" shapeId="0" xr:uid="{E8241E04-DB81-4626-A236-5669F56E07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NUMERO DE ORÇAMENTO</t>
      </text>
    </comment>
    <comment ref="J1159" authorId="10" shapeId="0" xr:uid="{4C4E7272-DF2E-4378-A344-54DD27E7A2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Enviado 500 unidades 25/03
Enviado 720 unidades 10/04</t>
      </text>
    </comment>
    <comment ref="J1188" authorId="11" shapeId="0" xr:uid="{014F1ED6-467F-407F-8E72-974A20303E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Pedido: 5000 unidades - entregue 3000 em 20/03
Responder:
    Entregue 1750 unidades dia 04/04</t>
      </text>
    </comment>
    <comment ref="J1189" authorId="12" shapeId="0" xr:uid="{064BAD4C-6BA2-497A-BF4D-AAE92C4876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SEMANA 13 - ENTREGUE 800 UNIDADES; 400 PRA SP E 400 PRO RJ
Responder:
    Entregue 1000 unidades, em 04/04</t>
      </text>
    </comment>
    <comment ref="J1194" authorId="13" shapeId="0" xr:uid="{5A24B59C-29C4-4F1F-BCF0-ED1C4A3B551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ENTREGUE 392 UNIDADES 23/04/2026
</t>
      </text>
    </comment>
    <comment ref="J1195" authorId="14" shapeId="0" xr:uid="{63925900-19F8-44F3-A568-D7C73BAA3C7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ENTREGUE 391 UNIDADES 23/04/2026
</t>
      </text>
    </comment>
    <comment ref="J1207" authorId="15" shapeId="0" xr:uid="{788CA651-79E9-4FF3-BAEC-4C1F506FAA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146 UNIDADES ENVIADAS POR SEDEX 30/03/2026
Responder:
    8 UNIDADES ENVIADAS 09/04/2026</t>
      </text>
    </comment>
    <comment ref="J1219" authorId="16" shapeId="0" xr:uid="{8704C623-5EB8-4F81-B3FE-9C13B62410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ENTREGUE 180 UNIDADES DIA 14/04/2026</t>
      </text>
    </comment>
    <comment ref="J1243" authorId="17" shapeId="0" xr:uid="{6A27F566-B60D-4334-9252-C44580B198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Enviadas 2000 - 
Faltam 10.000
Responder:
    Enviados 10.000 17/04</t>
      </text>
    </comment>
    <comment ref="J1250" authorId="18" shapeId="0" xr:uid="{24F558B3-3A76-451B-A6C3-33FFAA2656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ENTREGUE 54 UNIDADES - 29/04
ENTREGUE 50 UNIDADES - 30/04</t>
      </text>
    </comment>
    <comment ref="J1257" authorId="19" shapeId="0" xr:uid="{7ECBD855-D94A-4257-9E58-08A45AF8A4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Entregue 55 unidades dia 11/04</t>
      </text>
    </comment>
    <comment ref="B1268" authorId="20" shapeId="0" xr:uid="{278D3B7D-AEC2-4C88-AADB-41C6A07E20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NUMERO DE ORÇAMENTO</t>
      </text>
    </comment>
    <comment ref="B1282" authorId="21" shapeId="0" xr:uid="{4CD6EFBD-9C39-4BA1-B370-E2EE494A6B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NUMERO DE ORÇAMENTO</t>
      </text>
    </comment>
    <comment ref="J1299" authorId="22" shapeId="0" xr:uid="{E35FF6E8-FB20-4C2B-A58B-DAA3FDF991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QUANTIDADE ENVIADA PRIMEIRA REMESSA 2000 UNIDADES; SEGUNDA REMESSA 1000 UNIDADES</t>
      </text>
    </comment>
    <comment ref="J1565" authorId="23" shapeId="0" xr:uid="{BB514BD6-44B1-470C-981C-851CCB3893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200 ENTREGUES NA FRENTE</t>
      </text>
    </comment>
    <comment ref="J1566" authorId="24" shapeId="0" xr:uid="{1F124BE0-0B7D-47E8-846D-4CB9CD465E4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ENTREGAR 500 NA FRENTE
</t>
      </text>
    </comment>
    <comment ref="M1574" authorId="25" shapeId="0" xr:uid="{2A8FF3D8-5598-4CCF-8ED0-8F771F3D1D3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Pago 50% 07-08-2026
</t>
      </text>
    </comment>
  </commentList>
</comments>
</file>

<file path=xl/sharedStrings.xml><?xml version="1.0" encoding="utf-8"?>
<sst xmlns="http://schemas.openxmlformats.org/spreadsheetml/2006/main" count="15922" uniqueCount="1099">
  <si>
    <t xml:space="preserve">VENDEDOR </t>
  </si>
  <si>
    <t xml:space="preserve">DATA DE ENTRADA </t>
  </si>
  <si>
    <t>GRUPO DE CLIENTE</t>
  </si>
  <si>
    <t>PEDIDO</t>
  </si>
  <si>
    <t>CLIENTE</t>
  </si>
  <si>
    <t>PRODUTO</t>
  </si>
  <si>
    <t>GRUPO</t>
  </si>
  <si>
    <t>LINHA</t>
  </si>
  <si>
    <t xml:space="preserve">QUANTIDADE </t>
  </si>
  <si>
    <t>PREÇO UNITARIO</t>
  </si>
  <si>
    <t xml:space="preserve">TOTAL </t>
  </si>
  <si>
    <t>DATA DE ENTREGA</t>
  </si>
  <si>
    <t>STATUS</t>
  </si>
  <si>
    <t xml:space="preserve">DATA DE SAIDA </t>
  </si>
  <si>
    <t xml:space="preserve">MATERIA PRIMA </t>
  </si>
  <si>
    <t>CORTE</t>
  </si>
  <si>
    <t>SILK</t>
  </si>
  <si>
    <t>COSTURA</t>
  </si>
  <si>
    <t>EMBALAGEM</t>
  </si>
  <si>
    <t xml:space="preserve">NF </t>
  </si>
  <si>
    <t>ENTREGA</t>
  </si>
  <si>
    <t xml:space="preserve">LETICIA </t>
  </si>
  <si>
    <t xml:space="preserve">COSMÉTICO </t>
  </si>
  <si>
    <t xml:space="preserve">GARDEN INDUSTRIA </t>
  </si>
  <si>
    <t xml:space="preserve">CAPA DE CORTE CETIM 1,47A X 1,20L SUBLIMADA COM ZIPER </t>
  </si>
  <si>
    <t xml:space="preserve">CAPA </t>
  </si>
  <si>
    <t xml:space="preserve">LEVE </t>
  </si>
  <si>
    <t xml:space="preserve">FALTA 54 PEÇAS </t>
  </si>
  <si>
    <t>OK</t>
  </si>
  <si>
    <t>ENTREGUE</t>
  </si>
  <si>
    <t xml:space="preserve">NB COSMÉTICOS (D BIANCO) </t>
  </si>
  <si>
    <t xml:space="preserve">KIMONO CETIM - TAM ÚNICO </t>
  </si>
  <si>
    <t xml:space="preserve">KIMONO </t>
  </si>
  <si>
    <t xml:space="preserve">PET </t>
  </si>
  <si>
    <t xml:space="preserve">PETCO CLEAN &amp; CARE (PETCO) </t>
  </si>
  <si>
    <t xml:space="preserve">CAMISETA POLO MALHA PIQUET </t>
  </si>
  <si>
    <t xml:space="preserve">CAMISETA </t>
  </si>
  <si>
    <t xml:space="preserve">JALECO MICROFIBRA COM TAFETA- PETCO </t>
  </si>
  <si>
    <t>JALECO</t>
  </si>
  <si>
    <t>CONSUMIDOR FINAL</t>
  </si>
  <si>
    <t xml:space="preserve">NOEME SERRA PAIXÃO </t>
  </si>
  <si>
    <t xml:space="preserve">SACOLA NYLON 600 42L X 32A X 20 FOLY COM DIVISORIA </t>
  </si>
  <si>
    <t xml:space="preserve">SACOLA </t>
  </si>
  <si>
    <t xml:space="preserve">AMBAS </t>
  </si>
  <si>
    <t>CHEMVET (PETSPA)</t>
  </si>
  <si>
    <t xml:space="preserve">JALECO MICROFIBRA COM TAFETA- PETSPA </t>
  </si>
  <si>
    <t>LEVE</t>
  </si>
  <si>
    <t xml:space="preserve">FLORA DISTRIBUIDORA </t>
  </si>
  <si>
    <t xml:space="preserve">CAMISETA MALHA PV GOLA CARECA </t>
  </si>
  <si>
    <t>DUO INDUSTRIA (KPRO)</t>
  </si>
  <si>
    <t>AVENTAL GABARDINE MODELO PADRÃO</t>
  </si>
  <si>
    <t>AVENTAL</t>
  </si>
  <si>
    <t xml:space="preserve">M.D BOSO PROHALL </t>
  </si>
  <si>
    <t xml:space="preserve">CAMISETA GOLA CARECA MALHA PV </t>
  </si>
  <si>
    <t>ok</t>
  </si>
  <si>
    <t>EDITORA</t>
  </si>
  <si>
    <t xml:space="preserve">EDITORA RECORD </t>
  </si>
  <si>
    <t>SACOLA ALGODÃO CRU 35L X 40A</t>
  </si>
  <si>
    <t>BR COSMETIC</t>
  </si>
  <si>
    <t xml:space="preserve">NECESSAIRE MALETA CRISTAL COLORIDO </t>
  </si>
  <si>
    <t>NECESSAIRE</t>
  </si>
  <si>
    <t>PESADA</t>
  </si>
  <si>
    <t>DANIELE</t>
  </si>
  <si>
    <t xml:space="preserve">FILO COSMETICOS </t>
  </si>
  <si>
    <t xml:space="preserve">NECESSAIRE CRISTAL COM VIES </t>
  </si>
  <si>
    <t xml:space="preserve">VET RIO </t>
  </si>
  <si>
    <t xml:space="preserve">AVENTAL SEMI IMPERMEAVEL </t>
  </si>
  <si>
    <t xml:space="preserve">AVENTAL OXFORD MODELO PADRÃO </t>
  </si>
  <si>
    <t>HAVANNA</t>
  </si>
  <si>
    <t>DOCES E DOCES (HAVANNA PRAIA DE BELLAS)</t>
  </si>
  <si>
    <t xml:space="preserve">CAMISETA GOLA CARECA MALHA 100% ALGODÃO </t>
  </si>
  <si>
    <t xml:space="preserve">KOOSMETICS (EXO) </t>
  </si>
  <si>
    <t xml:space="preserve">NECESSSAIRE CRISTAL 30A X 16L X 10 - EXO </t>
  </si>
  <si>
    <t>CAMISETA FEMININA MALHA 100% ALGODÃO MANGA LONGA</t>
  </si>
  <si>
    <t>CAMISETA</t>
  </si>
  <si>
    <t>ZF ALIMENTOS (HAVANNA MARILIA)</t>
  </si>
  <si>
    <t>BABY LOOK FEMININA MALHA 100% ALGODÃO</t>
  </si>
  <si>
    <t xml:space="preserve">CALÇA LEGGIN SUPLEX </t>
  </si>
  <si>
    <t xml:space="preserve">CALÇA </t>
  </si>
  <si>
    <t>FAIXA PARA CABELO TORCIDA</t>
  </si>
  <si>
    <t>FAIXA</t>
  </si>
  <si>
    <t>CAMISETA  MALHA 100% ALGODÃO MANGA LONGA</t>
  </si>
  <si>
    <t>BAMBU BRASIL(ESSENCIA PET)</t>
  </si>
  <si>
    <t xml:space="preserve">AVENTAL PET NY IMPERMEAVEL COM VIES </t>
  </si>
  <si>
    <t>DRL CAFETERIA (HAVANNA INDAIATUBA)</t>
  </si>
  <si>
    <t xml:space="preserve">CAMISETA  GOLA CARECA MALHA 100% ALGODÃO </t>
  </si>
  <si>
    <t>JL COMERCIO DE ALIMENTOS (HAVANNA)</t>
  </si>
  <si>
    <t>CAMISETA GOLA CARECA 100% ALGODÃO</t>
  </si>
  <si>
    <t xml:space="preserve">BABY LOOK FEMININA MALHA 100% ALGODÃO </t>
  </si>
  <si>
    <t xml:space="preserve">ECO COSMETICOS </t>
  </si>
  <si>
    <t>AVENTAL NYLON EMBORRACHADO COR VERDE</t>
  </si>
  <si>
    <t>PET SOCIETY</t>
  </si>
  <si>
    <t xml:space="preserve">AVENTAL NYLON EMBORRACHADO CA 45.305-HYDRA </t>
  </si>
  <si>
    <t xml:space="preserve">EDITORA GALERA </t>
  </si>
  <si>
    <t>SAQUINHO ALGODÃO</t>
  </si>
  <si>
    <t>SACO</t>
  </si>
  <si>
    <t xml:space="preserve">FLORACTIVE </t>
  </si>
  <si>
    <t xml:space="preserve">EAE COSMETICOS </t>
  </si>
  <si>
    <t>INDUSTRIA</t>
  </si>
  <si>
    <t xml:space="preserve">GIRARDI CONFECCAO </t>
  </si>
  <si>
    <t>MANU PET STORE</t>
  </si>
  <si>
    <t xml:space="preserve">BARBEARIA </t>
  </si>
  <si>
    <t xml:space="preserve">DONA NAVALHA BARBEARIA </t>
  </si>
  <si>
    <t xml:space="preserve">CAPA DE CORTE TACTEL </t>
  </si>
  <si>
    <t xml:space="preserve">GABONI </t>
  </si>
  <si>
    <t xml:space="preserve">NESTING </t>
  </si>
  <si>
    <t xml:space="preserve">ETIQUETA ALGODÃO CRU </t>
  </si>
  <si>
    <t xml:space="preserve">ETIQUETA </t>
  </si>
  <si>
    <t>PLATOLANDIA</t>
  </si>
  <si>
    <t xml:space="preserve">AVENTAL NY EMBORRACHADO 5 BOLSOS </t>
  </si>
  <si>
    <t>LDM PELONCIO PET</t>
  </si>
  <si>
    <t xml:space="preserve">HRT COSMETICOS (MERLOT) </t>
  </si>
  <si>
    <t>CAPA DE CORTE CETIM 0,85 X 1,40</t>
  </si>
  <si>
    <t xml:space="preserve">PETNOR </t>
  </si>
  <si>
    <t xml:space="preserve">AVENTAL VINTAGE </t>
  </si>
  <si>
    <t xml:space="preserve">MUNDIAL COSMETICOS </t>
  </si>
  <si>
    <t>NECESSAIRE MALETA</t>
  </si>
  <si>
    <t>VOICER STORE COMERCIO E SERVIÇOS</t>
  </si>
  <si>
    <t>NECESSAIRE NY PLASTIFICADO PEQUENA 22L X 17A X 5</t>
  </si>
  <si>
    <t>NECESSAIRE NY PLASTIFICADO GRANDE 26L X 20A X 9</t>
  </si>
  <si>
    <t xml:space="preserve">VAI VIVER </t>
  </si>
  <si>
    <t>FALTA MATERIAL</t>
  </si>
  <si>
    <t xml:space="preserve">NECESSAIRE NYLON PLASTIFICADO COM ZIPER </t>
  </si>
  <si>
    <t xml:space="preserve">SACOCHILA NYLON EMBORRACHADO </t>
  </si>
  <si>
    <t>DOLCE PET (SOLUTION)</t>
  </si>
  <si>
    <t xml:space="preserve">JALECO GROOMER MICROFIBRA </t>
  </si>
  <si>
    <t>A GILISE COSMETICOS</t>
  </si>
  <si>
    <t>CAPA DE CETIM 0,85 X 1,40</t>
  </si>
  <si>
    <t xml:space="preserve">LUNIX COMERCIO </t>
  </si>
  <si>
    <t xml:space="preserve">BUBBLES PETS </t>
  </si>
  <si>
    <t>CAPA DE CORTE 1,40 X 1,50</t>
  </si>
  <si>
    <t xml:space="preserve">DAVENNE </t>
  </si>
  <si>
    <t xml:space="preserve">XUXINHA DE CETIM </t>
  </si>
  <si>
    <t>XUXINHA</t>
  </si>
  <si>
    <t>MARCEARIA (MUSKINHA)</t>
  </si>
  <si>
    <t xml:space="preserve">SACO ALGODAO </t>
  </si>
  <si>
    <t xml:space="preserve">ENTREGUE </t>
  </si>
  <si>
    <t xml:space="preserve">AGENCIA </t>
  </si>
  <si>
    <t xml:space="preserve">BEM RUBENS AGENCIA FAR </t>
  </si>
  <si>
    <t xml:space="preserve">LENÇO SUBLIMADO </t>
  </si>
  <si>
    <t>LENÇO</t>
  </si>
  <si>
    <t xml:space="preserve">SOLUTION DISTRIBUIDORA </t>
  </si>
  <si>
    <t xml:space="preserve">MER MARIA SUBLIME </t>
  </si>
  <si>
    <t>NECESSAIRE NY 600 L</t>
  </si>
  <si>
    <t>LORENA CARVALHO</t>
  </si>
  <si>
    <t>CAPA DE CORTE DE CETIM</t>
  </si>
  <si>
    <t>TAPIS</t>
  </si>
  <si>
    <t xml:space="preserve">BANCO </t>
  </si>
  <si>
    <t xml:space="preserve">SKYCRED SECURITIZADORA </t>
  </si>
  <si>
    <t xml:space="preserve">SACOLA ALGODÃO </t>
  </si>
  <si>
    <t xml:space="preserve">EVOLVE NUTRIÇÃO </t>
  </si>
  <si>
    <t xml:space="preserve">JM COSMETICOS LTDA </t>
  </si>
  <si>
    <t xml:space="preserve">CAMISETA GOLA CARECA </t>
  </si>
  <si>
    <t xml:space="preserve">TOUCA DE CETIM COM DIFUSOR </t>
  </si>
  <si>
    <t xml:space="preserve">TOUCA </t>
  </si>
  <si>
    <t>AVENTAL NYLON EMBORRACHADO</t>
  </si>
  <si>
    <t>AVENTAL IMPERMEAVEL NYEMB MODELO PADRAO</t>
  </si>
  <si>
    <t xml:space="preserve">TRICOSMETICOS </t>
  </si>
  <si>
    <t>AVENTAL SUBLIMADO</t>
  </si>
  <si>
    <t>CAPA DE CORTE CETIM 1,40 X 1,50</t>
  </si>
  <si>
    <t xml:space="preserve">ROBERTO LAURIZEN (GLAMOURAMA) </t>
  </si>
  <si>
    <t xml:space="preserve">AVENTAL OXFORD PADRAO COM GRAVAÇÃO EM SILK SCREEN </t>
  </si>
  <si>
    <t>SENHOR BARBA COSMETICOS</t>
  </si>
  <si>
    <t>PARCIAL</t>
  </si>
  <si>
    <t xml:space="preserve">GALDINO E SENA  (KIEV) </t>
  </si>
  <si>
    <t xml:space="preserve">AVENTAL BATA TAM ÚNICO </t>
  </si>
  <si>
    <t>CALÇA BRIM COM BOLSO</t>
  </si>
  <si>
    <t>CAMISETA MALHA PV GOLA CARECA</t>
  </si>
  <si>
    <t>MD BOZO PROHALL</t>
  </si>
  <si>
    <t>CAPA DE CORTE 1M X 1,30</t>
  </si>
  <si>
    <t xml:space="preserve">LUANA SOUZA HAIR </t>
  </si>
  <si>
    <t>SACOLA TNT LAMINADO 30X40</t>
  </si>
  <si>
    <t xml:space="preserve">BICHOS  OH MY DOG </t>
  </si>
  <si>
    <t>P&amp;K DOCERIA</t>
  </si>
  <si>
    <t xml:space="preserve">FAIXA PARA CABELO TORCIDA TAM ÚNICO  </t>
  </si>
  <si>
    <t xml:space="preserve">CAMISETA GOLA CARECA MALHA 100% ALGODÃO - TAM M </t>
  </si>
  <si>
    <t>CAMISETA GOLA CARECA MALHA 100% ALGODÃO - TAM G</t>
  </si>
  <si>
    <t>DULCE M2A COMERCIO DE DOCES</t>
  </si>
  <si>
    <t>BABY LOOK FEMININA MALHA 100% ALGODAO - TAM P</t>
  </si>
  <si>
    <t>BABY</t>
  </si>
  <si>
    <t>BABY LOOK FEMININA MALHA 100% ALGODAO - TAM M</t>
  </si>
  <si>
    <t>BABY LOOK FEMININA MALHA 100% ALGODAO - TAM G</t>
  </si>
  <si>
    <t>CAMISETA GOLA CARECA MALHA 100% ALGODAO - TAM M</t>
  </si>
  <si>
    <t xml:space="preserve"> CAMISETA GOLA CARECA MALHA 100% ALGODAO - TAM G</t>
  </si>
  <si>
    <t>CAMISETA GOLA CARECA MALHA 100% ALGODAO - TAM GG</t>
  </si>
  <si>
    <t>CAMISETA MALHA 100% ALGODAO MANGA LONGA O BS: TA M : 2 (G) / 2 (M )</t>
  </si>
  <si>
    <t>CAMISETA FEMININA MALHA 100A% ALGODAO MANGA LONGA O BS: TA M : 8 (P ) / 8 (M ) / 6 (G)</t>
  </si>
  <si>
    <t>PATAGONIA CAFE LTDA</t>
  </si>
  <si>
    <t>CAMISETA GOLA CARECA MALHA 100% ALGODAO - TAM P</t>
  </si>
  <si>
    <t>CALÇA BRIM COM BOLSO FRENTE E VERSO O BS: TA M : 3 (M ) - 2 (G)</t>
  </si>
  <si>
    <t>CALÇA</t>
  </si>
  <si>
    <t>FAIXA PARA CABELO TORCIDA TAM UNICO</t>
  </si>
  <si>
    <t>AVENTAL OXFORD MODELO PADRÃO HAVANNA - VINHO</t>
  </si>
  <si>
    <t>JS ALIMENTACAO LTDA</t>
  </si>
  <si>
    <t>CAMISETA GOLA CARECA MALHA 100% ALGODAO - TAM XG</t>
  </si>
  <si>
    <t>CAMISETA GOLA CARECA MALHA 100% ALGODAO - TAM G</t>
  </si>
  <si>
    <t>LBP LANCHONETE, CAFETERIA E COMÉRCIO DE DOCES LTDA</t>
  </si>
  <si>
    <t>RT PARTICIPACOES COMERCIAIS LTDA</t>
  </si>
  <si>
    <t>CALÇA BRIM COM BOLSO FRENTE E VERSO O BS: TA M : (M )</t>
  </si>
  <si>
    <t>CALÇA LEGGIN SUPLEX POLIAMIDA O BS: TA M : (M )</t>
  </si>
  <si>
    <t>J.A. DA CAMARA FERNANDEZ LTDA</t>
  </si>
  <si>
    <t>CALÇA BRIM COM BOLSO FRENTE E VERSO  O BS: C O R: P RET O | TA M : 4 (M ) - 4 (G)</t>
  </si>
  <si>
    <t>CALÇA LEGGIN SUPLEX POLIAMID O BS: C O R: P RET O | TA M : 6 (M ) - 6 (G)</t>
  </si>
  <si>
    <t>LM PALMAS LTDA (LM PALMAS)</t>
  </si>
  <si>
    <t>BABY LOOK FEMININA MALHA 100% ALGODAO - TAM GG</t>
  </si>
  <si>
    <t>MAV COMERCIO DE ALIMENTOS LTDA</t>
  </si>
  <si>
    <t>CALÇA LEGGIN SUPLEX POLIAMIDA O BS: TA M : 4 (M ) - 4 (G)</t>
  </si>
  <si>
    <t>NECESSAIRE NY PLASTIFICADO PEQUENA</t>
  </si>
  <si>
    <t xml:space="preserve">TOUCA PARA CABELO EM TULE </t>
  </si>
  <si>
    <t>SOUL BEAUTY</t>
  </si>
  <si>
    <t>KIZARUST PROFESSIONNEL</t>
  </si>
  <si>
    <t xml:space="preserve">CAMISTA  MALHA PV GOLA V </t>
  </si>
  <si>
    <t xml:space="preserve">DGA DOCES DEL PLATA </t>
  </si>
  <si>
    <t xml:space="preserve">AVENTAL OXFORD MODELO PADRAO </t>
  </si>
  <si>
    <t xml:space="preserve">AVENTAL BARBEIRO DE COURO </t>
  </si>
  <si>
    <t>CAMISETA GOLA CARECA</t>
  </si>
  <si>
    <t>ESCOLA</t>
  </si>
  <si>
    <t>ESCOLA DE MUSICA TOQUE COM ARTE</t>
  </si>
  <si>
    <t>CAMISETA MALHA PV</t>
  </si>
  <si>
    <t>PLANETA TERRA COSMETICOS</t>
  </si>
  <si>
    <t>S R DOS SANTOS (LIZZE)</t>
  </si>
  <si>
    <t xml:space="preserve">NECESSAIRE NY PLASTIFICADO 25L X 20 X 9  (PHOTON LIZZE) </t>
  </si>
  <si>
    <t>NECESSAIRE NY PLASTIFICADO 25L X 20 X 9  (EXTREME)</t>
  </si>
  <si>
    <t xml:space="preserve">SACO ALGODAO CRU </t>
  </si>
  <si>
    <t>AVENTAL PET NY IMPERMEAVEL</t>
  </si>
  <si>
    <t>AVENTAL NYLON EMBORARRACHADO CA 45.305 - HYDRA</t>
  </si>
  <si>
    <t xml:space="preserve">CORTE </t>
  </si>
  <si>
    <t xml:space="preserve">SILK </t>
  </si>
  <si>
    <t xml:space="preserve">COSTURA </t>
  </si>
  <si>
    <t xml:space="preserve">EMBALAGEM </t>
  </si>
  <si>
    <t>TOTAL MO</t>
  </si>
  <si>
    <t>CARTEIRA EM PRODUÇÃO</t>
  </si>
  <si>
    <t xml:space="preserve">TOTAIS EM CARTEIRA POR GRUPO  </t>
  </si>
  <si>
    <t>CUSTO MÃO DE OBRA</t>
  </si>
  <si>
    <t>PEÇAS</t>
  </si>
  <si>
    <t>FATURAR</t>
  </si>
  <si>
    <t>LIQUIDAR</t>
  </si>
  <si>
    <t>QTD</t>
  </si>
  <si>
    <t>EM PRODUÇÃO</t>
  </si>
  <si>
    <t>Avental</t>
  </si>
  <si>
    <t>Camiseta</t>
  </si>
  <si>
    <t>Necessaire</t>
  </si>
  <si>
    <t>Capa Protetor</t>
  </si>
  <si>
    <t>Kimono</t>
  </si>
  <si>
    <t>TOTAL</t>
  </si>
  <si>
    <t>Capa  de Corte</t>
  </si>
  <si>
    <t>Saco</t>
  </si>
  <si>
    <t>Polo</t>
  </si>
  <si>
    <t>Sacola</t>
  </si>
  <si>
    <t>Touca</t>
  </si>
  <si>
    <t>Etiqueta</t>
  </si>
  <si>
    <t>Calça Brim</t>
  </si>
  <si>
    <t xml:space="preserve">Faixa </t>
  </si>
  <si>
    <t>Moleton</t>
  </si>
  <si>
    <t>Calça Leggin</t>
  </si>
  <si>
    <t>Ticket Médio</t>
  </si>
  <si>
    <t>Margem de Recebimento Antecipado</t>
  </si>
  <si>
    <t>Peças</t>
  </si>
  <si>
    <t>Valores</t>
  </si>
  <si>
    <t>VENDAS</t>
  </si>
  <si>
    <t>MÊS</t>
  </si>
  <si>
    <t>PEDIDOS</t>
  </si>
  <si>
    <t>ITENS</t>
  </si>
  <si>
    <t>VALORES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</si>
  <si>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</si>
  <si>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</si>
  <si>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</si>
  <si>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</si>
  <si>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</si>
  <si>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</si>
  <si>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</si>
  <si>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</si>
  <si>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</si>
  <si>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REALIZADO</t>
  </si>
  <si>
    <t>MÉDIA REALIZADA</t>
  </si>
  <si>
    <t>Mês</t>
  </si>
  <si>
    <t>Vendido</t>
  </si>
  <si>
    <t>Faturado</t>
  </si>
  <si>
    <t>Pago</t>
  </si>
  <si>
    <t>Pedidos</t>
  </si>
  <si>
    <t>Peças   Vendidas</t>
  </si>
  <si>
    <t>Valores de       Vendas</t>
  </si>
  <si>
    <t>Dias Uteis</t>
  </si>
  <si>
    <t>Média de Pedidos Dia</t>
  </si>
  <si>
    <t>Média de Peças Dia</t>
  </si>
  <si>
    <t>Média de Valores Dia</t>
  </si>
  <si>
    <t>MÉDIA</t>
  </si>
  <si>
    <t>Realizado proporcional aos meses anteriores</t>
  </si>
  <si>
    <t xml:space="preserve"> </t>
  </si>
  <si>
    <t>Realizado Por Vendedor - Setembro</t>
  </si>
  <si>
    <t>Vendedor</t>
  </si>
  <si>
    <t>Valor</t>
  </si>
  <si>
    <t>Amanda</t>
  </si>
  <si>
    <t>Aracheles</t>
  </si>
  <si>
    <t>Fernanda</t>
  </si>
  <si>
    <t>Leticia</t>
  </si>
  <si>
    <t>Total</t>
  </si>
  <si>
    <t>RELATÓRIO DE PEDIDOS HAVANNA</t>
  </si>
  <si>
    <t>DATA DO PEDIDO</t>
  </si>
  <si>
    <t xml:space="preserve">VALOR UNID </t>
  </si>
  <si>
    <t>PATAGONIA CAFÉ LTDA</t>
  </si>
  <si>
    <t>CAMISETA MALHA 100% ALGODÃO</t>
  </si>
  <si>
    <t>DGA DOCES</t>
  </si>
  <si>
    <t>SACOLA DE LONITA MODELO HAVANNA</t>
  </si>
  <si>
    <t>SACOLA</t>
  </si>
  <si>
    <t>SACOLA SUBLIMADA TECIDO PET</t>
  </si>
  <si>
    <t xml:space="preserve">CAFÉ DEL PLATA </t>
  </si>
  <si>
    <t>CAMISETA MANGA LONGA MALHA 100% ALGODÃO</t>
  </si>
  <si>
    <t>CAMISETA MALHA 100% ALGODÃO BABY LOOK</t>
  </si>
  <si>
    <t>CAMISETA MANGA LONGA MALHA 100% ALGODÃO BABY LOOK</t>
  </si>
  <si>
    <t>MVM BOMBONIERE</t>
  </si>
  <si>
    <t>AVENTAL OXFORD MODELO PADRÃO</t>
  </si>
  <si>
    <t>PADOVANI'S COMERCIO</t>
  </si>
  <si>
    <t>FAIXA PARA CABELO</t>
  </si>
  <si>
    <t>DANIELLE DE SOUZA LIMA SANCHES</t>
  </si>
  <si>
    <t>LECEVY COMERCIO DE ALIMENTOS</t>
  </si>
  <si>
    <t>CAMISETA MALHA PV BABY LOOK</t>
  </si>
  <si>
    <t>JS ALIMENTAÇÃO</t>
  </si>
  <si>
    <t>CALÇA LEGGIN</t>
  </si>
  <si>
    <t>J.A DA CAMARA FERNANDES</t>
  </si>
  <si>
    <t>BLUSA DE MOLETOM</t>
  </si>
  <si>
    <t>MOLETOM</t>
  </si>
  <si>
    <t>H4 CAFES E ALIMENTOS</t>
  </si>
  <si>
    <t>JSC CAFETERIA LTDA</t>
  </si>
  <si>
    <t>CAFÉ HAVANNA VR</t>
  </si>
  <si>
    <t>MANZANI CAFETERIA LTDA</t>
  </si>
  <si>
    <t>HAVANNA BAH CAFÉ</t>
  </si>
  <si>
    <t>PAMPLONA, CAFÉ, DOCES</t>
  </si>
  <si>
    <t xml:space="preserve">CALÇA BRIM COM BOLSO </t>
  </si>
  <si>
    <t>HAVANNA IMIGRANTES</t>
  </si>
  <si>
    <t>DDC COMERCIO DE ALIMENTOS</t>
  </si>
  <si>
    <t>CAFÉ PREMIUM COMERCIO</t>
  </si>
  <si>
    <t>CAMISETA MALHA 100% ALGODÃO (TAM BIG)</t>
  </si>
  <si>
    <t>BF COMERCIO VAREJISTA DE DOCES</t>
  </si>
  <si>
    <t>DOCES E DOCES MF LTDA</t>
  </si>
  <si>
    <t>SOUZA &amp; BATISTA HAVANNA PALHANO</t>
  </si>
  <si>
    <t xml:space="preserve">JL COMERCIO DE ALIMENTOS </t>
  </si>
  <si>
    <t>NSENA COMERCIO DE ALIMENTOS</t>
  </si>
  <si>
    <t>MVP CAFETERIA LTDA</t>
  </si>
  <si>
    <t>CAMISETA POLO PIQUET</t>
  </si>
  <si>
    <t>POLO</t>
  </si>
  <si>
    <t>DRL CAFETERIA LTDA</t>
  </si>
  <si>
    <t>CAMISETA MALHA 100% ALGODÃO (COM BORDADO NA MANGA)</t>
  </si>
  <si>
    <t>ZF ALIMENTOS</t>
  </si>
  <si>
    <t>LRM CAFETERIA, DOCERIA E SALGADERIA</t>
  </si>
  <si>
    <t>MAV COMERCIO DE ALIMENTOS</t>
  </si>
  <si>
    <t>HAVANNA PARK SHOP BARIGUI</t>
  </si>
  <si>
    <t>LBP LANCHONETE, CAFETERIA E COMÉRCIO</t>
  </si>
  <si>
    <t>P&amp;K DOCERIA E CAFETERIA LTDA</t>
  </si>
  <si>
    <t>TOALHA DE MESA SUBLIMADA HAVANNA</t>
  </si>
  <si>
    <t>TOALHA</t>
  </si>
  <si>
    <t xml:space="preserve">HAVANNA RT </t>
  </si>
  <si>
    <t>LM PALMAS LTDA</t>
  </si>
  <si>
    <t>CONCI &amp; TEIXEIRA ALIMENTOS LTDA (HAVANNA MG)</t>
  </si>
  <si>
    <t>BABY LOOK</t>
  </si>
  <si>
    <t xml:space="preserve">D R DOCES E CAFES </t>
  </si>
  <si>
    <t xml:space="preserve">BLUSA DE MOLETOM </t>
  </si>
  <si>
    <t xml:space="preserve">JBG  COMERCIO E SERVIÇOS (MY PHIOS) </t>
  </si>
  <si>
    <t>69PATAGONIA CAFÉ LTDA</t>
  </si>
  <si>
    <t xml:space="preserve">MUY BUENO CAFÉ </t>
  </si>
  <si>
    <t>HHM FOODS (HAVANNA)</t>
  </si>
  <si>
    <t>STONEDA (HAVANNA)</t>
  </si>
  <si>
    <t>RC EMPREENDIMENTO</t>
  </si>
  <si>
    <t>GISELA DAVILA HAVANNA</t>
  </si>
  <si>
    <t>CADIMA (HAVANNA)</t>
  </si>
  <si>
    <t>SALES &amp; LANSAC (HAVANNA)</t>
  </si>
  <si>
    <t xml:space="preserve">ALLE MULTIFRANQUIAS MOXUARA </t>
  </si>
  <si>
    <t>LRM CAFETERIA</t>
  </si>
  <si>
    <t>CAMISETA MALHA 100% ALGODÃO (TAMANHO BIG)</t>
  </si>
  <si>
    <t>CAFETERIA LINAPAR</t>
  </si>
  <si>
    <t>SOUZA &amp; BATISTA (HAVANNA)</t>
  </si>
  <si>
    <t>R&amp;R BISTRO</t>
  </si>
  <si>
    <t>OURO CAFÉ</t>
  </si>
  <si>
    <t>SABORES DA MATININA</t>
  </si>
  <si>
    <t>CAMISETA MANGA LONGA 100% ALGODÃO</t>
  </si>
  <si>
    <t>DOCES E DOCES GRAVATAI</t>
  </si>
  <si>
    <t>COMERCIAL NETO E SANTOS</t>
  </si>
  <si>
    <t>MISURINA CAFÉ</t>
  </si>
  <si>
    <t>MAGNUN E OLIVEIRA</t>
  </si>
  <si>
    <t>CAPOBIANGO</t>
  </si>
  <si>
    <t>LUTZKY</t>
  </si>
  <si>
    <t>SANTA EFIGENIA CAFÉ</t>
  </si>
  <si>
    <t xml:space="preserve">AMRM </t>
  </si>
  <si>
    <t>CAFETERIA HAVANNA LEM</t>
  </si>
  <si>
    <t>SAINT COMERCIO</t>
  </si>
  <si>
    <t>CAMISETA MALHA 100% ALGODÃO (TAM G1)</t>
  </si>
  <si>
    <t>HVN PLAZA</t>
  </si>
  <si>
    <t>ALFAJOR CAFÉ</t>
  </si>
  <si>
    <t>GOLDENEY E COMERCIO</t>
  </si>
  <si>
    <t>HAVANNA CENTER 3 CAFÉ</t>
  </si>
  <si>
    <t>TTH PARTICIPAÇÕES COMERCIAIS</t>
  </si>
  <si>
    <t>CHBS CAFETERIA</t>
  </si>
  <si>
    <t>CAMISETA POLO PIQUET (TAM XG)</t>
  </si>
  <si>
    <t>CAMISETA MALHA 100% ALGODÃO (XG)</t>
  </si>
  <si>
    <t>MIA E ZOE</t>
  </si>
  <si>
    <t>CAFÉ VILA ROMANA</t>
  </si>
  <si>
    <t>F J HAVANNA</t>
  </si>
  <si>
    <t>NEXO CONSULTORIA</t>
  </si>
  <si>
    <t>DON CAFÉ</t>
  </si>
  <si>
    <t>CAFETERIA BTG</t>
  </si>
  <si>
    <t>LIMA E SALDANHA</t>
  </si>
  <si>
    <t>ARCTICO ALIMENTOS LTDA</t>
  </si>
  <si>
    <t>BUSTANI</t>
  </si>
  <si>
    <t>R&amp;M COMERCIO DE ALIMENTOS</t>
  </si>
  <si>
    <t>CAFÉ E DOCES</t>
  </si>
  <si>
    <t>HPA CAFES</t>
  </si>
  <si>
    <t>DOCES E DOCES PARK SHOPPING</t>
  </si>
  <si>
    <t>QUATTRO DUE COMÉRCIO</t>
  </si>
  <si>
    <t>FAIXA DE CABELO</t>
  </si>
  <si>
    <t>ME  GUSTA (HAVANNA)</t>
  </si>
  <si>
    <t>LAH CAFETERIA</t>
  </si>
  <si>
    <t>POLO PIQUET</t>
  </si>
  <si>
    <t>CAMISETA MANGA LONGA</t>
  </si>
  <si>
    <t>J.A DA CAMARA FERNANDEZ</t>
  </si>
  <si>
    <t>Faturamento</t>
  </si>
  <si>
    <t>VENDAS HAVANNA</t>
  </si>
  <si>
    <t>JANEIRO</t>
  </si>
  <si>
    <t>FEVEREIRO</t>
  </si>
  <si>
    <t>MARÇO</t>
  </si>
  <si>
    <t>VENDAS HAVANNA - QTD PEÇAS</t>
  </si>
  <si>
    <t>VENDAS HAVANNA - VALORES</t>
  </si>
  <si>
    <t>ITEM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</si>
  <si>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</si>
  <si>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</si>
  <si>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</si>
  <si>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</si>
  <si>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</si>
  <si>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</si>
  <si>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</si>
  <si>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</si>
  <si>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</si>
  <si>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</si>
  <si>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</si>
  <si>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AVENTAIS</t>
  </si>
  <si>
    <t>FAIXA P/ CABELO</t>
  </si>
  <si>
    <t>CAMISETAS GOLA CARECA</t>
  </si>
  <si>
    <t>SEMANA DO PEDIDO</t>
  </si>
  <si>
    <t>Anos (DATA DO PEDIDO)</t>
  </si>
  <si>
    <t>Soma de QTD</t>
  </si>
  <si>
    <t xml:space="preserve">Soma de TOTAL </t>
  </si>
  <si>
    <t>2026</t>
  </si>
  <si>
    <t>VEVVO COSMÉTICOS</t>
  </si>
  <si>
    <t>TRICOSMÉTICOS</t>
  </si>
  <si>
    <t>VIRTUDE NOSSA DISTRIBUIDORA (VENDA NOVA PET)</t>
  </si>
  <si>
    <t>VOICER STORE (AUDIO VOICER)</t>
  </si>
  <si>
    <t>TASTE BLENDS COMERCIO</t>
  </si>
  <si>
    <t>CEQ (PET SOCIETY)</t>
  </si>
  <si>
    <t>GILSON DE SOUZA (D'CAPRI)</t>
  </si>
  <si>
    <t>HVNN ONE COMERCIO</t>
  </si>
  <si>
    <t>BR BEAUTY (CADIVEU)</t>
  </si>
  <si>
    <t>PET CASA</t>
  </si>
  <si>
    <t>NB DISTRIBUIDORA (D BIANCO)</t>
  </si>
  <si>
    <t>SYNTONICS DO BRASIL (AVLON)</t>
  </si>
  <si>
    <t>EI BELEZA</t>
  </si>
  <si>
    <t>DISTRIBUIDORA RECORD</t>
  </si>
  <si>
    <t>PATAGONIA CAFÉ</t>
  </si>
  <si>
    <t>AUDIO VOICER</t>
  </si>
  <si>
    <t>SBDSS COSMÉTICS (LESSOAN)</t>
  </si>
  <si>
    <t>LMS (LUXEL)</t>
  </si>
  <si>
    <t>GRANDFOOD (PREMIER)</t>
  </si>
  <si>
    <t>AMIPETZ</t>
  </si>
  <si>
    <t>CULTURAMA</t>
  </si>
  <si>
    <t>PHYTO GREEN (FLORACTIVE)</t>
  </si>
  <si>
    <t>CAFE E DOCES</t>
  </si>
  <si>
    <t>Total Geral</t>
  </si>
  <si>
    <t>VENDEDOR</t>
  </si>
  <si>
    <t>CATEGORIA</t>
  </si>
  <si>
    <t>LIQUIDAÇÃO</t>
  </si>
  <si>
    <t>DATA ENTREGA</t>
  </si>
  <si>
    <t>SEMANA DE ENTREGA</t>
  </si>
  <si>
    <t xml:space="preserve">MO CORTE </t>
  </si>
  <si>
    <t xml:space="preserve">MO  SILK </t>
  </si>
  <si>
    <t xml:space="preserve">MO COSTURA </t>
  </si>
  <si>
    <t>MO EMBALAGEM</t>
  </si>
  <si>
    <t>RAFAEL</t>
  </si>
  <si>
    <t>COSMÉTICO</t>
  </si>
  <si>
    <t>A &amp; G  COSMETICOS G7 HAIR</t>
  </si>
  <si>
    <t>LETICIA</t>
  </si>
  <si>
    <t>COMÉRCIO</t>
  </si>
  <si>
    <t xml:space="preserve">A.S.N DISTRIBUIDORA </t>
  </si>
  <si>
    <t>AVENTAL NY 210</t>
  </si>
  <si>
    <t>AMANDA</t>
  </si>
  <si>
    <t>AC PROFISSIONAL</t>
  </si>
  <si>
    <t>ARACHELES</t>
  </si>
  <si>
    <t>AEGLA PRO</t>
  </si>
  <si>
    <t>LUVA EM TNT PARA BANHO PET</t>
  </si>
  <si>
    <t>REBECA</t>
  </si>
  <si>
    <t>AVENTAL NY EMBORRACHADO</t>
  </si>
  <si>
    <t>AF AMANDA</t>
  </si>
  <si>
    <t xml:space="preserve">AVENTAL BARBEIRO COURO SINTETICO </t>
  </si>
  <si>
    <t>AVENTAL DE BRIM MODELO PADRÃO</t>
  </si>
  <si>
    <t>SANDY</t>
  </si>
  <si>
    <t>AGILISE COSMÉTICOS</t>
  </si>
  <si>
    <t>CAPA DE CORTE CETIM 0,85X1,40</t>
  </si>
  <si>
    <t>CAPA</t>
  </si>
  <si>
    <t>CAPA DE CORTE TACTEL</t>
  </si>
  <si>
    <t>FERNANDA</t>
  </si>
  <si>
    <t>AKASA COSMÉTICOS</t>
  </si>
  <si>
    <t>PET</t>
  </si>
  <si>
    <t>ALESS (PET LIFE)</t>
  </si>
  <si>
    <t>SACOLA BAGUN</t>
  </si>
  <si>
    <t>AVENTAL BAGUN COM BOLSO</t>
  </si>
  <si>
    <t>LUVA</t>
  </si>
  <si>
    <t>BABY LOOK FEMININA MALHA 100% ALGODAO</t>
  </si>
  <si>
    <t>ALIYAH INDUSTRIA</t>
  </si>
  <si>
    <t>CALÇA BRIM</t>
  </si>
  <si>
    <t>CAMISETA GOLA CARECA MALHA PV</t>
  </si>
  <si>
    <t xml:space="preserve">CAMISETA GOLA CARECA 100% ALGODÃO </t>
  </si>
  <si>
    <t>CALÇA LEGGING</t>
  </si>
  <si>
    <t>CONSERV</t>
  </si>
  <si>
    <t xml:space="preserve">ALTEGIO BRASIL </t>
  </si>
  <si>
    <t>CAPA DE CORTE TACTEL 1,40X 1,50</t>
  </si>
  <si>
    <t xml:space="preserve">POLO PIQUET </t>
  </si>
  <si>
    <t xml:space="preserve">CAMISETA MALHA PV </t>
  </si>
  <si>
    <t>AMASING (R&amp;S COMERCIO)</t>
  </si>
  <si>
    <t>NECESSAIRE MALETA MAKE</t>
  </si>
  <si>
    <t>AMIPET</t>
  </si>
  <si>
    <t>AMOS ESTETICA E BIOCOSMETICOS LTDA</t>
  </si>
  <si>
    <t>MICHEL</t>
  </si>
  <si>
    <t>ANIMAL HEALTH CAES E GATOS LTDA</t>
  </si>
  <si>
    <t>SACOLA ALGODAO CRU 50L X 40A</t>
  </si>
  <si>
    <t>NECESSAIRE CRISTAL AZUL ROIAL 20X12X6</t>
  </si>
  <si>
    <t>NECESSAIRE CRISTAL AZUL ROIAL 22X20X10</t>
  </si>
  <si>
    <t>ANIX COSMÉTICOS (CRISTIANO)</t>
  </si>
  <si>
    <t>APICE COSMETICS</t>
  </si>
  <si>
    <t>AQUI COSMÉTICOS  (QBELLA)</t>
  </si>
  <si>
    <t>ARTEZANNI</t>
  </si>
  <si>
    <t>NECESSAIRE PASTA MED</t>
  </si>
  <si>
    <t>AS VILAS - FIBER CLINIX</t>
  </si>
  <si>
    <t>CAPA DE CORTE</t>
  </si>
  <si>
    <t>AVICULTURA E A GROPET</t>
  </si>
  <si>
    <t>JALECO GROOMER TAFETA - COM ZUPER E BOLSO</t>
  </si>
  <si>
    <t>BASTET DESIGN FOR CATS</t>
  </si>
  <si>
    <t>BB COSMÉTICOS (HIDRATEI)</t>
  </si>
  <si>
    <t>NECESSAIRE CLASSIC</t>
  </si>
  <si>
    <t>BCM</t>
  </si>
  <si>
    <t>CAPA DE CORTE 1,40X1,50</t>
  </si>
  <si>
    <t>BE FACTORY</t>
  </si>
  <si>
    <t>BELA VISTA LOTEAMENTO</t>
  </si>
  <si>
    <t>CAMISETA POLO MALHA 100% ALGODÃO</t>
  </si>
  <si>
    <t>BELAS PATAS</t>
  </si>
  <si>
    <t>BELEZA UNIKA</t>
  </si>
  <si>
    <t>SACOLA TNT LAMINADO 45X30X10</t>
  </si>
  <si>
    <t>SACOLA TNT LAMINADO 25X32X15</t>
  </si>
  <si>
    <t>BELLA EVA</t>
  </si>
  <si>
    <t>CAMISETA MALHA PV GOLA V</t>
  </si>
  <si>
    <t>CAPA DE CORTE CETIM</t>
  </si>
  <si>
    <t>BEM FARMA</t>
  </si>
  <si>
    <t>NECESAIRE CRISTAL COM VIES</t>
  </si>
  <si>
    <t xml:space="preserve">BEUATY  FAIR </t>
  </si>
  <si>
    <t>BICHOS DISTRIBUIDORA</t>
  </si>
  <si>
    <t>3A VAREJO (BIO OZONIO)</t>
  </si>
  <si>
    <t>CAPA DE CORTE CETIM 0,85X1,4</t>
  </si>
  <si>
    <t>BLZ CLINIC (OBRA PRIMA)</t>
  </si>
  <si>
    <t>KIMONO TACTEL</t>
  </si>
  <si>
    <t>KIMONO</t>
  </si>
  <si>
    <t>BOLSA CRISTAL</t>
  </si>
  <si>
    <t>BOLSA</t>
  </si>
  <si>
    <t>BR PET STORE</t>
  </si>
  <si>
    <t>JALECO GROOMER</t>
  </si>
  <si>
    <t>BRAZILIAN BEAUTY (KORBAN)</t>
  </si>
  <si>
    <t xml:space="preserve">AVENTAL TACTEL MODELO PADRÃO </t>
  </si>
  <si>
    <t>BRILIA NAILS</t>
  </si>
  <si>
    <t>BUBBLES PET</t>
  </si>
  <si>
    <t>AMBAS</t>
  </si>
  <si>
    <t>BURANA</t>
  </si>
  <si>
    <t>SACOLA LONA IMPERMEAVEL CRU</t>
  </si>
  <si>
    <t>SACOLA LONA IMPERMEAVEL PRETO</t>
  </si>
  <si>
    <t xml:space="preserve">CADIVEU </t>
  </si>
  <si>
    <t xml:space="preserve">CAPA DE CORTE SUBLIMADA </t>
  </si>
  <si>
    <t xml:space="preserve">AVENTAL SUBLIMANO COM 4 BOLSOS </t>
  </si>
  <si>
    <t>BABY LOOK MALHA PV</t>
  </si>
  <si>
    <t>AVENTAL BRIM COM 6 BOLSOS</t>
  </si>
  <si>
    <t>SACOCHILA LONITA 23X17</t>
  </si>
  <si>
    <t xml:space="preserve">SACOCHILA </t>
  </si>
  <si>
    <t xml:space="preserve">AVENTAL SUBLIMADO COM BOLSO </t>
  </si>
  <si>
    <t>BLASER FEMININO</t>
  </si>
  <si>
    <t>BLAISER</t>
  </si>
  <si>
    <t xml:space="preserve">BABY LOOK MALHA 100% ALGODÃO </t>
  </si>
  <si>
    <t xml:space="preserve">SACOLA LONITA DUBLADA </t>
  </si>
  <si>
    <t xml:space="preserve">SACOLA DE ALGODÃO </t>
  </si>
  <si>
    <t>AVENTAL NY EMBORRACHADO COM ALÇAS DE COURO</t>
  </si>
  <si>
    <t>AVENTAL NY EMBORRACHADO COM ALÇAS DE ALGODÃO</t>
  </si>
  <si>
    <t>SHOUDER BAG</t>
  </si>
  <si>
    <t>CAMISETA MALHA 100% ALGODÃO - TAM G3</t>
  </si>
  <si>
    <t>TOALHA DE BANHO</t>
  </si>
  <si>
    <t>CAMISETA MANGA LONGA 100% ALGODÃO BABY LOOK</t>
  </si>
  <si>
    <t>CAMISTEA MANGA LONGA MALHA 100% ALGODÃO</t>
  </si>
  <si>
    <t>HENVYS</t>
  </si>
  <si>
    <t>AVENTAL LINHO BARBEIRO</t>
  </si>
  <si>
    <t xml:space="preserve">CAMISETA MANGA LONGA MALHA 100% ALGODÃO </t>
  </si>
  <si>
    <t>CAFETERIA LINA (HAVANNA)</t>
  </si>
  <si>
    <t>CARLOS EDUARDO FLUID PROFESSIONAL</t>
  </si>
  <si>
    <t xml:space="preserve">AVENTAL TACTEL REGULAVEL </t>
  </si>
  <si>
    <t xml:space="preserve">CASTLE PRODUTOS </t>
  </si>
  <si>
    <t>AVENTAL NYLON EMBORRACHADO CA 45305</t>
  </si>
  <si>
    <t>AVENTL NYLON EMBORRACHADO</t>
  </si>
  <si>
    <t>AVENTAL NYLON AMBORRACHADO - HYDRA</t>
  </si>
  <si>
    <t xml:space="preserve">CAMISETA MALHA 100% POLIESTER </t>
  </si>
  <si>
    <t>AVENTA NYLON EMBORRACHADO</t>
  </si>
  <si>
    <t>AVENTAN NYLON EMBORRACHADO</t>
  </si>
  <si>
    <t>DE LAGOS KOSMÉTICOS (BRAZILIAN)</t>
  </si>
  <si>
    <t>KATIA</t>
  </si>
  <si>
    <t xml:space="preserve">CAMISETA GOLA CAECA 100% ALGODÃO (XG) </t>
  </si>
  <si>
    <t>CHEEMA</t>
  </si>
  <si>
    <t>CM MARKETING</t>
  </si>
  <si>
    <t>CAMISETA DRYFIT</t>
  </si>
  <si>
    <t>CMC FARMA</t>
  </si>
  <si>
    <t>CAMISETA GOLA CARECA MALHA PV (P AO GG)</t>
  </si>
  <si>
    <t>CAMISETA GOLA CARECA MALHA PV (G1 - G2)</t>
  </si>
  <si>
    <t>COPAS DISTRIBUIDORA (TOCTUS)</t>
  </si>
  <si>
    <t>COSMETYCS BRASIL</t>
  </si>
  <si>
    <t>CPA ENGENHARIA</t>
  </si>
  <si>
    <t>453</t>
  </si>
  <si>
    <t>CAMISETA DRY FIT MANGA LONGA</t>
  </si>
  <si>
    <t>CRISTINA BRASILIAN</t>
  </si>
  <si>
    <t>SACOLA LONITA 305G 30X35X3</t>
  </si>
  <si>
    <t xml:space="preserve">CYSTEM HAIR </t>
  </si>
  <si>
    <t>KIMONO CETIM</t>
  </si>
  <si>
    <t>D OHNMACHT (EZTEC)</t>
  </si>
  <si>
    <t>CAMISETA MALHA 100% ALGODÃO MANGA LONGA</t>
  </si>
  <si>
    <t>SP SUMARE (DAVENE)</t>
  </si>
  <si>
    <t>COLETE TACTEL COM ZIPER</t>
  </si>
  <si>
    <t>COLETE</t>
  </si>
  <si>
    <t>D'CAPRI</t>
  </si>
  <si>
    <t>ROM ACADEMY</t>
  </si>
  <si>
    <t>DEEP PETS</t>
  </si>
  <si>
    <t>DEJAVU</t>
  </si>
  <si>
    <t>DF CARNEIRO - KOSMETIKA</t>
  </si>
  <si>
    <t>SACOLA MATELASSE</t>
  </si>
  <si>
    <t>KIMONO TACTEL TAM ÚNICO</t>
  </si>
  <si>
    <t xml:space="preserve">CAMISETA MALHA 100% ALGODÃO </t>
  </si>
  <si>
    <t>DIEGO DUARTE (4BEAUTY)</t>
  </si>
  <si>
    <t>SACOLA CRISTAL TRANSPARENTE COM VIÉS</t>
  </si>
  <si>
    <t>DISTRIMAR COSMÉTICOS</t>
  </si>
  <si>
    <t>TRIETTO</t>
  </si>
  <si>
    <t>JOSIVALDO JOSÉ (YA COSMÉTICOS)</t>
  </si>
  <si>
    <t xml:space="preserve">LDM ESPECIALIDADES PELONCIO </t>
  </si>
  <si>
    <t>NECESSAIRE NY PLASTIFICADO</t>
  </si>
  <si>
    <t>DOCTOR HAIR</t>
  </si>
  <si>
    <t>DOG FRIENDS FOREVER</t>
  </si>
  <si>
    <t>SACOCHILA NYLON 70 RESINADO</t>
  </si>
  <si>
    <t>SACOCHILA</t>
  </si>
  <si>
    <t>DOUGLAS - GLASQUE</t>
  </si>
  <si>
    <t>DR HAIR</t>
  </si>
  <si>
    <t>EA BEAUTY</t>
  </si>
  <si>
    <t>CAPA DE CORTE TACTEL 1,4X1,5</t>
  </si>
  <si>
    <t>ECO COSMÉTICOS (ECO DOG)</t>
  </si>
  <si>
    <t xml:space="preserve">AVENTAL NYLON EMBORRACHADO </t>
  </si>
  <si>
    <t>AVENTAL NY EMBORRACHADO COR VERDE</t>
  </si>
  <si>
    <t xml:space="preserve">EDITORA BELAS LETRAS </t>
  </si>
  <si>
    <t>CAMISETA 100% ALGODÃO</t>
  </si>
  <si>
    <t>EDITORA RECORD</t>
  </si>
  <si>
    <t>SACOLA DE NYLON</t>
  </si>
  <si>
    <t>SACOLA OXFORD 35X40</t>
  </si>
  <si>
    <t>SAQUINHO ALGODÃO CRU</t>
  </si>
  <si>
    <t>SACOLA LONITA 100% ALGODÃO</t>
  </si>
  <si>
    <t>MAPA EM OXFORD SUBLIMADO</t>
  </si>
  <si>
    <t>SACOLA DE ALGODÃO</t>
  </si>
  <si>
    <t>SACOLA NYLON 70 PLASTIFICADO</t>
  </si>
  <si>
    <t>SAQUINHO</t>
  </si>
  <si>
    <t>SAQUINHO DE ALGODÃO</t>
  </si>
  <si>
    <t>VITTA FLOW´S</t>
  </si>
  <si>
    <t>EG</t>
  </si>
  <si>
    <t>SACOLA DE LONITA</t>
  </si>
  <si>
    <t>ELEGANCE INFINITA</t>
  </si>
  <si>
    <t xml:space="preserve">CAPA DE CORTE </t>
  </si>
  <si>
    <t>ESAINT</t>
  </si>
  <si>
    <t>ESSENCIA PET</t>
  </si>
  <si>
    <t>RENATO</t>
  </si>
  <si>
    <t>ETERNITA</t>
  </si>
  <si>
    <t>EVANES PROFESSIONAL</t>
  </si>
  <si>
    <t>BRINDES</t>
  </si>
  <si>
    <t>EVER BRINDES</t>
  </si>
  <si>
    <t>NECESSAIRE NY IMPERMEAVEL COM FORRO</t>
  </si>
  <si>
    <t>NECESSAIRE NY IMPERMEÁVEL</t>
  </si>
  <si>
    <t>EVER NACIONAL</t>
  </si>
  <si>
    <t>NECESSAIRE NY COM FORRO MED</t>
  </si>
  <si>
    <t xml:space="preserve">EXCLUSIVA COMERCIO </t>
  </si>
  <si>
    <t>EXCLUSIVA COSMÉTICOS</t>
  </si>
  <si>
    <t>FABRICIA SANTOS LOBO</t>
  </si>
  <si>
    <t>CAPA DE CORTE TACTEL 1,40X1,50</t>
  </si>
  <si>
    <t>FAZZ UP</t>
  </si>
  <si>
    <t>FELPS</t>
  </si>
  <si>
    <t>FILO COSMÉTICOS</t>
  </si>
  <si>
    <t>SC BATATAIS (GLOSSFLEX COSMETICOS)</t>
  </si>
  <si>
    <t>KIMONO TAM. ÚNICO</t>
  </si>
  <si>
    <t>FLORA DISTRIBUIDORA</t>
  </si>
  <si>
    <t>AVENTAL GABARNI</t>
  </si>
  <si>
    <t>FLORA VIDA</t>
  </si>
  <si>
    <t>FRESHINESS PET</t>
  </si>
  <si>
    <t>SAÚDE</t>
  </si>
  <si>
    <t>FUNDECTO</t>
  </si>
  <si>
    <t>SACOLA TNT 30X40</t>
  </si>
  <si>
    <t>G A ORMENEZE (TOP HAIR)</t>
  </si>
  <si>
    <t>SACOLA TNT LAMINADO</t>
  </si>
  <si>
    <t>GABONI PROFESSIONAL</t>
  </si>
  <si>
    <t>CAPA DE CORTE TACTEL 0,85X1,40</t>
  </si>
  <si>
    <t>GALDINO E SENA</t>
  </si>
  <si>
    <t>CAPADE CORTE CETIM DOURADA 0,85X1,40</t>
  </si>
  <si>
    <t>GARDEN FLOWERS</t>
  </si>
  <si>
    <t>CAPA DE CORTE CETIM 1,20X1,47</t>
  </si>
  <si>
    <t>KIMONO CETIM TAM ÚNICO</t>
  </si>
  <si>
    <t>CAPA DE CORTE CETIM 1,47X1,20</t>
  </si>
  <si>
    <t>GBT COMERCIO</t>
  </si>
  <si>
    <t>GIRARD</t>
  </si>
  <si>
    <t>TOUCA PARA CABELO COM TULE</t>
  </si>
  <si>
    <t>GIRLSGO TURISMO</t>
  </si>
  <si>
    <t>SACOCHILA NY EMBORRACHADO</t>
  </si>
  <si>
    <t xml:space="preserve">GIRLSLO TURISMO EVENTOS </t>
  </si>
  <si>
    <t>SACOCHILA NYLON EMBORRACHADO 30L X 40</t>
  </si>
  <si>
    <t>GLAMOURAMA</t>
  </si>
  <si>
    <t>GLLENDEX</t>
  </si>
  <si>
    <t>NECESSAIRE CRISTAL TNT LAMINADO</t>
  </si>
  <si>
    <t>GRAM INDUSTRIA</t>
  </si>
  <si>
    <t xml:space="preserve">GRANFOOD </t>
  </si>
  <si>
    <t>SACOLA ALGODAO BRIM 40L X 45A</t>
  </si>
  <si>
    <t>SACOLA NYLON 600 35X 40 X 18</t>
  </si>
  <si>
    <t xml:space="preserve">CAPA DE CADEIRA HELANCA 40X40 </t>
  </si>
  <si>
    <t>GTY DISTRIBUIDORA DE COSMETICOS</t>
  </si>
  <si>
    <t>SACOLA TNT 60G 65L X 70A</t>
  </si>
  <si>
    <t>GUTEMBERG</t>
  </si>
  <si>
    <t>H3 NEW PROFESSIONAL</t>
  </si>
  <si>
    <t>CAMISETA MALHA PV - TAM G2</t>
  </si>
  <si>
    <t xml:space="preserve">HACTOON PROFISSIONAL </t>
  </si>
  <si>
    <t>HAISSA PROFISSIONAL</t>
  </si>
  <si>
    <t>CAPA DE CORTE TACTEL 0,85 X 1,40</t>
  </si>
  <si>
    <t>KIMONO CETIM - TAM ÚNICO</t>
  </si>
  <si>
    <t>HELLO MINI</t>
  </si>
  <si>
    <t>CAPA DE CORTE TACTEL 1X1,4</t>
  </si>
  <si>
    <t>BRINDE</t>
  </si>
  <si>
    <t>HIDRATEI COSMÉTICOS</t>
  </si>
  <si>
    <t>NECESSAIRE ATOALHADA HIDRATEI</t>
  </si>
  <si>
    <t>NECESSAIRE  PRADA HIDRATEI</t>
  </si>
  <si>
    <t>NECESSAIRE PRADA BELEZA BRASILEIRA</t>
  </si>
  <si>
    <t>CANGA SUBLIMADA HIDRATEI</t>
  </si>
  <si>
    <t>CANGA</t>
  </si>
  <si>
    <t>CAMISETA GOLA CARECA  MALHA 100% ALGODÃO</t>
  </si>
  <si>
    <t>HIDRATH COSMÉTICOS</t>
  </si>
  <si>
    <t>HOSANO REPRESENTAÇÕES</t>
  </si>
  <si>
    <t>IA CRONO</t>
  </si>
  <si>
    <t xml:space="preserve">IMERA </t>
  </si>
  <si>
    <t>IMPERIAL PET</t>
  </si>
  <si>
    <t>IMPLACIL</t>
  </si>
  <si>
    <t>BOLSA POLIESTER 600</t>
  </si>
  <si>
    <t>SERVIÇOS</t>
  </si>
  <si>
    <t>INOVA MAIS TRADE</t>
  </si>
  <si>
    <t>CAMISETAS MALHA PV</t>
  </si>
  <si>
    <t>JACQUE JANINE</t>
  </si>
  <si>
    <t>NECESSAIRE PRADA JAQUES JANINE</t>
  </si>
  <si>
    <t>PORTA CELULAR COM CHAVEIRO</t>
  </si>
  <si>
    <t>PORTA CELULAR</t>
  </si>
  <si>
    <t>JUBA &amp; CALDA</t>
  </si>
  <si>
    <t>JULIANA GONÇALVES  (HIT PET)</t>
  </si>
  <si>
    <t>K&amp;R</t>
  </si>
  <si>
    <t>KAMICO</t>
  </si>
  <si>
    <t>KERASTINE</t>
  </si>
  <si>
    <t>KIEV COSMÉTICOS</t>
  </si>
  <si>
    <t>KINDER DESIGN</t>
  </si>
  <si>
    <t>ETIQUETA LONITA</t>
  </si>
  <si>
    <t>KLAHÊ</t>
  </si>
  <si>
    <t>KPRO</t>
  </si>
  <si>
    <t>AVENTAL LONITA COM COURO</t>
  </si>
  <si>
    <t>NECESSAIRE POLIESTER LOGO EM BAIXO RELEVO</t>
  </si>
  <si>
    <t>SACOLA CRISTAL TRANSPARENTE</t>
  </si>
  <si>
    <t>SACOLA CRISTAL COLORIDO</t>
  </si>
  <si>
    <t>AVENTAL NY EMBORRACHADO BOLSOS COM DIVISÓRIOS</t>
  </si>
  <si>
    <t>CAPA DE CORTE TACTEL NY EMBORRACHADO</t>
  </si>
  <si>
    <t>MOCHILA INFANTIL CRISTAL</t>
  </si>
  <si>
    <t>MOCHILA</t>
  </si>
  <si>
    <t>AVENTAL TACTEL REGULAVEL</t>
  </si>
  <si>
    <t>NECESSAIRE ENCANTO REDONDO</t>
  </si>
  <si>
    <t>KS INDUSTRIA - X WAY</t>
  </si>
  <si>
    <t>LASUVI BEOX</t>
  </si>
  <si>
    <t>CAMISETA 100% POLIESTER</t>
  </si>
  <si>
    <t>CAMISETA MALHA 100% POLIÉSTER</t>
  </si>
  <si>
    <t>LBP CAFÉ</t>
  </si>
  <si>
    <t>LCO COSMÉTICOS</t>
  </si>
  <si>
    <t xml:space="preserve">JALECO BICOLOR TACTEL </t>
  </si>
  <si>
    <t>LEAF</t>
  </si>
  <si>
    <t>LEMMA - OMNITEK</t>
  </si>
  <si>
    <t>LENZZE</t>
  </si>
  <si>
    <t>LESSOAN</t>
  </si>
  <si>
    <t>CAPA DE CORTE IMPERMEAVEL</t>
  </si>
  <si>
    <t>SACOLA LONA IMPERMEAVEL COR CRU</t>
  </si>
  <si>
    <t>LEUK COSMÉTICOS</t>
  </si>
  <si>
    <t xml:space="preserve">LILIAN </t>
  </si>
  <si>
    <t>NECESSAIRE 100% ALGODÃO</t>
  </si>
  <si>
    <t>LIZZE</t>
  </si>
  <si>
    <t>NECESSAIRE NYLON 70 PHOTON LIZZE</t>
  </si>
  <si>
    <t xml:space="preserve">NECESSAIRE NYLON 70 EXTREME </t>
  </si>
  <si>
    <t>NECESSAIRE NY PLASTIFICADO 25X20X9</t>
  </si>
  <si>
    <t>NECESSAIRE NY 25X20</t>
  </si>
  <si>
    <t xml:space="preserve"> NECESSAIRE</t>
  </si>
  <si>
    <t>LONDON</t>
  </si>
  <si>
    <t>CAPA DE CORTE TACTEL BIG</t>
  </si>
  <si>
    <t>AVENTAL POLIESTER COM BOLSO</t>
  </si>
  <si>
    <t>CAPA DE CORTE 1,4X1,5</t>
  </si>
  <si>
    <t>LOOFER</t>
  </si>
  <si>
    <t>CAPA DE CORTE  CETIM</t>
  </si>
  <si>
    <t>CAPA DE CORTE  0,85X1,40</t>
  </si>
  <si>
    <t xml:space="preserve">LOVE ME </t>
  </si>
  <si>
    <t>LSV BEAUTY</t>
  </si>
  <si>
    <t>LUCIANO COSTA - LCN</t>
  </si>
  <si>
    <t>LUDIMILA ARRUDA</t>
  </si>
  <si>
    <t xml:space="preserve">LULLY BIJU PET </t>
  </si>
  <si>
    <t xml:space="preserve">LUNA COSMETICOS LCO PET LTDA </t>
  </si>
  <si>
    <t>LUNA DISTRIBUIDORA</t>
  </si>
  <si>
    <t>M M DA S BALBINO</t>
  </si>
  <si>
    <t>M.D BOSO (PROHALL)</t>
  </si>
  <si>
    <t>CAMISETA GOLA CARECA MALHA PV BIG</t>
  </si>
  <si>
    <t>MAGNUM</t>
  </si>
  <si>
    <t>MARCIO MELLO ESPAÇO RIO</t>
  </si>
  <si>
    <t xml:space="preserve">MARKET BRINDES </t>
  </si>
  <si>
    <t xml:space="preserve">SACOLA BAGUN SUBLIMADA </t>
  </si>
  <si>
    <t xml:space="preserve">MARTINE E BUENO </t>
  </si>
  <si>
    <t>SACOLA LONITA ALGODÃO</t>
  </si>
  <si>
    <t>COMUNICAÇÃO</t>
  </si>
  <si>
    <t>MARTINI &amp; BUENO (SYMPHONIC)</t>
  </si>
  <si>
    <t>MAXBELLY</t>
  </si>
  <si>
    <t>MAYARA - PRYLIA</t>
  </si>
  <si>
    <t>MER CASTRO COMERCIO (MARIA SUBLIME)</t>
  </si>
  <si>
    <t xml:space="preserve">SAQUINHO DE ALGODÃO </t>
  </si>
  <si>
    <t>ALMOFADA PORTA PULCEIRA</t>
  </si>
  <si>
    <t>MIMOS PET</t>
  </si>
  <si>
    <t>MINI BEAUTY</t>
  </si>
  <si>
    <t>MP BARBER FAMILIA</t>
  </si>
  <si>
    <t xml:space="preserve">MULTILIXO </t>
  </si>
  <si>
    <t>SACOLA ALGODAO 30,5 X 37,5</t>
  </si>
  <si>
    <t>MULTILIXO REMOÇÕES DE LIXO</t>
  </si>
  <si>
    <t>SACOLA LONITA</t>
  </si>
  <si>
    <t>MUNDIAL COSMÉTICOS</t>
  </si>
  <si>
    <t>MUSKINHA</t>
  </si>
  <si>
    <t>SACO ALGODÃO COM VISOR</t>
  </si>
  <si>
    <t xml:space="preserve">SACO </t>
  </si>
  <si>
    <t>SACO TNT 67X1,1</t>
  </si>
  <si>
    <t>SACO TNT 66X40</t>
  </si>
  <si>
    <t>SACO ALGODÃO CRU 77X60</t>
  </si>
  <si>
    <t>SACO DE ALGODÃO COM VISOR 30LX39A</t>
  </si>
  <si>
    <t>SACO TNT COM VISOR 30LX40A</t>
  </si>
  <si>
    <t>SACO TNT COM VISOR 50LX55A</t>
  </si>
  <si>
    <t>SACOLA GRANDE TNT</t>
  </si>
  <si>
    <t>SACO TNT</t>
  </si>
  <si>
    <t>MY PHIOS</t>
  </si>
  <si>
    <t>CAPA DE CORTE CETIM 1,40X1,50</t>
  </si>
  <si>
    <t>CAPA DE CORET CETIM</t>
  </si>
  <si>
    <t>CAMISETA MALHA PV COR BRANCA</t>
  </si>
  <si>
    <t>CAMISETA MALHA PV COR PRETA ESTAMPA FRENTE E VERSO</t>
  </si>
  <si>
    <t>CAMISETA MALHA PV COR VERDE ESTAMPA FRENTE E VERSO</t>
  </si>
  <si>
    <t>CAMISETA MALHA PV LOGO EY</t>
  </si>
  <si>
    <t>NESTIG</t>
  </si>
  <si>
    <t>SACO ALGODÃO 1X100</t>
  </si>
  <si>
    <t>NESTING</t>
  </si>
  <si>
    <t xml:space="preserve">SACO DE ALGODAO </t>
  </si>
  <si>
    <t xml:space="preserve"> ETIQUETA ALGODÃO</t>
  </si>
  <si>
    <t>NEW AGE</t>
  </si>
  <si>
    <t>KIMONO TACTEL TAM ÚNICO PRETO</t>
  </si>
  <si>
    <t>KIMONO TACTEL TAM ÚNICO BRANCO</t>
  </si>
  <si>
    <t>AVENTAL BARBEIRO SARJA E COURO SINTÉTICO</t>
  </si>
  <si>
    <t>CAMISETA POLO</t>
  </si>
  <si>
    <t>NEW AY - GHOODESS</t>
  </si>
  <si>
    <t>KIMONO OXFORD</t>
  </si>
  <si>
    <t>NEW CONCEPT</t>
  </si>
  <si>
    <t>CAPA DE CORTE TACTE 0,85X1,40</t>
  </si>
  <si>
    <t>NEW DENTAL</t>
  </si>
  <si>
    <t>NEWAY INDUSTRIA</t>
  </si>
  <si>
    <t>NOBRE BELEZA - TOCTUS</t>
  </si>
  <si>
    <t>NOEME SERRA PAIXÃO</t>
  </si>
  <si>
    <t>SACOLA POLIESTER 30X30X10</t>
  </si>
  <si>
    <t xml:space="preserve">NORDEC </t>
  </si>
  <si>
    <t>NORTE &amp; SUL COSMETICOS</t>
  </si>
  <si>
    <t>AVENTAL VINTAGE OFF WHITE</t>
  </si>
  <si>
    <t>NUANCE</t>
  </si>
  <si>
    <t>OLP INDUSTRIA</t>
  </si>
  <si>
    <t>NECESSAIRE CRISTAL COM VIÉS TNT LAMINADO</t>
  </si>
  <si>
    <t>SACOLA LONITA  305g 40LX30AX20</t>
  </si>
  <si>
    <t>OMNITEK</t>
  </si>
  <si>
    <t>ONE WAY</t>
  </si>
  <si>
    <t>ORGANIC BEAUTY (GABONI)</t>
  </si>
  <si>
    <t>PADARIA SEGUNDA CASA (CHANTÉ)</t>
  </si>
  <si>
    <t>CAMISTEA MALHA 100% ALGODÃO BABY LOOK</t>
  </si>
  <si>
    <t xml:space="preserve">PAULO F BRAZ </t>
  </si>
  <si>
    <t>PENTEL</t>
  </si>
  <si>
    <t>PET SPA</t>
  </si>
  <si>
    <t xml:space="preserve">JALECO GROOMER TAFETA - MODELO PET SPA </t>
  </si>
  <si>
    <t>PETGROOM</t>
  </si>
  <si>
    <t>PHD COSMÉTICOS</t>
  </si>
  <si>
    <t>PHEKA INDUSTRIA</t>
  </si>
  <si>
    <t>PHYTO GREEN</t>
  </si>
  <si>
    <t>AVENTAL VINTAGE</t>
  </si>
  <si>
    <t>CAPA DE CORTE IMPERMEAVEL 0,85X1,40</t>
  </si>
  <si>
    <t>TOUCA DE CETIM</t>
  </si>
  <si>
    <t>TOUCA</t>
  </si>
  <si>
    <t>TOUCA DE CETIM COM DIFUSOR</t>
  </si>
  <si>
    <t>TOUCA DE CETIM DUPLA FACE</t>
  </si>
  <si>
    <t>SACOCHILA NY 70</t>
  </si>
  <si>
    <t>PLANETA TERRA</t>
  </si>
  <si>
    <t>PRATIPET</t>
  </si>
  <si>
    <t>CAPA PROTETOR PREMIER</t>
  </si>
  <si>
    <t>CAPA PARA CAIXA TRANSPORTE</t>
  </si>
  <si>
    <t>CAPA TRANSPORTE</t>
  </si>
  <si>
    <t xml:space="preserve">AVENTAL NY  EMBORRACHADO AZUL </t>
  </si>
  <si>
    <t xml:space="preserve">PASTA NOTEBOOK </t>
  </si>
  <si>
    <t>PASTA</t>
  </si>
  <si>
    <t>PASTA NOTEBOOK NEOPREME</t>
  </si>
  <si>
    <t>CAPA PROTETOR</t>
  </si>
  <si>
    <t>MANTA COBERTOR PET 1M X 70</t>
  </si>
  <si>
    <t>MANTA</t>
  </si>
  <si>
    <t xml:space="preserve">BANDANA PET </t>
  </si>
  <si>
    <t>BANDANA</t>
  </si>
  <si>
    <t>CAPA DE CADEIRA HELANCA</t>
  </si>
  <si>
    <t>CAPA DE CADEIRA</t>
  </si>
  <si>
    <t>TOALHA DE NATAÇÃO</t>
  </si>
  <si>
    <t>TOLHA</t>
  </si>
  <si>
    <t>CAMISETA  MALHA PV</t>
  </si>
  <si>
    <t>CAMISA SOCIAL</t>
  </si>
  <si>
    <t>CAMISA</t>
  </si>
  <si>
    <t>PRIGOL E FILHOS YUP</t>
  </si>
  <si>
    <t>NECESSAIRE CRISTAL</t>
  </si>
  <si>
    <t xml:space="preserve">NECESSAIRE COURO SINTÉTICO </t>
  </si>
  <si>
    <t>PROLAB INDUSTRIA E COMERCIO</t>
  </si>
  <si>
    <t>NECESSAIRE CRISTAL 18X22X8 - BRASILIZ</t>
  </si>
  <si>
    <t>PRW - MARROQUINA</t>
  </si>
  <si>
    <t>PUP'S PET</t>
  </si>
  <si>
    <t>PUREZA PET DISTRIBUIDORA</t>
  </si>
  <si>
    <t>GIUDIT COSMÉTICOS</t>
  </si>
  <si>
    <t>OXIOZ PRODUTOS OZONIZADOS</t>
  </si>
  <si>
    <t>R&amp;R RICHEE</t>
  </si>
  <si>
    <t>CAMISA DRYFIT GOLA CARECA</t>
  </si>
  <si>
    <t>AVENTAL TACTEL MODELO PADRÃO</t>
  </si>
  <si>
    <t>REGINA E EQUIPE (KERASTINNI)</t>
  </si>
  <si>
    <t>BABY LOOK FEMININA MALHA PV</t>
  </si>
  <si>
    <t>RICARDO DE MOURA (LEUK COSMETICOS)</t>
  </si>
  <si>
    <t>RICKPAUL COSMÉTICOS</t>
  </si>
  <si>
    <t>ROBERTO LAURITZEN</t>
  </si>
  <si>
    <t>TREEBOND</t>
  </si>
  <si>
    <t>ROSELANDIA</t>
  </si>
  <si>
    <t>RR BARBEARIA</t>
  </si>
  <si>
    <t>SACALLOP</t>
  </si>
  <si>
    <t xml:space="preserve">SANAJ INDUSTRIAL LTDA </t>
  </si>
  <si>
    <t>SARAH K</t>
  </si>
  <si>
    <t xml:space="preserve">CAPA DE CETIM - COR PINK </t>
  </si>
  <si>
    <t>CAPA DE CETIM - COR PRETA</t>
  </si>
  <si>
    <t xml:space="preserve">CAPA DE CETIM - COR ROSA SALMÃO </t>
  </si>
  <si>
    <t>CAPA DE CORTE CETIM PRETA</t>
  </si>
  <si>
    <t>CAPA DE CORTE CETIM AZUL</t>
  </si>
  <si>
    <t>AVENTAL JEANS</t>
  </si>
  <si>
    <t>SCALLOP PROFESSIONAL</t>
  </si>
  <si>
    <t>SENHORA BARBA</t>
  </si>
  <si>
    <t>SENSES COSMÉTICOS</t>
  </si>
  <si>
    <t>SHED PROFESSIONAL</t>
  </si>
  <si>
    <t>SOLLIE</t>
  </si>
  <si>
    <t>SOLUTION (DOLCE PET)</t>
  </si>
  <si>
    <t>J. HOSANO DOS SANTOS (STAR LISS)</t>
  </si>
  <si>
    <t xml:space="preserve"> PET</t>
  </si>
  <si>
    <t xml:space="preserve">SUNNY PET </t>
  </si>
  <si>
    <t>SURREAL PET</t>
  </si>
  <si>
    <t>NECESSAIRE EXECUTIVE</t>
  </si>
  <si>
    <t>NECESSAIRE ALÇA</t>
  </si>
  <si>
    <t>T A DOS SANTOS (STELLA COSMETICOS)</t>
  </si>
  <si>
    <t>TAIFF DISTRIBUIDORA</t>
  </si>
  <si>
    <t>AVENTAL NY VERMELHO</t>
  </si>
  <si>
    <t>CAMISETA POLO VERMELHA</t>
  </si>
  <si>
    <t>CAMISETA POLO BRANCA</t>
  </si>
  <si>
    <t>SACO ALGODÃO CRU</t>
  </si>
  <si>
    <t>SACO DE ALGODÃO</t>
  </si>
  <si>
    <t>ETIQUETA DE ALGODÃO</t>
  </si>
  <si>
    <t>ETIQUETA</t>
  </si>
  <si>
    <t>TASELI</t>
  </si>
  <si>
    <t>TECH MULTI - BRULIER PROFESSIONAL</t>
  </si>
  <si>
    <t>TERUYA</t>
  </si>
  <si>
    <t>THE GLOW</t>
  </si>
  <si>
    <t>TRADECORP</t>
  </si>
  <si>
    <t>VITÓRIA CALAZANY (AVDOS)</t>
  </si>
  <si>
    <t>TREE BOND DO BRASIL</t>
  </si>
  <si>
    <t>TRENDSMAKE</t>
  </si>
  <si>
    <t>TREOLY</t>
  </si>
  <si>
    <t>CAMISETA MALHA PV - XG</t>
  </si>
  <si>
    <t>TROIA HAIR</t>
  </si>
  <si>
    <t>UNIDAS SERVIÇOS</t>
  </si>
  <si>
    <t>TURISMO</t>
  </si>
  <si>
    <t>VAI VIVER</t>
  </si>
  <si>
    <t>SACOCHILA NYLON EMBORRACHADO 30L X 35 VERDE</t>
  </si>
  <si>
    <t>SACOCHILA NYLON EMBORRACHADO 30L X 35 AZUL</t>
  </si>
  <si>
    <t>SACO ALGODÃO 30X40</t>
  </si>
  <si>
    <t xml:space="preserve">NECESSAIRE NYLON PLASTIFICADO </t>
  </si>
  <si>
    <t>EVENTOS</t>
  </si>
  <si>
    <t>VALORIZ PROMOÇÕES E EVENTOS</t>
  </si>
  <si>
    <t>SACOLA NYLON 600 35X 38</t>
  </si>
  <si>
    <t>VB BURANA</t>
  </si>
  <si>
    <t>VENDA NOVA PET</t>
  </si>
  <si>
    <t>VERLO COSMÉTICOS</t>
  </si>
  <si>
    <t>VETEROZON</t>
  </si>
  <si>
    <t>VEVVO</t>
  </si>
  <si>
    <t>VINICIUS RAPINI</t>
  </si>
  <si>
    <t>LUKE MP</t>
  </si>
  <si>
    <t>VITTA FLOW'S</t>
  </si>
  <si>
    <t xml:space="preserve">VITTA GOLD COMERCIO </t>
  </si>
  <si>
    <t xml:space="preserve">CAPA DE CORTE CETIM </t>
  </si>
  <si>
    <t>CAPA DE CORTE CETIM DOURADA</t>
  </si>
  <si>
    <t>VYZ PROFESSIONAL</t>
  </si>
  <si>
    <t>CAPA DE CORTE CETIM 1X1,40</t>
  </si>
  <si>
    <t>WANDER RODRIGUES</t>
  </si>
  <si>
    <t>WISER EDUCAÇÃO (BUZZ EDITORA)</t>
  </si>
  <si>
    <t>SACOLA PET SUBLIMADA</t>
  </si>
  <si>
    <t>YEP - ISA LISS COSMÉTICOS</t>
  </si>
  <si>
    <t>YEP PROFESSIONAL</t>
  </si>
  <si>
    <t>PUP´S VET</t>
  </si>
  <si>
    <t>DUO (KPRO)</t>
  </si>
  <si>
    <t>AVENTAL BARBEIRO</t>
  </si>
  <si>
    <t>SACO ALGODÃO CRU 77AX60L</t>
  </si>
  <si>
    <t>FRESHNESS PET</t>
  </si>
  <si>
    <t>CADIVEU</t>
  </si>
  <si>
    <t>JAIRA FORTUNATO (DOLCE PET)</t>
  </si>
  <si>
    <t>NOVACON ACESSORIA</t>
  </si>
  <si>
    <t>SC BATATAIS (GLOSFLEX COSMÉTICOS)</t>
  </si>
  <si>
    <t>CAPA DE CORTE MODELO PADRÃO</t>
  </si>
  <si>
    <t>DOBERMED (PELONCIO)</t>
  </si>
  <si>
    <t>SACOLA ALGODÃO</t>
  </si>
  <si>
    <t>NECESSAIRE CRISTAL C/TESTEIRA</t>
  </si>
  <si>
    <t>WISER (BUZZ EDITORA)</t>
  </si>
  <si>
    <t>L D CAPACITAÇÕES</t>
  </si>
  <si>
    <t>CLAUDIA (BIATON)</t>
  </si>
  <si>
    <t>O AMIGÃO</t>
  </si>
  <si>
    <t>OBRA PRIMA (BLZ CLINIC)</t>
  </si>
  <si>
    <t>NECESSAIRE ENCANTO</t>
  </si>
  <si>
    <t>SAQUINHO DE ALGODÃO CRU</t>
  </si>
  <si>
    <t>AVENTAL POLIESTER</t>
  </si>
  <si>
    <t xml:space="preserve">SARAH K </t>
  </si>
  <si>
    <t>BM BRASIL</t>
  </si>
  <si>
    <t>AVENTAL NYLON LINHO</t>
  </si>
  <si>
    <t>MPK BEAUTY</t>
  </si>
  <si>
    <t>NEWAY GHOODESS</t>
  </si>
  <si>
    <t>CAMISETA POLO MALHA PIQUET</t>
  </si>
  <si>
    <t>DEEP PETS (SPETIALIST)</t>
  </si>
  <si>
    <t>BIOMAC (DEJAVU)</t>
  </si>
  <si>
    <t>JA DA CAMARA FERNANDES</t>
  </si>
  <si>
    <t>CAMISETA GOLA CARECA MALHA 100% ALGODÃO TAM XG</t>
  </si>
  <si>
    <t>SACOLA DEALGODÃO COLORIDO LARANJA</t>
  </si>
  <si>
    <t>SACOLA DE LONITA - LOGO QUANDO</t>
  </si>
  <si>
    <t>HAVANNA ARACAJU</t>
  </si>
  <si>
    <t>CAMISETA GOLA CARECA MALHA 100% ALGODÃO</t>
  </si>
  <si>
    <t>SAQUINHO DE NYLON 70</t>
  </si>
  <si>
    <t>BLUSA</t>
  </si>
  <si>
    <t>SAQUINHO DE LONITA</t>
  </si>
  <si>
    <t>CAMISETA MALHA PERUANA</t>
  </si>
  <si>
    <t>AVENTAL SEMI IMPERMEAVEL</t>
  </si>
  <si>
    <t>CAMISETA GOLA CARECE MALHA PV</t>
  </si>
  <si>
    <t>CAMISETA BABY LOOK MALHA 100% ALGODÃO</t>
  </si>
  <si>
    <t>FATURAMENTO</t>
  </si>
  <si>
    <t>A RECEBER</t>
  </si>
  <si>
    <t>TICKTI MÉDIO</t>
  </si>
  <si>
    <t>Faturar</t>
  </si>
  <si>
    <t>—</t>
  </si>
  <si>
    <t>Liquidar</t>
  </si>
  <si>
    <t>VENDAS 2026</t>
  </si>
  <si>
    <t>QUANT PEDIDOS</t>
  </si>
  <si>
    <t>VALOR TOTAL</t>
  </si>
  <si>
    <t>TICTIK MÉDIO</t>
  </si>
  <si>
    <t>TAM</t>
  </si>
  <si>
    <t>QUANT</t>
  </si>
  <si>
    <t>CAMISETA BABY LOOK</t>
  </si>
  <si>
    <t>M</t>
  </si>
  <si>
    <t>G</t>
  </si>
  <si>
    <t>POLO FEMININA</t>
  </si>
  <si>
    <t>P</t>
  </si>
  <si>
    <t>GG</t>
  </si>
  <si>
    <t>BLUSA MOLETOM</t>
  </si>
  <si>
    <t>PEDIDO HAVANNA 241 - PATAGONIA CAFÉ</t>
  </si>
  <si>
    <t>SACOLA DE NYLON PLASTIFICADO COR AZUL</t>
  </si>
  <si>
    <t>MARKET BRINDES</t>
  </si>
  <si>
    <t>AVENTAL BAGUN PRETO</t>
  </si>
  <si>
    <t>RICHEE PROFESSIONAL</t>
  </si>
  <si>
    <t>PEDIDO HAVANNA  244 - CAFÉ E DOCES</t>
  </si>
  <si>
    <t>PEDIDO HAVANNA  237 - HVNN ONE COMERCIO</t>
  </si>
  <si>
    <t>RICARDO CAMPOS (RICKPAUL)</t>
  </si>
  <si>
    <t>CARIBE CAFETERIA</t>
  </si>
  <si>
    <t>S R DOS SANTOS LIZZE</t>
  </si>
  <si>
    <t>TECH MULT (BRULIER)</t>
  </si>
  <si>
    <t>MULTILIXO</t>
  </si>
  <si>
    <t>PRIGOL E FILHOS</t>
  </si>
  <si>
    <t xml:space="preserve">NECESSAIRE MALETA </t>
  </si>
  <si>
    <t>NATHALIA REGINA</t>
  </si>
  <si>
    <t>AVICULTURAL E AGROPET</t>
  </si>
  <si>
    <t>NECESSSAIRE MALETA</t>
  </si>
  <si>
    <t>AVENTAL PET NYLON PLASTIFICADO</t>
  </si>
  <si>
    <t>CAPA DE GAIOLA PREMIER HELANCA COM CRISTAL</t>
  </si>
  <si>
    <t>CAPA DE GAIOLA</t>
  </si>
  <si>
    <t>CAPA PARA CAIXA DE TRANSPORTE</t>
  </si>
  <si>
    <t>CAPA PARA CAIXA</t>
  </si>
  <si>
    <t>AVENTAL  NY EMBORRACHADO</t>
  </si>
  <si>
    <t>TAPIS COMERCIO</t>
  </si>
  <si>
    <t>COSMETICOS</t>
  </si>
  <si>
    <t xml:space="preserve">KIMONO TECTEL </t>
  </si>
  <si>
    <t>ROYAL BEAUTY</t>
  </si>
  <si>
    <t>AVENTAL PET NY EMBORRACHADO</t>
  </si>
  <si>
    <t>PEDIDO HAVANNA  254 - CAPOBIANGO</t>
  </si>
  <si>
    <t>BABY LOOK MANGA LONGA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</si>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</sst>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&quot;R$&quot;\ #,##0.00"/>
    <numFmt numFmtId="166" formatCode="_-* #,##0_-;\-* #,##0_-;_-* &quot;-&quot;??_-;_-@_-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sz val="10"/>
      <name val="Calibri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9"/>
      <color theme="1"/>
      <name val="Calibri"/>
      <family val="2"/>
    </font>
    <font>
      <sz val="10"/>
      <color theme="0"/>
      <name val="Calibri"/>
      <family val="2"/>
    </font>
    <font>
      <b/>
      <sz val="10"/>
      <color theme="1" tint="0.14999847407452621"/>
      <name val="Calibri"/>
      <family val="2"/>
    </font>
    <font>
      <b/>
      <sz val="11"/>
      <color theme="0"/>
      <name val="Calibri"/>
      <family val="2"/>
    </font>
    <font>
      <b/>
      <sz val="10"/>
      <color theme="3" tint="0.249977111117893"/>
      <name val="Calibri"/>
      <family val="2"/>
    </font>
    <font>
      <sz val="9"/>
      <name val="Calibri"/>
      <family val="2"/>
    </font>
    <font>
      <sz val="9"/>
      <color theme="1"/>
      <name val="Aptos Narrow"/>
      <family val="2"/>
      <scheme val="minor"/>
    </font>
    <font>
      <b/>
      <sz val="9"/>
      <color theme="4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4" tint="-0.499984740745262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Calibri"/>
      <family val="2"/>
    </font>
    <font>
      <b/>
      <u val="singleAccounting"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sz val="16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ck">
        <color theme="4" tint="-0.499984740745262"/>
      </left>
      <right style="thin">
        <color theme="4" tint="-0.499984740745262"/>
      </right>
      <top style="thick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ck">
        <color theme="4" tint="-0.499984740745262"/>
      </right>
      <top style="thick">
        <color theme="4" tint="-0.499984740745262"/>
      </top>
      <bottom style="thin">
        <color theme="4" tint="-0.499984740745262"/>
      </bottom>
      <diagonal/>
    </border>
    <border>
      <left style="thick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ck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ck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ck">
        <color theme="4" tint="-0.499984740745262"/>
      </bottom>
      <diagonal/>
    </border>
    <border>
      <left style="thin">
        <color theme="4" tint="-0.499984740745262"/>
      </left>
      <right style="thick">
        <color theme="4" tint="-0.499984740745262"/>
      </right>
      <top style="thin">
        <color theme="4" tint="-0.499984740745262"/>
      </top>
      <bottom style="thick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ck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ck">
        <color theme="4" tint="-0.499984740745262"/>
      </right>
      <top style="thin">
        <color theme="4" tint="-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/>
      <top style="thick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ck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3">
    <xf numFmtId="0" fontId="0" fillId="0" borderId="0" xfId="0"/>
    <xf numFmtId="44" fontId="0" fillId="0" borderId="0" xfId="1" applyFont="1"/>
    <xf numFmtId="0" fontId="2" fillId="2" borderId="1" xfId="0" applyFont="1" applyFill="1" applyBorder="1"/>
    <xf numFmtId="44" fontId="2" fillId="2" borderId="1" xfId="1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44" fontId="3" fillId="0" borderId="1" xfId="1" applyFont="1" applyBorder="1"/>
    <xf numFmtId="14" fontId="4" fillId="0" borderId="1" xfId="0" applyNumberFormat="1" applyFont="1" applyBorder="1"/>
    <xf numFmtId="14" fontId="3" fillId="4" borderId="1" xfId="0" applyNumberFormat="1" applyFont="1" applyFill="1" applyBorder="1"/>
    <xf numFmtId="14" fontId="3" fillId="3" borderId="1" xfId="0" applyNumberFormat="1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5" fillId="8" borderId="1" xfId="0" applyFont="1" applyFill="1" applyBorder="1"/>
    <xf numFmtId="0" fontId="5" fillId="2" borderId="1" xfId="0" applyFont="1" applyFill="1" applyBorder="1"/>
    <xf numFmtId="44" fontId="0" fillId="0" borderId="1" xfId="1" applyFont="1" applyBorder="1"/>
    <xf numFmtId="44" fontId="0" fillId="0" borderId="1" xfId="0" applyNumberFormat="1" applyBorder="1"/>
    <xf numFmtId="0" fontId="0" fillId="0" borderId="1" xfId="0" applyBorder="1"/>
    <xf numFmtId="44" fontId="6" fillId="5" borderId="1" xfId="0" applyNumberFormat="1" applyFont="1" applyFill="1" applyBorder="1"/>
    <xf numFmtId="44" fontId="6" fillId="9" borderId="1" xfId="0" applyNumberFormat="1" applyFont="1" applyFill="1" applyBorder="1"/>
    <xf numFmtId="44" fontId="6" fillId="3" borderId="1" xfId="0" applyNumberFormat="1" applyFont="1" applyFill="1" applyBorder="1"/>
    <xf numFmtId="44" fontId="2" fillId="8" borderId="1" xfId="1" applyFont="1" applyFill="1" applyBorder="1"/>
    <xf numFmtId="44" fontId="6" fillId="2" borderId="1" xfId="0" applyNumberFormat="1" applyFont="1" applyFill="1" applyBorder="1"/>
    <xf numFmtId="0" fontId="3" fillId="0" borderId="2" xfId="0" applyFont="1" applyBorder="1"/>
    <xf numFmtId="14" fontId="3" fillId="0" borderId="0" xfId="0" applyNumberFormat="1" applyFont="1"/>
    <xf numFmtId="0" fontId="3" fillId="0" borderId="3" xfId="0" applyFont="1" applyBorder="1"/>
    <xf numFmtId="14" fontId="3" fillId="10" borderId="1" xfId="0" applyNumberFormat="1" applyFont="1" applyFill="1" applyBorder="1"/>
    <xf numFmtId="14" fontId="3" fillId="0" borderId="3" xfId="0" applyNumberFormat="1" applyFont="1" applyBorder="1"/>
    <xf numFmtId="44" fontId="3" fillId="0" borderId="3" xfId="1" applyFont="1" applyBorder="1"/>
    <xf numFmtId="14" fontId="3" fillId="3" borderId="3" xfId="0" applyNumberFormat="1" applyFont="1" applyFill="1" applyBorder="1"/>
    <xf numFmtId="14" fontId="3" fillId="0" borderId="2" xfId="0" applyNumberFormat="1" applyFont="1" applyBorder="1"/>
    <xf numFmtId="44" fontId="3" fillId="0" borderId="2" xfId="1" applyFont="1" applyBorder="1"/>
    <xf numFmtId="14" fontId="3" fillId="3" borderId="2" xfId="0" applyNumberFormat="1" applyFont="1" applyFill="1" applyBorder="1"/>
    <xf numFmtId="0" fontId="3" fillId="0" borderId="4" xfId="0" applyFont="1" applyBorder="1"/>
    <xf numFmtId="14" fontId="3" fillId="0" borderId="4" xfId="0" applyNumberFormat="1" applyFont="1" applyBorder="1"/>
    <xf numFmtId="44" fontId="3" fillId="0" borderId="4" xfId="1" applyFont="1" applyBorder="1"/>
    <xf numFmtId="14" fontId="3" fillId="3" borderId="4" xfId="0" applyNumberFormat="1" applyFont="1" applyFill="1" applyBorder="1"/>
    <xf numFmtId="0" fontId="8" fillId="0" borderId="0" xfId="0" applyFont="1"/>
    <xf numFmtId="44" fontId="7" fillId="0" borderId="0" xfId="1" applyFont="1"/>
    <xf numFmtId="0" fontId="0" fillId="0" borderId="1" xfId="0" quotePrefix="1" applyBorder="1"/>
    <xf numFmtId="14" fontId="0" fillId="0" borderId="1" xfId="0" applyNumberFormat="1" applyBorder="1"/>
    <xf numFmtId="0" fontId="0" fillId="0" borderId="2" xfId="0" applyBorder="1"/>
    <xf numFmtId="0" fontId="2" fillId="2" borderId="5" xfId="0" applyFont="1" applyFill="1" applyBorder="1"/>
    <xf numFmtId="0" fontId="3" fillId="0" borderId="5" xfId="0" applyFont="1" applyBorder="1"/>
    <xf numFmtId="0" fontId="3" fillId="0" borderId="0" xfId="0" applyFont="1"/>
    <xf numFmtId="14" fontId="3" fillId="11" borderId="1" xfId="0" applyNumberFormat="1" applyFont="1" applyFill="1" applyBorder="1"/>
    <xf numFmtId="14" fontId="0" fillId="3" borderId="1" xfId="0" applyNumberFormat="1" applyFill="1" applyBorder="1"/>
    <xf numFmtId="0" fontId="0" fillId="0" borderId="5" xfId="0" applyBorder="1"/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4" fontId="10" fillId="0" borderId="0" xfId="1" applyFont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3" fillId="0" borderId="0" xfId="0" applyFont="1"/>
    <xf numFmtId="3" fontId="0" fillId="0" borderId="6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11" fillId="15" borderId="6" xfId="0" applyFont="1" applyFill="1" applyBorder="1" applyAlignment="1">
      <alignment horizontal="center" vertical="center"/>
    </xf>
    <xf numFmtId="44" fontId="12" fillId="16" borderId="9" xfId="1" applyFont="1" applyFill="1" applyBorder="1" applyAlignment="1">
      <alignment horizontal="left" vertical="center"/>
    </xf>
    <xf numFmtId="44" fontId="12" fillId="16" borderId="10" xfId="1" applyFont="1" applyFill="1" applyBorder="1" applyAlignment="1">
      <alignment horizontal="center" vertical="center"/>
    </xf>
    <xf numFmtId="0" fontId="11" fillId="15" borderId="11" xfId="0" applyFont="1" applyFill="1" applyBorder="1" applyAlignment="1">
      <alignment horizontal="center" vertical="center"/>
    </xf>
    <xf numFmtId="44" fontId="11" fillId="15" borderId="12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164" fontId="0" fillId="0" borderId="10" xfId="0" applyNumberForma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3" fontId="0" fillId="0" borderId="6" xfId="0" applyNumberFormat="1" applyBorder="1" applyAlignment="1">
      <alignment horizontal="center" vertical="center"/>
    </xf>
    <xf numFmtId="3" fontId="11" fillId="15" borderId="14" xfId="0" applyNumberFormat="1" applyFont="1" applyFill="1" applyBorder="1" applyAlignment="1">
      <alignment horizontal="center" vertical="center"/>
    </xf>
    <xf numFmtId="164" fontId="11" fillId="15" borderId="15" xfId="0" applyNumberFormat="1" applyFont="1" applyFill="1" applyBorder="1" applyAlignment="1">
      <alignment horizontal="center" vertical="center"/>
    </xf>
    <xf numFmtId="0" fontId="11" fillId="15" borderId="19" xfId="0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11" fillId="15" borderId="20" xfId="0" applyFont="1" applyFill="1" applyBorder="1" applyAlignment="1">
      <alignment horizontal="center"/>
    </xf>
    <xf numFmtId="164" fontId="0" fillId="0" borderId="19" xfId="0" applyNumberFormat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3" fontId="10" fillId="0" borderId="1" xfId="0" applyNumberFormat="1" applyFont="1" applyBorder="1" applyAlignment="1">
      <alignment horizontal="center" vertical="center"/>
    </xf>
    <xf numFmtId="0" fontId="11" fillId="15" borderId="21" xfId="0" applyFont="1" applyFill="1" applyBorder="1" applyAlignment="1">
      <alignment horizontal="center" vertical="center"/>
    </xf>
    <xf numFmtId="164" fontId="5" fillId="17" borderId="28" xfId="0" applyNumberFormat="1" applyFont="1" applyFill="1" applyBorder="1"/>
    <xf numFmtId="9" fontId="5" fillId="17" borderId="29" xfId="0" applyNumberFormat="1" applyFont="1" applyFill="1" applyBorder="1"/>
    <xf numFmtId="0" fontId="9" fillId="0" borderId="1" xfId="0" applyFont="1" applyBorder="1" applyAlignment="1">
      <alignment horizontal="left" vertical="center"/>
    </xf>
    <xf numFmtId="164" fontId="10" fillId="0" borderId="1" xfId="0" applyNumberFormat="1" applyFont="1" applyBorder="1" applyAlignment="1">
      <alignment horizontal="left" vertical="center"/>
    </xf>
    <xf numFmtId="0" fontId="17" fillId="19" borderId="0" xfId="0" applyFont="1" applyFill="1" applyAlignment="1">
      <alignment horizontal="left" vertical="center"/>
    </xf>
    <xf numFmtId="0" fontId="17" fillId="19" borderId="0" xfId="0" applyFont="1" applyFill="1" applyAlignment="1">
      <alignment horizontal="center" vertical="center"/>
    </xf>
    <xf numFmtId="3" fontId="17" fillId="19" borderId="0" xfId="0" applyNumberFormat="1" applyFont="1" applyFill="1" applyAlignment="1">
      <alignment horizontal="center" vertical="center"/>
    </xf>
    <xf numFmtId="44" fontId="17" fillId="19" borderId="0" xfId="1" applyFont="1" applyFill="1" applyAlignment="1">
      <alignment horizontal="center" vertical="center"/>
    </xf>
    <xf numFmtId="0" fontId="17" fillId="21" borderId="1" xfId="0" applyFont="1" applyFill="1" applyBorder="1" applyAlignment="1">
      <alignment vertical="center"/>
    </xf>
    <xf numFmtId="0" fontId="17" fillId="18" borderId="1" xfId="0" applyFont="1" applyFill="1" applyBorder="1" applyAlignment="1">
      <alignment horizontal="center" vertical="center"/>
    </xf>
    <xf numFmtId="3" fontId="17" fillId="18" borderId="1" xfId="0" applyNumberFormat="1" applyFont="1" applyFill="1" applyBorder="1" applyAlignment="1">
      <alignment horizontal="center" vertical="center"/>
    </xf>
    <xf numFmtId="164" fontId="17" fillId="18" borderId="1" xfId="0" applyNumberFormat="1" applyFont="1" applyFill="1" applyBorder="1" applyAlignment="1">
      <alignment horizontal="center" vertical="center"/>
    </xf>
    <xf numFmtId="0" fontId="17" fillId="18" borderId="0" xfId="0" applyFont="1" applyFill="1" applyAlignment="1">
      <alignment vertical="center"/>
    </xf>
    <xf numFmtId="0" fontId="17" fillId="18" borderId="0" xfId="0" applyFont="1" applyFill="1" applyAlignment="1">
      <alignment horizontal="center" vertical="center"/>
    </xf>
    <xf numFmtId="3" fontId="17" fillId="18" borderId="0" xfId="0" applyNumberFormat="1" applyFont="1" applyFill="1" applyAlignment="1">
      <alignment horizontal="center" vertical="center"/>
    </xf>
    <xf numFmtId="44" fontId="17" fillId="18" borderId="0" xfId="1" applyFont="1" applyFill="1" applyAlignment="1">
      <alignment horizontal="center" vertical="center"/>
    </xf>
    <xf numFmtId="164" fontId="17" fillId="18" borderId="0" xfId="0" applyNumberFormat="1" applyFont="1" applyFill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3" fontId="21" fillId="20" borderId="0" xfId="0" applyNumberFormat="1" applyFont="1" applyFill="1" applyAlignment="1">
      <alignment horizontal="center" vertical="center"/>
    </xf>
    <xf numFmtId="164" fontId="21" fillId="20" borderId="0" xfId="0" applyNumberFormat="1" applyFont="1" applyFill="1" applyAlignment="1">
      <alignment horizontal="center" vertical="center"/>
    </xf>
    <xf numFmtId="44" fontId="12" fillId="16" borderId="21" xfId="1" applyFont="1" applyFill="1" applyBorder="1" applyAlignment="1">
      <alignment horizontal="left" vertical="center"/>
    </xf>
    <xf numFmtId="1" fontId="14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7" fillId="18" borderId="1" xfId="0" applyNumberFormat="1" applyFont="1" applyFill="1" applyBorder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1" xfId="0" applyFont="1" applyBorder="1" applyAlignment="1">
      <alignment vertical="center"/>
    </xf>
    <xf numFmtId="164" fontId="25" fillId="0" borderId="1" xfId="0" applyNumberFormat="1" applyFont="1" applyBorder="1" applyAlignment="1">
      <alignment vertical="center"/>
    </xf>
    <xf numFmtId="164" fontId="27" fillId="15" borderId="1" xfId="0" applyNumberFormat="1" applyFont="1" applyFill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9" fontId="10" fillId="0" borderId="0" xfId="0" applyNumberFormat="1" applyFont="1" applyAlignment="1">
      <alignment vertical="center"/>
    </xf>
    <xf numFmtId="0" fontId="9" fillId="0" borderId="1" xfId="0" applyFont="1" applyBorder="1" applyAlignment="1">
      <alignment horizontal="right" vertical="center"/>
    </xf>
    <xf numFmtId="9" fontId="10" fillId="0" borderId="1" xfId="0" applyNumberFormat="1" applyFont="1" applyBorder="1" applyAlignment="1">
      <alignment horizontal="left" vertical="center"/>
    </xf>
    <xf numFmtId="0" fontId="5" fillId="0" borderId="1" xfId="0" applyFont="1" applyBorder="1"/>
    <xf numFmtId="0" fontId="11" fillId="22" borderId="1" xfId="0" applyFont="1" applyFill="1" applyBorder="1"/>
    <xf numFmtId="0" fontId="29" fillId="0" borderId="0" xfId="0" applyFont="1"/>
    <xf numFmtId="0" fontId="11" fillId="19" borderId="1" xfId="0" applyFont="1" applyFill="1" applyBorder="1"/>
    <xf numFmtId="1" fontId="11" fillId="19" borderId="1" xfId="0" applyNumberFormat="1" applyFont="1" applyFill="1" applyBorder="1"/>
    <xf numFmtId="44" fontId="11" fillId="19" borderId="1" xfId="0" applyNumberFormat="1" applyFont="1" applyFill="1" applyBorder="1"/>
    <xf numFmtId="0" fontId="25" fillId="0" borderId="37" xfId="0" applyFont="1" applyBorder="1" applyAlignment="1">
      <alignment vertical="center"/>
    </xf>
    <xf numFmtId="3" fontId="0" fillId="0" borderId="1" xfId="0" applyNumberFormat="1" applyBorder="1"/>
    <xf numFmtId="0" fontId="11" fillId="21" borderId="1" xfId="0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14" fontId="31" fillId="2" borderId="1" xfId="0" applyNumberFormat="1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0" borderId="0" xfId="0" applyFont="1"/>
    <xf numFmtId="0" fontId="32" fillId="0" borderId="0" xfId="0" applyFont="1" applyAlignment="1">
      <alignment vertical="center"/>
    </xf>
    <xf numFmtId="0" fontId="32" fillId="0" borderId="1" xfId="0" applyFont="1" applyBorder="1" applyAlignment="1">
      <alignment vertical="center"/>
    </xf>
    <xf numFmtId="0" fontId="32" fillId="0" borderId="1" xfId="0" applyFont="1" applyBorder="1" applyAlignment="1">
      <alignment horizontal="left"/>
    </xf>
    <xf numFmtId="14" fontId="32" fillId="0" borderId="1" xfId="0" applyNumberFormat="1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44" fontId="32" fillId="0" borderId="1" xfId="1" applyFont="1" applyBorder="1" applyAlignment="1">
      <alignment horizontal="left" vertical="center"/>
    </xf>
    <xf numFmtId="0" fontId="32" fillId="0" borderId="4" xfId="0" applyFont="1" applyBorder="1" applyAlignment="1">
      <alignment vertical="center"/>
    </xf>
    <xf numFmtId="14" fontId="32" fillId="0" borderId="4" xfId="0" applyNumberFormat="1" applyFont="1" applyBorder="1" applyAlignment="1">
      <alignment horizontal="left" vertical="center"/>
    </xf>
    <xf numFmtId="0" fontId="32" fillId="0" borderId="4" xfId="0" applyFont="1" applyBorder="1" applyAlignment="1">
      <alignment horizontal="left"/>
    </xf>
    <xf numFmtId="0" fontId="32" fillId="0" borderId="4" xfId="0" applyFont="1" applyBorder="1" applyAlignment="1">
      <alignment horizontal="left" vertical="center"/>
    </xf>
    <xf numFmtId="44" fontId="32" fillId="0" borderId="0" xfId="1" applyFont="1" applyBorder="1" applyAlignment="1">
      <alignment vertical="center"/>
    </xf>
    <xf numFmtId="14" fontId="32" fillId="16" borderId="1" xfId="0" applyNumberFormat="1" applyFont="1" applyFill="1" applyBorder="1" applyAlignment="1">
      <alignment horizontal="left"/>
    </xf>
    <xf numFmtId="0" fontId="32" fillId="16" borderId="1" xfId="0" applyFont="1" applyFill="1" applyBorder="1" applyAlignment="1">
      <alignment horizontal="left"/>
    </xf>
    <xf numFmtId="14" fontId="32" fillId="16" borderId="1" xfId="0" applyNumberFormat="1" applyFont="1" applyFill="1" applyBorder="1" applyAlignment="1">
      <alignment horizontal="left" vertical="center"/>
    </xf>
    <xf numFmtId="0" fontId="32" fillId="16" borderId="1" xfId="0" applyFont="1" applyFill="1" applyBorder="1" applyAlignment="1">
      <alignment horizontal="left" vertical="center"/>
    </xf>
    <xf numFmtId="44" fontId="32" fillId="16" borderId="1" xfId="1" applyFont="1" applyFill="1" applyBorder="1" applyAlignment="1">
      <alignment horizontal="left" vertical="center"/>
    </xf>
    <xf numFmtId="0" fontId="32" fillId="16" borderId="4" xfId="0" applyFont="1" applyFill="1" applyBorder="1" applyAlignment="1">
      <alignment horizontal="left"/>
    </xf>
    <xf numFmtId="0" fontId="32" fillId="0" borderId="31" xfId="0" applyFont="1" applyBorder="1" applyAlignment="1">
      <alignment vertical="center"/>
    </xf>
    <xf numFmtId="0" fontId="32" fillId="0" borderId="17" xfId="0" applyFont="1" applyBorder="1" applyAlignment="1">
      <alignment vertical="center"/>
    </xf>
    <xf numFmtId="44" fontId="31" fillId="2" borderId="1" xfId="1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5" xfId="0" applyFont="1" applyFill="1" applyBorder="1" applyAlignment="1">
      <alignment horizontal="left" vertical="center" wrapText="1"/>
    </xf>
    <xf numFmtId="44" fontId="31" fillId="12" borderId="1" xfId="1" applyFont="1" applyFill="1" applyBorder="1" applyAlignment="1">
      <alignment horizontal="left" vertical="center" wrapText="1"/>
    </xf>
    <xf numFmtId="44" fontId="31" fillId="13" borderId="1" xfId="1" applyFont="1" applyFill="1" applyBorder="1" applyAlignment="1">
      <alignment horizontal="left" vertical="center" wrapText="1"/>
    </xf>
    <xf numFmtId="44" fontId="31" fillId="14" borderId="1" xfId="1" applyFont="1" applyFill="1" applyBorder="1" applyAlignment="1">
      <alignment horizontal="left" vertical="center" wrapText="1"/>
    </xf>
    <xf numFmtId="44" fontId="31" fillId="9" borderId="1" xfId="1" applyFont="1" applyFill="1" applyBorder="1" applyAlignment="1">
      <alignment horizontal="left" vertical="center" wrapText="1"/>
    </xf>
    <xf numFmtId="1" fontId="32" fillId="16" borderId="1" xfId="1" applyNumberFormat="1" applyFont="1" applyFill="1" applyBorder="1" applyAlignment="1">
      <alignment horizontal="left"/>
    </xf>
    <xf numFmtId="166" fontId="32" fillId="16" borderId="1" xfId="2" applyNumberFormat="1" applyFont="1" applyFill="1" applyBorder="1" applyAlignment="1">
      <alignment horizontal="left" vertical="center"/>
    </xf>
    <xf numFmtId="44" fontId="32" fillId="16" borderId="1" xfId="1" applyFont="1" applyFill="1" applyBorder="1" applyAlignment="1">
      <alignment horizontal="left"/>
    </xf>
    <xf numFmtId="1" fontId="32" fillId="16" borderId="1" xfId="1" applyNumberFormat="1" applyFont="1" applyFill="1" applyBorder="1" applyAlignment="1">
      <alignment horizontal="left" vertical="center"/>
    </xf>
    <xf numFmtId="16" fontId="32" fillId="16" borderId="1" xfId="0" applyNumberFormat="1" applyFont="1" applyFill="1" applyBorder="1" applyAlignment="1">
      <alignment horizontal="left" vertical="center"/>
    </xf>
    <xf numFmtId="0" fontId="31" fillId="16" borderId="1" xfId="0" applyFont="1" applyFill="1" applyBorder="1" applyAlignment="1">
      <alignment horizontal="left" vertical="center"/>
    </xf>
    <xf numFmtId="0" fontId="32" fillId="16" borderId="1" xfId="0" quotePrefix="1" applyFont="1" applyFill="1" applyBorder="1" applyAlignment="1">
      <alignment horizontal="left" vertical="center"/>
    </xf>
    <xf numFmtId="0" fontId="32" fillId="16" borderId="1" xfId="0" applyFont="1" applyFill="1" applyBorder="1" applyAlignment="1">
      <alignment horizontal="left" vertical="center" wrapText="1"/>
    </xf>
    <xf numFmtId="49" fontId="32" fillId="16" borderId="1" xfId="0" applyNumberFormat="1" applyFont="1" applyFill="1" applyBorder="1" applyAlignment="1">
      <alignment horizontal="left" vertical="center"/>
    </xf>
    <xf numFmtId="44" fontId="32" fillId="16" borderId="1" xfId="0" applyNumberFormat="1" applyFont="1" applyFill="1" applyBorder="1" applyAlignment="1">
      <alignment horizontal="left" vertical="center"/>
    </xf>
    <xf numFmtId="1" fontId="32" fillId="16" borderId="1" xfId="3" applyNumberFormat="1" applyFont="1" applyFill="1" applyBorder="1" applyAlignment="1">
      <alignment horizontal="left" vertical="center"/>
    </xf>
    <xf numFmtId="44" fontId="32" fillId="16" borderId="1" xfId="3" applyFont="1" applyFill="1" applyBorder="1" applyAlignment="1">
      <alignment horizontal="left" vertical="center"/>
    </xf>
    <xf numFmtId="1" fontId="32" fillId="0" borderId="4" xfId="1" applyNumberFormat="1" applyFont="1" applyBorder="1" applyAlignment="1">
      <alignment horizontal="left" vertical="center"/>
    </xf>
    <xf numFmtId="44" fontId="32" fillId="0" borderId="4" xfId="1" applyFont="1" applyBorder="1" applyAlignment="1">
      <alignment horizontal="left" vertical="center"/>
    </xf>
    <xf numFmtId="1" fontId="32" fillId="0" borderId="1" xfId="1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44" fontId="9" fillId="0" borderId="0" xfId="1" applyFont="1" applyAlignment="1">
      <alignment horizontal="left" vertical="center"/>
    </xf>
    <xf numFmtId="44" fontId="10" fillId="0" borderId="0" xfId="1" applyFont="1" applyAlignment="1">
      <alignment horizontal="left" vertical="center"/>
    </xf>
    <xf numFmtId="0" fontId="10" fillId="0" borderId="0" xfId="0" applyFont="1" applyAlignment="1">
      <alignment horizontal="left"/>
    </xf>
    <xf numFmtId="0" fontId="31" fillId="0" borderId="0" xfId="0" applyFont="1" applyAlignment="1">
      <alignment vertical="center" wrapText="1"/>
    </xf>
    <xf numFmtId="0" fontId="32" fillId="16" borderId="17" xfId="0" applyFont="1" applyFill="1" applyBorder="1" applyAlignment="1">
      <alignment horizontal="left"/>
    </xf>
    <xf numFmtId="0" fontId="32" fillId="0" borderId="31" xfId="0" applyFont="1" applyBorder="1" applyAlignment="1">
      <alignment horizontal="left"/>
    </xf>
    <xf numFmtId="44" fontId="33" fillId="0" borderId="0" xfId="1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44" fontId="34" fillId="0" borderId="0" xfId="1" applyFont="1" applyAlignment="1">
      <alignment horizontal="left" vertical="center"/>
    </xf>
    <xf numFmtId="0" fontId="33" fillId="0" borderId="0" xfId="0" applyFont="1" applyAlignment="1">
      <alignment vertical="center"/>
    </xf>
    <xf numFmtId="1" fontId="33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2" fillId="16" borderId="4" xfId="0" applyFont="1" applyFill="1" applyBorder="1" applyAlignment="1">
      <alignment horizontal="left" vertical="center"/>
    </xf>
    <xf numFmtId="44" fontId="32" fillId="16" borderId="4" xfId="1" applyFont="1" applyFill="1" applyBorder="1" applyAlignment="1">
      <alignment horizontal="left" vertical="center"/>
    </xf>
    <xf numFmtId="0" fontId="32" fillId="16" borderId="5" xfId="0" applyFont="1" applyFill="1" applyBorder="1" applyAlignment="1">
      <alignment horizontal="left"/>
    </xf>
    <xf numFmtId="0" fontId="32" fillId="0" borderId="30" xfId="0" applyFont="1" applyBorder="1" applyAlignment="1">
      <alignment horizontal="left"/>
    </xf>
    <xf numFmtId="0" fontId="32" fillId="0" borderId="16" xfId="0" applyFont="1" applyBorder="1" applyAlignment="1">
      <alignment horizontal="left"/>
    </xf>
    <xf numFmtId="0" fontId="32" fillId="16" borderId="3" xfId="0" applyFont="1" applyFill="1" applyBorder="1" applyAlignment="1">
      <alignment horizontal="left" vertical="center"/>
    </xf>
    <xf numFmtId="44" fontId="32" fillId="16" borderId="3" xfId="1" applyFont="1" applyFill="1" applyBorder="1" applyAlignment="1">
      <alignment horizontal="left" vertical="center"/>
    </xf>
    <xf numFmtId="1" fontId="32" fillId="16" borderId="4" xfId="1" applyNumberFormat="1" applyFont="1" applyFill="1" applyBorder="1" applyAlignment="1">
      <alignment horizontal="left" vertical="center"/>
    </xf>
    <xf numFmtId="44" fontId="12" fillId="0" borderId="4" xfId="1" applyFont="1" applyBorder="1" applyAlignment="1">
      <alignment horizontal="left" vertical="center"/>
    </xf>
    <xf numFmtId="14" fontId="33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44" fontId="10" fillId="0" borderId="1" xfId="1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44" fontId="33" fillId="0" borderId="1" xfId="1" applyFont="1" applyBorder="1" applyAlignment="1">
      <alignment horizontal="left" vertical="center"/>
    </xf>
    <xf numFmtId="14" fontId="33" fillId="0" borderId="1" xfId="0" applyNumberFormat="1" applyFont="1" applyBorder="1" applyAlignment="1">
      <alignment horizontal="left" vertical="center"/>
    </xf>
    <xf numFmtId="0" fontId="33" fillId="0" borderId="1" xfId="0" applyFont="1" applyBorder="1" applyAlignment="1">
      <alignment horizontal="left"/>
    </xf>
    <xf numFmtId="0" fontId="33" fillId="0" borderId="4" xfId="0" applyFont="1" applyBorder="1" applyAlignment="1">
      <alignment horizontal="left" vertical="center"/>
    </xf>
    <xf numFmtId="14" fontId="32" fillId="16" borderId="4" xfId="0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4" fontId="32" fillId="16" borderId="4" xfId="1" applyFont="1" applyFill="1" applyBorder="1" applyAlignment="1">
      <alignment horizontal="left"/>
    </xf>
    <xf numFmtId="0" fontId="32" fillId="16" borderId="31" xfId="0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44" fontId="0" fillId="0" borderId="0" xfId="0" applyNumberFormat="1"/>
    <xf numFmtId="44" fontId="34" fillId="0" borderId="0" xfId="1" applyFont="1" applyAlignment="1">
      <alignment horizontal="center" vertical="center"/>
    </xf>
    <xf numFmtId="44" fontId="11" fillId="19" borderId="0" xfId="0" applyNumberFormat="1" applyFont="1" applyFill="1" applyAlignment="1">
      <alignment horizontal="center"/>
    </xf>
    <xf numFmtId="0" fontId="0" fillId="0" borderId="1" xfId="0" pivotButton="1" applyBorder="1"/>
    <xf numFmtId="0" fontId="3" fillId="0" borderId="1" xfId="0" applyFont="1" applyBorder="1" applyAlignment="1">
      <alignment horizontal="left"/>
    </xf>
    <xf numFmtId="0" fontId="12" fillId="0" borderId="1" xfId="0" applyFont="1" applyBorder="1"/>
    <xf numFmtId="44" fontId="32" fillId="0" borderId="1" xfId="1" applyFont="1" applyBorder="1"/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8" fillId="0" borderId="1" xfId="0" applyFont="1" applyBorder="1" applyAlignment="1">
      <alignment vertical="center"/>
    </xf>
    <xf numFmtId="0" fontId="38" fillId="0" borderId="1" xfId="0" applyFont="1" applyBorder="1" applyAlignment="1">
      <alignment horizontal="left" vertical="center"/>
    </xf>
    <xf numFmtId="14" fontId="38" fillId="0" borderId="1" xfId="0" applyNumberFormat="1" applyFont="1" applyBorder="1" applyAlignment="1">
      <alignment horizontal="left" vertical="center"/>
    </xf>
    <xf numFmtId="0" fontId="38" fillId="16" borderId="1" xfId="0" applyFont="1" applyFill="1" applyBorder="1" applyAlignment="1">
      <alignment horizontal="left"/>
    </xf>
    <xf numFmtId="0" fontId="38" fillId="0" borderId="1" xfId="0" applyFont="1" applyBorder="1" applyAlignment="1">
      <alignment horizontal="left"/>
    </xf>
    <xf numFmtId="0" fontId="38" fillId="0" borderId="4" xfId="0" applyFont="1" applyBorder="1" applyAlignment="1">
      <alignment horizontal="left" vertical="center"/>
    </xf>
    <xf numFmtId="44" fontId="38" fillId="0" borderId="4" xfId="1" applyFont="1" applyBorder="1" applyAlignment="1">
      <alignment horizontal="left" vertical="center"/>
    </xf>
    <xf numFmtId="14" fontId="38" fillId="0" borderId="4" xfId="0" applyNumberFormat="1" applyFont="1" applyBorder="1" applyAlignment="1">
      <alignment horizontal="left" vertical="center"/>
    </xf>
    <xf numFmtId="1" fontId="38" fillId="0" borderId="1" xfId="1" applyNumberFormat="1" applyFont="1" applyBorder="1" applyAlignment="1">
      <alignment horizontal="left" vertical="center"/>
    </xf>
    <xf numFmtId="44" fontId="38" fillId="0" borderId="1" xfId="1" applyFont="1" applyBorder="1" applyAlignment="1">
      <alignment horizontal="left" vertical="center"/>
    </xf>
    <xf numFmtId="0" fontId="38" fillId="0" borderId="0" xfId="0" applyFont="1" applyAlignment="1">
      <alignment vertical="center"/>
    </xf>
    <xf numFmtId="0" fontId="11" fillId="15" borderId="9" xfId="0" applyFont="1" applyFill="1" applyBorder="1" applyAlignment="1">
      <alignment horizontal="center" vertical="center"/>
    </xf>
    <xf numFmtId="0" fontId="11" fillId="15" borderId="10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27" fillId="15" borderId="1" xfId="0" applyNumberFormat="1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center" vertical="center"/>
    </xf>
    <xf numFmtId="164" fontId="25" fillId="0" borderId="1" xfId="0" applyNumberFormat="1" applyFont="1" applyBorder="1" applyAlignment="1">
      <alignment horizontal="center" vertical="center"/>
    </xf>
    <xf numFmtId="44" fontId="25" fillId="0" borderId="1" xfId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32" fillId="16" borderId="1" xfId="0" quotePrefix="1" applyFont="1" applyFill="1" applyBorder="1" applyAlignment="1">
      <alignment horizontal="left"/>
    </xf>
    <xf numFmtId="14" fontId="32" fillId="16" borderId="1" xfId="0" quotePrefix="1" applyNumberFormat="1" applyFont="1" applyFill="1" applyBorder="1" applyAlignment="1">
      <alignment horizontal="left"/>
    </xf>
    <xf numFmtId="0" fontId="38" fillId="16" borderId="4" xfId="0" applyFont="1" applyFill="1" applyBorder="1" applyAlignment="1">
      <alignment horizontal="left"/>
    </xf>
    <xf numFmtId="0" fontId="0" fillId="0" borderId="4" xfId="0" applyBorder="1"/>
    <xf numFmtId="0" fontId="12" fillId="0" borderId="4" xfId="0" applyFont="1" applyBorder="1"/>
    <xf numFmtId="0" fontId="3" fillId="0" borderId="4" xfId="0" applyFont="1" applyBorder="1" applyAlignment="1">
      <alignment horizontal="left"/>
    </xf>
    <xf numFmtId="44" fontId="32" fillId="0" borderId="4" xfId="1" applyFont="1" applyBorder="1"/>
    <xf numFmtId="1" fontId="32" fillId="16" borderId="4" xfId="3" applyNumberFormat="1" applyFont="1" applyFill="1" applyBorder="1" applyAlignment="1">
      <alignment horizontal="left" vertical="center"/>
    </xf>
    <xf numFmtId="1" fontId="32" fillId="0" borderId="30" xfId="1" applyNumberFormat="1" applyFont="1" applyBorder="1" applyAlignment="1">
      <alignment horizontal="left" vertical="center"/>
    </xf>
    <xf numFmtId="0" fontId="32" fillId="0" borderId="3" xfId="0" applyFont="1" applyBorder="1" applyAlignment="1">
      <alignment horizontal="left" vertical="center"/>
    </xf>
    <xf numFmtId="44" fontId="10" fillId="0" borderId="17" xfId="1" applyFont="1" applyBorder="1" applyAlignment="1">
      <alignment horizontal="left" vertical="center"/>
    </xf>
    <xf numFmtId="44" fontId="10" fillId="0" borderId="0" xfId="1" applyFont="1" applyBorder="1" applyAlignment="1">
      <alignment horizontal="left" vertical="center"/>
    </xf>
    <xf numFmtId="0" fontId="12" fillId="0" borderId="0" xfId="0" applyFont="1"/>
    <xf numFmtId="0" fontId="32" fillId="0" borderId="3" xfId="0" applyFont="1" applyBorder="1" applyAlignment="1">
      <alignment horizontal="left"/>
    </xf>
    <xf numFmtId="0" fontId="32" fillId="0" borderId="2" xfId="0" applyFont="1" applyBorder="1" applyAlignment="1">
      <alignment horizontal="left" vertical="center"/>
    </xf>
    <xf numFmtId="44" fontId="32" fillId="0" borderId="2" xfId="1" applyFont="1" applyBorder="1" applyAlignment="1">
      <alignment horizontal="left" vertical="center"/>
    </xf>
    <xf numFmtId="0" fontId="16" fillId="0" borderId="0" xfId="0" applyFont="1" applyAlignment="1">
      <alignment horizontal="right"/>
    </xf>
    <xf numFmtId="0" fontId="13" fillId="0" borderId="7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1" fillId="15" borderId="9" xfId="0" applyFont="1" applyFill="1" applyBorder="1" applyAlignment="1">
      <alignment horizontal="center" vertical="center"/>
    </xf>
    <xf numFmtId="0" fontId="11" fillId="15" borderId="10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5" fillId="17" borderId="22" xfId="0" applyFont="1" applyFill="1" applyBorder="1" applyAlignment="1">
      <alignment horizontal="right"/>
    </xf>
    <xf numFmtId="0" fontId="5" fillId="17" borderId="23" xfId="0" applyFont="1" applyFill="1" applyBorder="1" applyAlignment="1">
      <alignment horizontal="right"/>
    </xf>
    <xf numFmtId="0" fontId="5" fillId="17" borderId="24" xfId="0" applyFont="1" applyFill="1" applyBorder="1" applyAlignment="1">
      <alignment horizontal="right"/>
    </xf>
    <xf numFmtId="0" fontId="5" fillId="17" borderId="25" xfId="0" applyFont="1" applyFill="1" applyBorder="1" applyAlignment="1">
      <alignment horizontal="right"/>
    </xf>
    <xf numFmtId="0" fontId="5" fillId="17" borderId="26" xfId="0" applyFont="1" applyFill="1" applyBorder="1" applyAlignment="1">
      <alignment horizontal="right"/>
    </xf>
    <xf numFmtId="0" fontId="5" fillId="17" borderId="27" xfId="0" applyFont="1" applyFill="1" applyBorder="1" applyAlignment="1">
      <alignment horizontal="right"/>
    </xf>
    <xf numFmtId="164" fontId="21" fillId="20" borderId="34" xfId="0" applyNumberFormat="1" applyFont="1" applyFill="1" applyBorder="1" applyAlignment="1">
      <alignment horizontal="center" vertical="center" wrapText="1"/>
    </xf>
    <xf numFmtId="164" fontId="21" fillId="20" borderId="31" xfId="0" applyNumberFormat="1" applyFont="1" applyFill="1" applyBorder="1" applyAlignment="1">
      <alignment horizontal="center" vertical="center" wrapText="1"/>
    </xf>
    <xf numFmtId="0" fontId="17" fillId="21" borderId="1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right" vertical="center"/>
    </xf>
    <xf numFmtId="0" fontId="17" fillId="18" borderId="30" xfId="0" applyFont="1" applyFill="1" applyBorder="1" applyAlignment="1">
      <alignment horizontal="center" vertical="center"/>
    </xf>
    <xf numFmtId="0" fontId="17" fillId="18" borderId="31" xfId="0" applyFont="1" applyFill="1" applyBorder="1" applyAlignment="1">
      <alignment horizontal="center" vertical="center"/>
    </xf>
    <xf numFmtId="3" fontId="18" fillId="16" borderId="1" xfId="0" applyNumberFormat="1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7" fillId="19" borderId="32" xfId="0" applyFont="1" applyFill="1" applyBorder="1" applyAlignment="1">
      <alignment horizontal="center" vertical="center"/>
    </xf>
    <xf numFmtId="0" fontId="17" fillId="19" borderId="35" xfId="0" applyFont="1" applyFill="1" applyBorder="1" applyAlignment="1">
      <alignment horizontal="center" vertical="center"/>
    </xf>
    <xf numFmtId="0" fontId="17" fillId="19" borderId="33" xfId="0" applyFont="1" applyFill="1" applyBorder="1" applyAlignment="1">
      <alignment horizontal="center" vertical="center"/>
    </xf>
    <xf numFmtId="0" fontId="17" fillId="19" borderId="30" xfId="0" applyFont="1" applyFill="1" applyBorder="1" applyAlignment="1">
      <alignment horizontal="center" vertical="center"/>
    </xf>
    <xf numFmtId="3" fontId="17" fillId="19" borderId="33" xfId="0" applyNumberFormat="1" applyFont="1" applyFill="1" applyBorder="1" applyAlignment="1">
      <alignment horizontal="center" vertical="center" wrapText="1"/>
    </xf>
    <xf numFmtId="3" fontId="17" fillId="19" borderId="30" xfId="0" applyNumberFormat="1" applyFont="1" applyFill="1" applyBorder="1" applyAlignment="1">
      <alignment horizontal="center" vertical="center" wrapText="1"/>
    </xf>
    <xf numFmtId="164" fontId="17" fillId="19" borderId="33" xfId="0" applyNumberFormat="1" applyFont="1" applyFill="1" applyBorder="1" applyAlignment="1">
      <alignment horizontal="center" vertical="center" wrapText="1"/>
    </xf>
    <xf numFmtId="164" fontId="17" fillId="19" borderId="30" xfId="0" applyNumberFormat="1" applyFont="1" applyFill="1" applyBorder="1" applyAlignment="1">
      <alignment horizontal="center" vertical="center" wrapText="1"/>
    </xf>
    <xf numFmtId="164" fontId="22" fillId="18" borderId="5" xfId="0" applyNumberFormat="1" applyFont="1" applyFill="1" applyBorder="1" applyAlignment="1">
      <alignment horizontal="center" vertical="center" wrapText="1"/>
    </xf>
    <xf numFmtId="164" fontId="22" fillId="18" borderId="17" xfId="0" applyNumberFormat="1" applyFont="1" applyFill="1" applyBorder="1" applyAlignment="1">
      <alignment horizontal="center" vertical="center" wrapText="1"/>
    </xf>
    <xf numFmtId="0" fontId="21" fillId="20" borderId="33" xfId="0" applyFont="1" applyFill="1" applyBorder="1" applyAlignment="1">
      <alignment horizontal="center" vertical="center" wrapText="1"/>
    </xf>
    <xf numFmtId="0" fontId="21" fillId="20" borderId="30" xfId="0" applyFont="1" applyFill="1" applyBorder="1" applyAlignment="1">
      <alignment horizontal="center" vertical="center" wrapText="1"/>
    </xf>
    <xf numFmtId="3" fontId="21" fillId="20" borderId="33" xfId="0" applyNumberFormat="1" applyFont="1" applyFill="1" applyBorder="1" applyAlignment="1">
      <alignment horizontal="center" vertical="center" wrapText="1"/>
    </xf>
    <xf numFmtId="3" fontId="21" fillId="20" borderId="30" xfId="0" applyNumberFormat="1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164" fontId="27" fillId="15" borderId="1" xfId="0" applyNumberFormat="1" applyFont="1" applyFill="1" applyBorder="1" applyAlignment="1">
      <alignment horizontal="center" vertical="center"/>
    </xf>
    <xf numFmtId="0" fontId="27" fillId="15" borderId="1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0" fillId="0" borderId="30" xfId="0" applyFont="1" applyBorder="1" applyAlignment="1">
      <alignment horizontal="left" vertical="center"/>
    </xf>
    <xf numFmtId="44" fontId="26" fillId="0" borderId="1" xfId="1" applyFont="1" applyBorder="1" applyAlignment="1">
      <alignment horizontal="center" vertical="center" wrapText="1"/>
    </xf>
    <xf numFmtId="164" fontId="25" fillId="0" borderId="1" xfId="0" applyNumberFormat="1" applyFont="1" applyBorder="1" applyAlignment="1">
      <alignment horizontal="center" vertical="center"/>
    </xf>
    <xf numFmtId="164" fontId="25" fillId="0" borderId="5" xfId="0" applyNumberFormat="1" applyFont="1" applyBorder="1" applyAlignment="1">
      <alignment horizontal="center" vertical="center"/>
    </xf>
    <xf numFmtId="164" fontId="25" fillId="0" borderId="17" xfId="0" applyNumberFormat="1" applyFont="1" applyBorder="1" applyAlignment="1">
      <alignment horizontal="center" vertical="center"/>
    </xf>
    <xf numFmtId="44" fontId="25" fillId="0" borderId="1" xfId="1" applyFont="1" applyBorder="1" applyAlignment="1">
      <alignment horizontal="center" vertical="center"/>
    </xf>
    <xf numFmtId="44" fontId="25" fillId="0" borderId="1" xfId="1" applyFont="1" applyBorder="1" applyAlignment="1">
      <alignment horizontal="right" vertical="center"/>
    </xf>
    <xf numFmtId="0" fontId="25" fillId="0" borderId="1" xfId="0" applyFont="1" applyBorder="1" applyAlignment="1">
      <alignment horizontal="center" vertical="center"/>
    </xf>
    <xf numFmtId="44" fontId="10" fillId="0" borderId="1" xfId="1" applyFont="1" applyBorder="1" applyAlignment="1">
      <alignment horizontal="right" vertical="center"/>
    </xf>
    <xf numFmtId="0" fontId="11" fillId="22" borderId="36" xfId="0" applyFont="1" applyFill="1" applyBorder="1" applyAlignment="1">
      <alignment horizontal="center"/>
    </xf>
    <xf numFmtId="0" fontId="11" fillId="22" borderId="0" xfId="0" applyFont="1" applyFill="1" applyAlignment="1">
      <alignment horizontal="center"/>
    </xf>
    <xf numFmtId="4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32" fillId="16" borderId="30" xfId="0" applyFont="1" applyFill="1" applyBorder="1" applyAlignment="1">
      <alignment horizontal="left"/>
    </xf>
    <xf numFmtId="44" fontId="32" fillId="0" borderId="3" xfId="1" applyFont="1" applyBorder="1" applyAlignment="1">
      <alignment horizontal="left" vertical="center"/>
    </xf>
    <xf numFmtId="0" fontId="0" fillId="0" borderId="1" xfId="0" applyNumberFormat="1" applyBorder="1"/>
    <xf numFmtId="0" fontId="0" fillId="0" borderId="1" xfId="0" applyNumberFormat="1" applyBorder="1" applyAlignment="1">
      <alignment horizontal="center" vertical="center"/>
    </xf>
  </cellXfs>
  <cellStyles count="5">
    <cellStyle name="Moeda" xfId="1" builtinId="4"/>
    <cellStyle name="Moeda 2" xfId="3" xr:uid="{F75123F3-A08A-484A-A06F-9494BF88C848}"/>
    <cellStyle name="Normal" xfId="0" builtinId="0"/>
    <cellStyle name="Vírgula" xfId="2" builtinId="3"/>
    <cellStyle name="Vírgula 2" xfId="4" xr:uid="{8F9A29D1-A86A-4A0C-968F-002680921218}"/>
  </cellStyles>
  <dxfs count="5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vertical="center"/>
    </dxf>
    <dxf>
      <alignment vertical="center"/>
    </dxf>
  </dxfs>
  <tableStyles count="0" defaultTableStyle="TableStyleMedium2" defaultPivotStyle="PivotStyleLight16"/>
  <colors>
    <mruColors>
      <color rgb="FFD09E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622125075399488"/>
          <c:y val="2.2953322701306064E-2"/>
          <c:w val="0.64016425937173405"/>
          <c:h val="0.779876912355177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4A7-4CEB-AE57-9ED30FF7E4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4A7-4CEB-AE57-9ED30FF7E4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4A7-4CEB-AE57-9ED30FF7E42D}"/>
              </c:ext>
            </c:extLst>
          </c:dPt>
          <c:dLbls>
            <c:delete val="1"/>
          </c:dLbls>
          <c:cat>
            <c:strRef>
              <c:f>'TOTAIS (PLANILHA INATIVA)'!$L$4:$L$6</c:f>
              <c:strCache>
                <c:ptCount val="3"/>
                <c:pt idx="0">
                  <c:v> CORTE </c:v>
                </c:pt>
                <c:pt idx="1">
                  <c:v> SILK </c:v>
                </c:pt>
                <c:pt idx="2">
                  <c:v> COSTURA </c:v>
                </c:pt>
              </c:strCache>
            </c:strRef>
          </c:cat>
          <c:val>
            <c:numRef>
              <c:f>'TOTAIS (PLANILHA INATIVA)'!$M$4:$M$6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F-41F3-B11B-99B1A520EE1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6665972344860578E-2"/>
          <c:y val="0.78191771250436704"/>
          <c:w val="0.90666755217853534"/>
          <c:h val="0.2144817392706457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1587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441626287098724"/>
          <c:y val="1.7548695282893829E-2"/>
          <c:w val="0.61788258332993351"/>
          <c:h val="0.945784263954195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'TOTAIS (PLANILHA INATIVA)'!$H$3</c:f>
              <c:strCache>
                <c:ptCount val="1"/>
                <c:pt idx="0">
                  <c:v>FATURAR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'TOTAIS (PLANILHA INATIVA)'!$F$4:$F$18</c:f>
              <c:strCache>
                <c:ptCount val="15"/>
                <c:pt idx="0">
                  <c:v>Avental</c:v>
                </c:pt>
                <c:pt idx="1">
                  <c:v>Camiseta</c:v>
                </c:pt>
                <c:pt idx="2">
                  <c:v>Necessaire</c:v>
                </c:pt>
                <c:pt idx="3">
                  <c:v>Capa Protetor</c:v>
                </c:pt>
                <c:pt idx="4">
                  <c:v>Kimono</c:v>
                </c:pt>
                <c:pt idx="5">
                  <c:v>Capa  de Corte</c:v>
                </c:pt>
                <c:pt idx="6">
                  <c:v>Saco</c:v>
                </c:pt>
                <c:pt idx="7">
                  <c:v>Polo</c:v>
                </c:pt>
                <c:pt idx="8">
                  <c:v>Sacola</c:v>
                </c:pt>
                <c:pt idx="9">
                  <c:v>Touca</c:v>
                </c:pt>
                <c:pt idx="10">
                  <c:v>Etiqueta</c:v>
                </c:pt>
                <c:pt idx="11">
                  <c:v>Calça Brim</c:v>
                </c:pt>
                <c:pt idx="12">
                  <c:v>Faixa </c:v>
                </c:pt>
                <c:pt idx="13">
                  <c:v>Moleton</c:v>
                </c:pt>
                <c:pt idx="14">
                  <c:v>Calça Leggin</c:v>
                </c:pt>
              </c:strCache>
            </c:strRef>
          </c:cat>
          <c:val>
            <c:numRef>
              <c:f>'TOTAIS (PLANILHA INATIVA)'!$H$4:$H$18</c:f>
              <c:numCache>
                <c:formatCode>_-[$R$-416]\ * #,##0.00_-;\-[$R$-416]\ * #,##0.00_-;_-[$R$-416]\ * "-"??_-;_-@_-</c:formatCode>
                <c:ptCount val="15"/>
                <c:pt idx="0">
                  <c:v>114359</c:v>
                </c:pt>
                <c:pt idx="1">
                  <c:v>47509.5</c:v>
                </c:pt>
                <c:pt idx="2">
                  <c:v>18620</c:v>
                </c:pt>
                <c:pt idx="3">
                  <c:v>24000</c:v>
                </c:pt>
                <c:pt idx="4">
                  <c:v>30075</c:v>
                </c:pt>
                <c:pt idx="5">
                  <c:v>19575</c:v>
                </c:pt>
                <c:pt idx="6">
                  <c:v>9800</c:v>
                </c:pt>
                <c:pt idx="7">
                  <c:v>8280</c:v>
                </c:pt>
                <c:pt idx="8">
                  <c:v>3500</c:v>
                </c:pt>
                <c:pt idx="9">
                  <c:v>1100</c:v>
                </c:pt>
                <c:pt idx="10">
                  <c:v>1250</c:v>
                </c:pt>
                <c:pt idx="11">
                  <c:v>1875</c:v>
                </c:pt>
                <c:pt idx="12">
                  <c:v>1044</c:v>
                </c:pt>
                <c:pt idx="13">
                  <c:v>595</c:v>
                </c:pt>
                <c:pt idx="1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5-4F87-A08A-0441A45B676D}"/>
            </c:ext>
          </c:extLst>
        </c:ser>
        <c:ser>
          <c:idx val="1"/>
          <c:order val="1"/>
          <c:tx>
            <c:strRef>
              <c:f>'TOTAIS (PLANILHA INATIVA)'!$I$3</c:f>
              <c:strCache>
                <c:ptCount val="1"/>
                <c:pt idx="0">
                  <c:v>LIQUIDAR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'TOTAIS (PLANILHA INATIVA)'!$F$4:$F$18</c:f>
              <c:strCache>
                <c:ptCount val="15"/>
                <c:pt idx="0">
                  <c:v>Avental</c:v>
                </c:pt>
                <c:pt idx="1">
                  <c:v>Camiseta</c:v>
                </c:pt>
                <c:pt idx="2">
                  <c:v>Necessaire</c:v>
                </c:pt>
                <c:pt idx="3">
                  <c:v>Capa Protetor</c:v>
                </c:pt>
                <c:pt idx="4">
                  <c:v>Kimono</c:v>
                </c:pt>
                <c:pt idx="5">
                  <c:v>Capa  de Corte</c:v>
                </c:pt>
                <c:pt idx="6">
                  <c:v>Saco</c:v>
                </c:pt>
                <c:pt idx="7">
                  <c:v>Polo</c:v>
                </c:pt>
                <c:pt idx="8">
                  <c:v>Sacola</c:v>
                </c:pt>
                <c:pt idx="9">
                  <c:v>Touca</c:v>
                </c:pt>
                <c:pt idx="10">
                  <c:v>Etiqueta</c:v>
                </c:pt>
                <c:pt idx="11">
                  <c:v>Calça Brim</c:v>
                </c:pt>
                <c:pt idx="12">
                  <c:v>Faixa </c:v>
                </c:pt>
                <c:pt idx="13">
                  <c:v>Moleton</c:v>
                </c:pt>
                <c:pt idx="14">
                  <c:v>Calça Leggin</c:v>
                </c:pt>
              </c:strCache>
            </c:strRef>
          </c:cat>
          <c:val>
            <c:numRef>
              <c:f>'TOTAIS (PLANILHA INATIVA)'!$I$4:$I$18</c:f>
              <c:numCache>
                <c:formatCode>_-[$R$-416]\ * #,##0.00_-;\-[$R$-416]\ * #,##0.00_-;_-[$R$-416]\ * "-"??_-;_-@_-</c:formatCode>
                <c:ptCount val="15"/>
                <c:pt idx="0">
                  <c:v>93172.5</c:v>
                </c:pt>
                <c:pt idx="1">
                  <c:v>29076.62</c:v>
                </c:pt>
                <c:pt idx="2">
                  <c:v>10810</c:v>
                </c:pt>
                <c:pt idx="3">
                  <c:v>24000</c:v>
                </c:pt>
                <c:pt idx="4">
                  <c:v>27400</c:v>
                </c:pt>
                <c:pt idx="5">
                  <c:v>16262.5</c:v>
                </c:pt>
                <c:pt idx="6">
                  <c:v>9800</c:v>
                </c:pt>
                <c:pt idx="7">
                  <c:v>270</c:v>
                </c:pt>
                <c:pt idx="8">
                  <c:v>0</c:v>
                </c:pt>
                <c:pt idx="9">
                  <c:v>1100</c:v>
                </c:pt>
                <c:pt idx="10">
                  <c:v>1250</c:v>
                </c:pt>
                <c:pt idx="11">
                  <c:v>1875</c:v>
                </c:pt>
                <c:pt idx="12">
                  <c:v>960</c:v>
                </c:pt>
                <c:pt idx="13">
                  <c:v>0</c:v>
                </c:pt>
                <c:pt idx="14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20-4DCA-B81C-61FEB63EC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47749328"/>
        <c:axId val="1906404320"/>
      </c:barChart>
      <c:catAx>
        <c:axId val="1847749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404320"/>
        <c:crosses val="autoZero"/>
        <c:auto val="1"/>
        <c:lblAlgn val="ctr"/>
        <c:lblOffset val="100"/>
        <c:noMultiLvlLbl val="0"/>
      </c:catAx>
      <c:valAx>
        <c:axId val="19064043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84774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ITENS-Vendas</a:t>
            </a:r>
          </a:p>
        </c:rich>
      </c:tx>
      <c:layout>
        <c:manualLayout>
          <c:xMode val="edge"/>
          <c:yMode val="edge"/>
          <c:x val="0.40862316899731072"/>
          <c:y val="3.1217270090042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3817005593194845E-3"/>
          <c:y val="0.14290220820189276"/>
          <c:w val="0.98923659888136106"/>
          <c:h val="0.74278695446980803"/>
        </c:manualLayout>
      </c:layout>
      <c:lineChart>
        <c:grouping val="standard"/>
        <c:varyColors val="0"/>
        <c:ser>
          <c:idx val="0"/>
          <c:order val="0"/>
          <c:tx>
            <c:strRef>
              <c:f>'VENDAS (PLANILHA INATIVA)'!$D$7</c:f>
              <c:strCache>
                <c:ptCount val="1"/>
                <c:pt idx="0">
                  <c:v>ITENS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'VENDAS (PLANILHA INATIVA)'!$B$8:$B$14</c:f>
              <c:strCache>
                <c:ptCount val="7"/>
                <c:pt idx="0">
                  <c:v>ABRIL</c:v>
                </c:pt>
                <c:pt idx="1">
                  <c:v>MAIO</c:v>
                </c:pt>
                <c:pt idx="2">
                  <c:v>JUNHO</c:v>
                </c:pt>
                <c:pt idx="3">
                  <c:v>JULHO</c:v>
                </c:pt>
                <c:pt idx="4">
                  <c:v>AGOSTO</c:v>
                </c:pt>
                <c:pt idx="5">
                  <c:v>SETEMBRO</c:v>
                </c:pt>
                <c:pt idx="6">
                  <c:v>OUTUBRO</c:v>
                </c:pt>
              </c:strCache>
            </c:strRef>
          </c:cat>
          <c:val>
            <c:numRef>
              <c:f>'VENDAS (PLANILHA INATIVA)'!$D$8:$D$14</c:f>
              <c:numCache>
                <c:formatCode>#,##0</c:formatCode>
                <c:ptCount val="7"/>
                <c:pt idx="0">
                  <c:v>19516</c:v>
                </c:pt>
                <c:pt idx="1">
                  <c:v>31359</c:v>
                </c:pt>
                <c:pt idx="2">
                  <c:v>12014</c:v>
                </c:pt>
                <c:pt idx="3">
                  <c:v>10970</c:v>
                </c:pt>
                <c:pt idx="4">
                  <c:v>17849</c:v>
                </c:pt>
                <c:pt idx="5">
                  <c:v>13011</c:v>
                </c:pt>
                <c:pt idx="6">
                  <c:v>18150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C1-4F56-8B99-B6AA879992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28848976"/>
        <c:axId val="1568743968"/>
      </c:lineChart>
      <c:catAx>
        <c:axId val="172884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8743968"/>
        <c:crosses val="autoZero"/>
        <c:auto val="1"/>
        <c:lblAlgn val="ctr"/>
        <c:lblOffset val="100"/>
        <c:noMultiLvlLbl val="0"/>
      </c:catAx>
      <c:valAx>
        <c:axId val="156874396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72884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70C0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 VALORES-vendas </a:t>
            </a:r>
          </a:p>
        </c:rich>
      </c:tx>
      <c:layout>
        <c:manualLayout>
          <c:xMode val="edge"/>
          <c:yMode val="edge"/>
          <c:x val="0.3627953836907124"/>
          <c:y val="3.6869890366574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0160125333170562E-2"/>
          <c:y val="0.13061211995629732"/>
          <c:w val="0.96686422918065473"/>
          <c:h val="0.74909610273479221"/>
        </c:manualLayout>
      </c:layout>
      <c:lineChart>
        <c:grouping val="standard"/>
        <c:varyColors val="0"/>
        <c:ser>
          <c:idx val="0"/>
          <c:order val="0"/>
          <c:tx>
            <c:strRef>
              <c:f>'VENDAS (PLANILHA INATIVA)'!$E$7</c:f>
              <c:strCache>
                <c:ptCount val="1"/>
                <c:pt idx="0">
                  <c:v> VALORES 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'VENDAS (PLANILHA INATIVA)'!$B$8:$B$14</c:f>
              <c:strCache>
                <c:ptCount val="7"/>
                <c:pt idx="0">
                  <c:v>ABRIL</c:v>
                </c:pt>
                <c:pt idx="1">
                  <c:v>MAIO</c:v>
                </c:pt>
                <c:pt idx="2">
                  <c:v>JUNHO</c:v>
                </c:pt>
                <c:pt idx="3">
                  <c:v>JULHO</c:v>
                </c:pt>
                <c:pt idx="4">
                  <c:v>AGOSTO</c:v>
                </c:pt>
                <c:pt idx="5">
                  <c:v>SETEMBRO</c:v>
                </c:pt>
                <c:pt idx="6">
                  <c:v>OUTUBRO</c:v>
                </c:pt>
              </c:strCache>
            </c:strRef>
          </c:cat>
          <c:val>
            <c:numRef>
              <c:f>'VENDAS (PLANILHA INATIVA)'!$E$8:$E$14</c:f>
              <c:numCache>
                <c:formatCode>_-[$R$-416]\ * #,##0.00_-;\-[$R$-416]\ * #,##0.00_-;_-[$R$-416]\ * "-"??_-;_-@_-</c:formatCode>
                <c:ptCount val="7"/>
                <c:pt idx="0">
                  <c:v>397092.25</c:v>
                </c:pt>
                <c:pt idx="1">
                  <c:v>575422.5</c:v>
                </c:pt>
                <c:pt idx="2">
                  <c:v>283366.5</c:v>
                </c:pt>
                <c:pt idx="3">
                  <c:v>221481.5</c:v>
                </c:pt>
                <c:pt idx="4">
                  <c:v>244599.75</c:v>
                </c:pt>
                <c:pt idx="5">
                  <c:v>279023.5</c:v>
                </c:pt>
                <c:pt idx="6" formatCode="_(&quot;R$&quot;* #,##0.00_);_(&quot;R$&quot;* \(#,##0.00\);_(&quot;R$&quot;* &quot;-&quot;??_);_(@_)">
                  <c:v>370963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E7-49C0-8A8D-983C307073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81323728"/>
        <c:axId val="1781316528"/>
      </c:lineChart>
      <c:catAx>
        <c:axId val="178132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1316528"/>
        <c:crosses val="autoZero"/>
        <c:auto val="1"/>
        <c:lblAlgn val="ctr"/>
        <c:lblOffset val="100"/>
        <c:noMultiLvlLbl val="0"/>
      </c:catAx>
      <c:valAx>
        <c:axId val="1781316528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78132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70C0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214181276744154E-2"/>
          <c:y val="0.22942613699117237"/>
          <c:w val="0.95708634171593598"/>
          <c:h val="0.615320792735324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'VENDAS (PLANILHA INATIVA)'!$L$19</c:f>
              <c:strCache>
                <c:ptCount val="1"/>
                <c:pt idx="0">
                  <c:v>Vendido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'VENDAS (PLANILHA INATIVA)'!$K$20:$K$26</c:f>
              <c:strCache>
                <c:ptCount val="7"/>
                <c:pt idx="0">
                  <c:v>ABRIL</c:v>
                </c:pt>
                <c:pt idx="1">
                  <c:v>MAIO</c:v>
                </c:pt>
                <c:pt idx="2">
                  <c:v>JUNHO</c:v>
                </c:pt>
                <c:pt idx="3">
                  <c:v>JULHO</c:v>
                </c:pt>
                <c:pt idx="4">
                  <c:v> AGOSTO </c:v>
                </c:pt>
                <c:pt idx="5">
                  <c:v> SETEMBRO </c:v>
                </c:pt>
                <c:pt idx="6">
                  <c:v> OUTUBRO </c:v>
                </c:pt>
              </c:strCache>
            </c:strRef>
          </c:cat>
          <c:val>
            <c:numRef>
              <c:f>'VENDAS (PLANILHA INATIVA)'!$L$20:$L$26</c:f>
              <c:numCache>
                <c:formatCode>_-[$R$-416]\ * #,##0.00_-;\-[$R$-416]\ * #,##0.00_-;_-[$R$-416]\ * "-"??_-;_-@_-</c:formatCode>
                <c:ptCount val="7"/>
                <c:pt idx="0">
                  <c:v>397092.25</c:v>
                </c:pt>
                <c:pt idx="1">
                  <c:v>575422.5</c:v>
                </c:pt>
                <c:pt idx="2">
                  <c:v>283366.5</c:v>
                </c:pt>
                <c:pt idx="3">
                  <c:v>221481.5</c:v>
                </c:pt>
                <c:pt idx="4">
                  <c:v>244599.75</c:v>
                </c:pt>
                <c:pt idx="5">
                  <c:v>279023.5</c:v>
                </c:pt>
                <c:pt idx="6">
                  <c:v>370963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3-4456-843C-ABE535A6EC78}"/>
            </c:ext>
          </c:extLst>
        </c:ser>
        <c:ser>
          <c:idx val="1"/>
          <c:order val="1"/>
          <c:tx>
            <c:strRef>
              <c:f>'VENDAS (PLANILHA INATIVA)'!$M$19</c:f>
              <c:strCache>
                <c:ptCount val="1"/>
                <c:pt idx="0">
                  <c:v>Faturado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'VENDAS (PLANILHA INATIVA)'!$K$20:$K$26</c:f>
              <c:strCache>
                <c:ptCount val="7"/>
                <c:pt idx="0">
                  <c:v>ABRIL</c:v>
                </c:pt>
                <c:pt idx="1">
                  <c:v>MAIO</c:v>
                </c:pt>
                <c:pt idx="2">
                  <c:v>JUNHO</c:v>
                </c:pt>
                <c:pt idx="3">
                  <c:v>JULHO</c:v>
                </c:pt>
                <c:pt idx="4">
                  <c:v> AGOSTO </c:v>
                </c:pt>
                <c:pt idx="5">
                  <c:v> SETEMBRO </c:v>
                </c:pt>
                <c:pt idx="6">
                  <c:v> OUTUBRO </c:v>
                </c:pt>
              </c:strCache>
            </c:strRef>
          </c:cat>
          <c:val>
            <c:numRef>
              <c:f>'VENDAS (PLANILHA INATIVA)'!$M$20:$M$26</c:f>
              <c:numCache>
                <c:formatCode>_-[$R$-416]\ * #,##0.00_-;\-[$R$-416]\ * #,##0.00_-;_-[$R$-416]\ * "-"??_-;_-@_-</c:formatCode>
                <c:ptCount val="7"/>
                <c:pt idx="0">
                  <c:v>255543</c:v>
                </c:pt>
                <c:pt idx="1">
                  <c:v>369011</c:v>
                </c:pt>
                <c:pt idx="2">
                  <c:v>342831.95</c:v>
                </c:pt>
                <c:pt idx="3">
                  <c:v>576329.75</c:v>
                </c:pt>
                <c:pt idx="4">
                  <c:v>330213.95</c:v>
                </c:pt>
                <c:pt idx="5">
                  <c:v>216774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A3-4456-843C-ABE535A6EC78}"/>
            </c:ext>
          </c:extLst>
        </c:ser>
        <c:ser>
          <c:idx val="2"/>
          <c:order val="2"/>
          <c:tx>
            <c:strRef>
              <c:f>'VENDAS (PLANILHA INATIVA)'!$N$19</c:f>
              <c:strCache>
                <c:ptCount val="1"/>
                <c:pt idx="0">
                  <c:v>Pago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'VENDAS (PLANILHA INATIVA)'!$K$20:$K$26</c:f>
              <c:strCache>
                <c:ptCount val="7"/>
                <c:pt idx="0">
                  <c:v>ABRIL</c:v>
                </c:pt>
                <c:pt idx="1">
                  <c:v>MAIO</c:v>
                </c:pt>
                <c:pt idx="2">
                  <c:v>JUNHO</c:v>
                </c:pt>
                <c:pt idx="3">
                  <c:v>JULHO</c:v>
                </c:pt>
                <c:pt idx="4">
                  <c:v> AGOSTO </c:v>
                </c:pt>
                <c:pt idx="5">
                  <c:v> SETEMBRO </c:v>
                </c:pt>
                <c:pt idx="6">
                  <c:v> OUTUBRO </c:v>
                </c:pt>
              </c:strCache>
            </c:strRef>
          </c:cat>
          <c:val>
            <c:numRef>
              <c:f>'VENDAS (PLANILHA INATIVA)'!$N$20:$N$26</c:f>
              <c:numCache>
                <c:formatCode>_-[$R$-416]\ * #,##0.00_-;\-[$R$-416]\ * #,##0.00_-;_-[$R$-416]\ * "-"??_-;_-@_-</c:formatCode>
                <c:ptCount val="7"/>
                <c:pt idx="0">
                  <c:v>480901.63</c:v>
                </c:pt>
                <c:pt idx="1">
                  <c:v>503604.63</c:v>
                </c:pt>
                <c:pt idx="2">
                  <c:v>296535.03999999998</c:v>
                </c:pt>
                <c:pt idx="3">
                  <c:v>401333.98</c:v>
                </c:pt>
                <c:pt idx="4">
                  <c:v>297759.34000000003</c:v>
                </c:pt>
                <c:pt idx="5">
                  <c:v>183954.49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1-4901-8806-D2A21F80C9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15351728"/>
        <c:axId val="1115351248"/>
      </c:barChart>
      <c:catAx>
        <c:axId val="111535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5351248"/>
        <c:crosses val="autoZero"/>
        <c:auto val="1"/>
        <c:lblAlgn val="ctr"/>
        <c:lblOffset val="100"/>
        <c:noMultiLvlLbl val="0"/>
      </c:catAx>
      <c:valAx>
        <c:axId val="1115351248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11535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712"/>
          <c:y val="1.6254468362511814E-3"/>
          <c:w val="0.22606639370078738"/>
          <c:h val="0.19623755121612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/>
              <a:t>Vendas</a:t>
            </a:r>
            <a:r>
              <a:rPr lang="pt-BR" sz="1100" baseline="0"/>
              <a:t> X Faturamento</a:t>
            </a:r>
            <a:endParaRPr lang="pt-BR" sz="1100"/>
          </a:p>
        </c:rich>
      </c:tx>
      <c:layout>
        <c:manualLayout>
          <c:xMode val="edge"/>
          <c:yMode val="edge"/>
          <c:x val="0.3669137836353652"/>
          <c:y val="2.7367268746579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9903917467169396"/>
          <c:y val="0.19939792008757529"/>
          <c:w val="0.76993995674398563"/>
          <c:h val="0.683716690586090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'VENDAS (PLANILHA INATIVA)'!$C$44</c:f>
              <c:strCache>
                <c:ptCount val="1"/>
                <c:pt idx="0">
                  <c:v>Vendido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'VENDAS (PLANILHA INATIVA)'!$B$45:$B$51</c:f>
              <c:strCache>
                <c:ptCount val="7"/>
                <c:pt idx="0">
                  <c:v>ABRIL</c:v>
                </c:pt>
                <c:pt idx="1">
                  <c:v>MAIO</c:v>
                </c:pt>
                <c:pt idx="2">
                  <c:v>JUNHO</c:v>
                </c:pt>
                <c:pt idx="3">
                  <c:v>JULHO</c:v>
                </c:pt>
                <c:pt idx="4">
                  <c:v>AGOSTO</c:v>
                </c:pt>
                <c:pt idx="5">
                  <c:v>SETEMBRO</c:v>
                </c:pt>
                <c:pt idx="6">
                  <c:v>OUTUBRO</c:v>
                </c:pt>
              </c:strCache>
            </c:strRef>
          </c:cat>
          <c:val>
            <c:numRef>
              <c:f>'VENDAS (PLANILHA INATIVA)'!$C$45:$C$51</c:f>
              <c:numCache>
                <c:formatCode>_-[$R$-416]\ * #,##0.00_-;\-[$R$-416]\ * #,##0.00_-;_-[$R$-416]\ * "-"??_-;_-@_-</c:formatCode>
                <c:ptCount val="7"/>
                <c:pt idx="0">
                  <c:v>397092.25</c:v>
                </c:pt>
                <c:pt idx="1">
                  <c:v>575422.5</c:v>
                </c:pt>
                <c:pt idx="2">
                  <c:v>283366.5</c:v>
                </c:pt>
                <c:pt idx="3">
                  <c:v>221481.5</c:v>
                </c:pt>
                <c:pt idx="4">
                  <c:v>244599.75</c:v>
                </c:pt>
                <c:pt idx="5">
                  <c:v>279023.5</c:v>
                </c:pt>
                <c:pt idx="6">
                  <c:v>370963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8-41F0-B581-53201BB18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6"/>
        <c:overlap val="50"/>
        <c:axId val="1240846512"/>
        <c:axId val="1240846992"/>
      </c:barChart>
      <c:lineChart>
        <c:grouping val="standard"/>
        <c:varyColors val="0"/>
        <c:ser>
          <c:idx val="1"/>
          <c:order val="1"/>
          <c:tx>
            <c:strRef>
              <c:f>'VENDAS (PLANILHA INATIVA)'!$D$44</c:f>
              <c:strCache>
                <c:ptCount val="1"/>
                <c:pt idx="0">
                  <c:v>Faturado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'VENDAS (PLANILHA INATIVA)'!$B$45:$B$51</c:f>
              <c:strCache>
                <c:ptCount val="7"/>
                <c:pt idx="0">
                  <c:v>ABRIL</c:v>
                </c:pt>
                <c:pt idx="1">
                  <c:v>MAIO</c:v>
                </c:pt>
                <c:pt idx="2">
                  <c:v>JUNHO</c:v>
                </c:pt>
                <c:pt idx="3">
                  <c:v>JULHO</c:v>
                </c:pt>
                <c:pt idx="4">
                  <c:v>AGOSTO</c:v>
                </c:pt>
                <c:pt idx="5">
                  <c:v>SETEMBRO</c:v>
                </c:pt>
                <c:pt idx="6">
                  <c:v>OUTUBRO</c:v>
                </c:pt>
              </c:strCache>
            </c:strRef>
          </c:cat>
          <c:val>
            <c:numRef>
              <c:f>'VENDAS (PLANILHA INATIVA)'!$D$45:$D$51</c:f>
              <c:numCache>
                <c:formatCode>_-[$R$-416]\ * #,##0.00_-;\-[$R$-416]\ * #,##0.00_-;_-[$R$-416]\ * "-"??_-;_-@_-</c:formatCode>
                <c:ptCount val="7"/>
                <c:pt idx="0">
                  <c:v>255543</c:v>
                </c:pt>
                <c:pt idx="1">
                  <c:v>369011</c:v>
                </c:pt>
                <c:pt idx="2">
                  <c:v>342831.95</c:v>
                </c:pt>
                <c:pt idx="3">
                  <c:v>576329.75</c:v>
                </c:pt>
                <c:pt idx="4">
                  <c:v>330213.95</c:v>
                </c:pt>
                <c:pt idx="5">
                  <c:v>216774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F8-41F0-B581-53201BB18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846512"/>
        <c:axId val="1240846992"/>
      </c:lineChart>
      <c:catAx>
        <c:axId val="124084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0846992"/>
        <c:crosses val="autoZero"/>
        <c:auto val="1"/>
        <c:lblAlgn val="ctr"/>
        <c:lblOffset val="100"/>
        <c:noMultiLvlLbl val="0"/>
      </c:catAx>
      <c:valAx>
        <c:axId val="124084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084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1274565761652107"/>
          <c:y val="9.2090212861323378E-2"/>
          <c:w val="0.16842372668820024"/>
          <c:h val="0.21278116097556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QTD PEÇAS</a:t>
            </a:r>
          </a:p>
        </c:rich>
      </c:tx>
      <c:layout>
        <c:manualLayout>
          <c:xMode val="edge"/>
          <c:yMode val="edge"/>
          <c:x val="0.3948347181770510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'VENDAS HAVANNA 2026'!$C$20:$M$20</c:f>
              <c:strCache>
                <c:ptCount val="11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</c:strCache>
            </c:strRef>
          </c:cat>
          <c:val>
            <c:numRef>
              <c:f>'VENDAS HAVANNA 2026'!$C$28:$M$28</c:f>
              <c:numCache>
                <c:formatCode>General</c:formatCode>
                <c:ptCount val="11"/>
                <c:pt idx="0">
                  <c:v>115</c:v>
                </c:pt>
                <c:pt idx="1">
                  <c:v>48</c:v>
                </c:pt>
                <c:pt idx="2">
                  <c:v>140</c:v>
                </c:pt>
                <c:pt idx="3">
                  <c:v>53</c:v>
                </c:pt>
                <c:pt idx="4">
                  <c:v>24</c:v>
                </c:pt>
                <c:pt idx="5">
                  <c:v>241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15-4598-B8C4-9C0BEFA22A9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99484608"/>
        <c:axId val="1399487008"/>
      </c:lineChart>
      <c:catAx>
        <c:axId val="139948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9487008"/>
        <c:crosses val="autoZero"/>
        <c:auto val="1"/>
        <c:lblAlgn val="ctr"/>
        <c:lblOffset val="100"/>
        <c:noMultiLvlLbl val="0"/>
      </c:catAx>
      <c:valAx>
        <c:axId val="139948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948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VALORES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006027442474177"/>
          <c:y val="0.17736111111111111"/>
          <c:w val="0.85053333200901249"/>
          <c:h val="0.71560987168270629"/>
        </c:manualLayout>
      </c:layout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'VENDAS HAVANNA 2026'!$Q$20:$AA$20</c:f>
              <c:strCache>
                <c:ptCount val="11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'VENDAS HAVANNA 2026'!$Q$29:$AA$29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4B-4D4F-B50E-BC25649CAD6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4342176"/>
        <c:axId val="1514335936"/>
      </c:lineChart>
      <c:catAx>
        <c:axId val="151434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4335936"/>
        <c:crosses val="autoZero"/>
        <c:auto val="1"/>
        <c:lblAlgn val="ctr"/>
        <c:lblOffset val="100"/>
        <c:noMultiLvlLbl val="0"/>
      </c:catAx>
      <c:valAx>
        <c:axId val="1514335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434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85881706647134"/>
          <c:y val="7.6923034566910103E-2"/>
          <c:w val="0.82088536898004028"/>
          <c:h val="0.76141084664344105"/>
        </c:manualLayout>
      </c:layout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'VENDAS HAVANNA 2026'!$C$4:$C$14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'VENDAS HAVANNA 2026'!$E$4:$E$14</c:f>
              <c:numCache>
                <c:formatCode>_-[$R$-416]\ * #,##0.00_-;\-[$R$-416]\ * #,##0.00_-;_-[$R$-416]\ * "-"??_-;_-@_-</c:formatCode>
                <c:ptCount val="11"/>
                <c:pt idx="0">
                  <c:v>3533</c:v>
                </c:pt>
                <c:pt idx="1">
                  <c:v>1693.5</c:v>
                </c:pt>
                <c:pt idx="2">
                  <c:v>5267</c:v>
                </c:pt>
                <c:pt idx="3">
                  <c:v>1715</c:v>
                </c:pt>
                <c:pt idx="4">
                  <c:v>1354.5</c:v>
                </c:pt>
                <c:pt idx="5">
                  <c:v>9717.5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61-425D-BE46-330FC2DA518F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'VENDAS HAVANNA 2026'!$C$4:$C$14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'VENDAS HAVANNA 2026'!$F$4:$F$14</c:f>
              <c:numCache>
                <c:formatCode>_-[$R$-416]\ * #,##0.00_-;\-[$R$-416]\ * #,##0.00_-;_-[$R$-416]\ * "-"??_-;_-@_-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88-4D9C-AC8D-16F49893868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96961007"/>
        <c:axId val="1096964847"/>
      </c:lineChart>
      <c:catAx>
        <c:axId val="1096961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964847"/>
        <c:crosses val="autoZero"/>
        <c:auto val="1"/>
        <c:lblAlgn val="ctr"/>
        <c:lblOffset val="100"/>
        <c:noMultiLvlLbl val="0"/>
      </c:catAx>
      <c:valAx>
        <c:axId val="1096964847"/>
        <c:scaling>
          <c:orientation val="minMax"/>
        </c:scaling>
        <c:delete val="0"/>
        <c:axPos val="l"/>
        <c:numFmt formatCode="_-[$R$-416]\ * #,##0.00_-;\-[$R$-416]\ * #,##0.00_-;_-[$R$-416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96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>
      <a:noFill/>
    </a:ln>
    <a:effectLst/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QTD PEÇAS</a:t>
            </a:r>
          </a:p>
        </c:rich>
      </c:tx>
      <c:layout>
        <c:manualLayout>
          <c:xMode val="edge"/>
          <c:yMode val="edge"/>
          <c:x val="0.3948347181770510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5933009302048333E-2"/>
          <c:y val="0.19533580511844162"/>
          <c:w val="0.9518818126622931"/>
          <c:h val="0.71540440196703281"/>
        </c:manualLayout>
      </c:layout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'VENDAS HAVANNA 2026'!#REF!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'VENDAS HAVANNA 2026'!#REF!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8BD-4BFE-BBDE-9A3DC74FA21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99484608"/>
        <c:axId val="1399487008"/>
      </c:lineChart>
      <c:catAx>
        <c:axId val="139948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9487008"/>
        <c:crosses val="autoZero"/>
        <c:auto val="1"/>
        <c:lblAlgn val="ctr"/>
        <c:lblOffset val="100"/>
        <c:noMultiLvlLbl val="0"/>
      </c:catAx>
      <c:valAx>
        <c:axId val="139948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948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VALORES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657965579828642"/>
          <c:y val="0.17243462005599147"/>
          <c:w val="0.85053333200901249"/>
          <c:h val="0.71560987168270629"/>
        </c:manualLayout>
      </c:layout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'VENDAS HAVANNA 2026'!#REF!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'VENDAS HAVANNA 2026'!#REF!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145D-4A8E-8BEE-2665CC9FDE0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14342176"/>
        <c:axId val="1514335936"/>
      </c:lineChart>
      <c:catAx>
        <c:axId val="151434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4335936"/>
        <c:crosses val="autoZero"/>
        <c:auto val="1"/>
        <c:lblAlgn val="ctr"/>
        <c:lblOffset val="100"/>
        <c:noMultiLvlLbl val="0"/>
      </c:catAx>
      <c:valAx>
        <c:axId val="1514335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434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85881706647134"/>
          <c:y val="7.6923034566910103E-2"/>
          <c:w val="0.82088536898004028"/>
          <c:h val="0.76141084664344105"/>
        </c:manualLayout>
      </c:layout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'VENDAS HAVANNA 2026'!#REF!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'VENDAS HAVANNA 2026'!#REF!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65F-472F-AD57-F229D2D164DF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val>
            <c:numRef>
              <c:f>'VENDAS HAVANNA 2026'!#REF!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'VENDAS HAVANNA 2026'!#REF!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65F-472F-AD57-F229D2D164D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96961007"/>
        <c:axId val="1096964847"/>
      </c:lineChart>
      <c:catAx>
        <c:axId val="1096961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964847"/>
        <c:crosses val="autoZero"/>
        <c:auto val="1"/>
        <c:lblAlgn val="ctr"/>
        <c:lblOffset val="100"/>
        <c:noMultiLvlLbl val="0"/>
      </c:catAx>
      <c:valAx>
        <c:axId val="10969648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96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>
      <a:noFill/>
    </a:ln>
    <a:effectLst/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DE VENDAS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8616469816272965"/>
          <c:y val="0.17810320781032077"/>
          <c:w val="0.78605752405949258"/>
          <c:h val="0.55961995336357018"/>
        </c:manualLayout>
      </c:layout>
      <c:lineChart>
        <c:grouping val="stacked"/>
        <c:varyColors val="0"/>
        <c:ser>
          <c:idx val="0"/>
          <c:order val="0"/>
          <c:tx>
            <c:strRef>
              <c:f>'VENDAS 2026'!$D$7</c:f>
              <c:strCache>
                <c:ptCount val="1"/>
                <c:pt idx="0">
                  <c:v>VALOR 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'VENDAS 2026'!$A$8:$A$19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'VENDAS 2026'!$D$8:$D$19</c:f>
              <c:numCache>
                <c:formatCode>_("R$"* #,##0.00_);_("R$"* \(#,##0.00\);_("R$"* "-"??_);_(@_)</c:formatCode>
                <c:ptCount val="12"/>
                <c:pt idx="0">
                  <c:v>257139.20000000001</c:v>
                </c:pt>
                <c:pt idx="1">
                  <c:v>231893.5</c:v>
                </c:pt>
                <c:pt idx="2">
                  <c:v>588929</c:v>
                </c:pt>
                <c:pt idx="3">
                  <c:v>228088.5</c:v>
                </c:pt>
                <c:pt idx="4">
                  <c:v>316137.8</c:v>
                </c:pt>
                <c:pt idx="5">
                  <c:v>160954.25</c:v>
                </c:pt>
                <c:pt idx="6">
                  <c:v>444060.04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0C-4C1E-A6DE-1A9E1BC55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95179039"/>
        <c:axId val="1595177599"/>
      </c:lineChart>
      <c:catAx>
        <c:axId val="159517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177599"/>
        <c:crosses val="autoZero"/>
        <c:auto val="1"/>
        <c:lblAlgn val="ctr"/>
        <c:lblOffset val="100"/>
        <c:noMultiLvlLbl val="0"/>
      </c:catAx>
      <c:valAx>
        <c:axId val="1595177599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17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'VENDAS 2026'!$B$7</c:f>
              <c:strCache>
                <c:ptCount val="1"/>
                <c:pt idx="0">
                  <c:v>QUANT PEDIDOS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'VENDAS 2026'!$A$8:$A$19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'VENDAS 2026'!$B$8:$B$19</c:f>
              <c:numCache>
                <c:formatCode>General</c:formatCode>
                <c:ptCount val="12"/>
                <c:pt idx="0">
                  <c:v>39</c:v>
                </c:pt>
                <c:pt idx="1">
                  <c:v>39</c:v>
                </c:pt>
                <c:pt idx="2">
                  <c:v>55</c:v>
                </c:pt>
                <c:pt idx="3">
                  <c:v>31</c:v>
                </c:pt>
                <c:pt idx="4">
                  <c:v>43</c:v>
                </c:pt>
                <c:pt idx="5">
                  <c:v>41</c:v>
                </c:pt>
                <c:pt idx="6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F-4441-B41C-A9E5230B3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47063215"/>
        <c:axId val="347072815"/>
      </c:lineChart>
      <c:catAx>
        <c:axId val="34706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7072815"/>
        <c:crosses val="autoZero"/>
        <c:auto val="1"/>
        <c:lblAlgn val="ctr"/>
        <c:lblOffset val="100"/>
        <c:noMultiLvlLbl val="0"/>
      </c:catAx>
      <c:valAx>
        <c:axId val="347072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706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674079862154635"/>
          <c:y val="0.18807069219440353"/>
          <c:w val="0.87035843801967505"/>
          <c:h val="0.53497423646786424"/>
        </c:manualLayout>
      </c:layout>
      <c:lineChart>
        <c:grouping val="stacked"/>
        <c:varyColors val="0"/>
        <c:ser>
          <c:idx val="0"/>
          <c:order val="0"/>
          <c:tx>
            <c:strRef>
              <c:f>'VENDAS 2026'!$C$7</c:f>
              <c:strCache>
                <c:ptCount val="1"/>
                <c:pt idx="0">
                  <c:v>ITENS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'VENDAS 2026'!$A$8:$A$19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'VENDAS 2026'!$C$8:$C$19</c:f>
              <c:numCache>
                <c:formatCode>#,##0</c:formatCode>
                <c:ptCount val="12"/>
                <c:pt idx="0">
                  <c:v>13275</c:v>
                </c:pt>
                <c:pt idx="1">
                  <c:v>12509</c:v>
                </c:pt>
                <c:pt idx="2">
                  <c:v>44179</c:v>
                </c:pt>
                <c:pt idx="3" formatCode="General">
                  <c:v>13879</c:v>
                </c:pt>
                <c:pt idx="4" formatCode="General">
                  <c:v>14040</c:v>
                </c:pt>
                <c:pt idx="5" formatCode="General">
                  <c:v>9241</c:v>
                </c:pt>
                <c:pt idx="6" formatCode="General">
                  <c:v>23992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21-417F-999C-2FAF40072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64306447"/>
        <c:axId val="364301167"/>
      </c:lineChart>
      <c:catAx>
        <c:axId val="36430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4301167"/>
        <c:crosses val="autoZero"/>
        <c:auto val="1"/>
        <c:lblAlgn val="ctr"/>
        <c:lblOffset val="100"/>
        <c:noMultiLvlLbl val="0"/>
      </c:catAx>
      <c:valAx>
        <c:axId val="36430116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430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12700</xdr:rowOff>
    </xdr:from>
    <xdr:to>
      <xdr:col>13</xdr:col>
      <xdr:colOff>0</xdr:colOff>
      <xdr:row>21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85186B-868F-DF37-C7E2-9BA5F35EF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48260</xdr:colOff>
      <xdr:row>1</xdr:row>
      <xdr:rowOff>7620</xdr:rowOff>
    </xdr:from>
    <xdr:to>
      <xdr:col>10</xdr:col>
      <xdr:colOff>403860</xdr:colOff>
      <xdr:row>21</xdr:row>
      <xdr:rowOff>8890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464270-7CEE-7EB1-299E-5D6B30D71B81}"/>
            </a:ext>
            <a:ext uri="{147F2762-F138-4A5C-976F-8EAC2B608ADB}">
              <a16:predDERef xmlns:a16="http://schemas.microsoft.com/office/drawing/2014/main" pred="{D385186B-868F-DF37-C7E2-9BA5F35EF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23495</xdr:colOff>
      <xdr:row>5</xdr:row>
      <xdr:rowOff>0</xdr:rowOff>
    </xdr:from>
    <xdr:to>
      <xdr:col>10</xdr:col>
      <xdr:colOff>617220</xdr:colOff>
      <xdr:row>17</xdr:row>
      <xdr:rowOff>12700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CDFF35-553D-9E60-6221-1569BD9CE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632460</xdr:colOff>
      <xdr:row>5</xdr:row>
      <xdr:rowOff>0</xdr:rowOff>
    </xdr:from>
    <xdr:to>
      <xdr:col>15</xdr:col>
      <xdr:colOff>518160</xdr:colOff>
      <xdr:row>17</xdr:row>
      <xdr:rowOff>12700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21B5D7E-45CD-0FD4-EFBB-852789E225D0}"/>
            </a:ext>
            <a:ext uri="{147F2762-F138-4A5C-976F-8EAC2B608ADB}">
              <a16:predDERef xmlns:a16="http://schemas.microsoft.com/office/drawing/2014/main" pred="{88CDFF35-553D-9E60-6221-1569BD9CE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746760</xdr:colOff>
      <xdr:row>27</xdr:row>
      <xdr:rowOff>74930</xdr:rowOff>
    </xdr:from>
    <xdr:to>
      <xdr:col>14</xdr:col>
      <xdr:colOff>7620</xdr:colOff>
      <xdr:row>51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5666C1-924C-AFCA-F203-26D9ED176DE3}"/>
            </a:ext>
            <a:ext uri="{147F2762-F138-4A5C-976F-8EAC2B608ADB}">
              <a16:predDERef xmlns:a16="http://schemas.microsoft.com/office/drawing/2014/main" pred="{221B5D7E-45CD-0FD4-EFBB-852789E22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91440</xdr:colOff>
      <xdr:row>51</xdr:row>
      <xdr:rowOff>163830</xdr:rowOff>
    </xdr:from>
    <xdr:to>
      <xdr:col>6</xdr:col>
      <xdr:colOff>68580</xdr:colOff>
      <xdr:row>65</xdr:row>
      <xdr:rowOff>30480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BFC7C57-2C6B-C3CA-6ACF-03AEE80ACD3D}"/>
            </a:ext>
            <a:ext uri="{147F2762-F138-4A5C-976F-8EAC2B608ADB}">
              <a16:predDERef xmlns:a16="http://schemas.microsoft.com/office/drawing/2014/main" pred="{A75666C1-924C-AFCA-F203-26D9ED176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8107</xdr:colOff>
      <xdr:row>28</xdr:row>
      <xdr:rowOff>54726</xdr:rowOff>
    </xdr:from>
    <xdr:to>
      <xdr:col>14</xdr:col>
      <xdr:colOff>5802</xdr:colOff>
      <xdr:row>45</xdr:row>
      <xdr:rowOff>54789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178DFB0-BAD2-58E8-28FC-26E4EECE8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340468</xdr:colOff>
      <xdr:row>28</xdr:row>
      <xdr:rowOff>71574</xdr:rowOff>
    </xdr:from>
    <xdr:to>
      <xdr:col>27</xdr:col>
      <xdr:colOff>883594</xdr:colOff>
      <xdr:row>45</xdr:row>
      <xdr:rowOff>71637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7D3D668-4676-A4E3-B9B2-AC8ED1D5ED6B}"/>
            </a:ext>
            <a:ext uri="{147F2762-F138-4A5C-976F-8EAC2B608ADB}">
              <a16:predDERef xmlns:a16="http://schemas.microsoft.com/office/drawing/2014/main" pred="{9178DFB0-BAD2-58E8-28FC-26E4EECE8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119688</xdr:colOff>
      <xdr:row>2</xdr:row>
      <xdr:rowOff>2112</xdr:rowOff>
    </xdr:from>
    <xdr:to>
      <xdr:col>19</xdr:col>
      <xdr:colOff>389106</xdr:colOff>
      <xdr:row>16</xdr:row>
      <xdr:rowOff>32426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933048-1D79-D730-79E5-C4D42E14165C}"/>
            </a:ext>
            <a:ext uri="{147F2762-F138-4A5C-976F-8EAC2B608ADB}">
              <a16:predDERef xmlns:a16="http://schemas.microsoft.com/office/drawing/2014/main" pred="{77D3D668-4676-A4E3-B9B2-AC8ED1D5E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77</xdr:row>
      <xdr:rowOff>46621</xdr:rowOff>
    </xdr:from>
    <xdr:to>
      <xdr:col>15</xdr:col>
      <xdr:colOff>40531</xdr:colOff>
      <xdr:row>94</xdr:row>
      <xdr:rowOff>6153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9E335B-7C0C-4433-A105-3A1B78321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77</xdr:row>
      <xdr:rowOff>71574</xdr:rowOff>
    </xdr:from>
    <xdr:to>
      <xdr:col>30</xdr:col>
      <xdr:colOff>2755</xdr:colOff>
      <xdr:row>94</xdr:row>
      <xdr:rowOff>31106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14FE32A-0D19-467C-B615-DC9F0E529FE4}"/>
            </a:ext>
            <a:ext uri="{147F2762-F138-4A5C-976F-8EAC2B608ADB}">
              <a16:predDERef xmlns:a16="http://schemas.microsoft.com/office/drawing/2014/main" pred="{9178DFB0-BAD2-58E8-28FC-26E4EECE8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119688</xdr:colOff>
      <xdr:row>51</xdr:row>
      <xdr:rowOff>2112</xdr:rowOff>
    </xdr:from>
    <xdr:to>
      <xdr:col>20</xdr:col>
      <xdr:colOff>389106</xdr:colOff>
      <xdr:row>65</xdr:row>
      <xdr:rowOff>32426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111E96C-ABD6-4001-8465-208B06AC4820}"/>
            </a:ext>
            <a:ext uri="{147F2762-F138-4A5C-976F-8EAC2B608ADB}">
              <a16:predDERef xmlns:a16="http://schemas.microsoft.com/office/drawing/2014/main" pred="{77D3D668-4676-A4E3-B9B2-AC8ED1D5ED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29235</xdr:colOff>
      <xdr:row>4</xdr:row>
      <xdr:rowOff>186611</xdr:rowOff>
    </xdr:from>
    <xdr:to>
      <xdr:col>23</xdr:col>
      <xdr:colOff>227355</xdr:colOff>
      <xdr:row>19</xdr:row>
      <xdr:rowOff>31102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F0824D6-A2AC-02BC-BCF1-32D38C883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162268</xdr:rowOff>
    </xdr:from>
    <xdr:to>
      <xdr:col>6</xdr:col>
      <xdr:colOff>304800</xdr:colOff>
      <xdr:row>35</xdr:row>
      <xdr:rowOff>162268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54B143A-EBB8-384E-8BFE-3C1D76A6F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388620</xdr:colOff>
      <xdr:row>4</xdr:row>
      <xdr:rowOff>179070</xdr:rowOff>
    </xdr:from>
    <xdr:to>
      <xdr:col>13</xdr:col>
      <xdr:colOff>502920</xdr:colOff>
      <xdr:row>19</xdr:row>
      <xdr:rowOff>22860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45FD838-2D58-5488-DB6B-6D196B167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onserv Confecções" id="{B4A959B3-2D84-4308-B1AA-7777A2766DCB}" userId="fa4de7ef66e4ac44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erv Confecções" refreshedDate="46268.580798148148" createdVersion="8" refreshedVersion="8" minRefreshableVersion="3" recordCount="1626" xr:uid="{7A10D3A3-356D-4454-AF38-2A80DB2C9E80}">
  <cacheSource type="worksheet">
    <worksheetSource ref="A1:V1627" sheet="PCP + MO "/>
  </cacheSource>
  <cacheFields count="25">
    <cacheField name="VENDEDOR" numFmtId="0">
      <sharedItems containsBlank="1"/>
    </cacheField>
    <cacheField name="PEDIDO" numFmtId="0">
      <sharedItems containsBlank="1" containsMixedTypes="1" containsNumber="1" containsInteger="1" minValue="2" maxValue="1245" count="820">
        <n v="662"/>
        <n v="1099"/>
        <n v="1101"/>
        <n v="911"/>
        <n v="904"/>
        <n v="912"/>
        <n v="929"/>
        <n v="928"/>
        <n v="943"/>
        <n v="951"/>
        <n v="944"/>
        <n v="946"/>
        <n v="947"/>
        <n v="967"/>
        <n v="970"/>
        <n v="966"/>
        <n v="972"/>
        <n v="975"/>
        <n v="977"/>
        <n v="1000"/>
        <n v="979"/>
        <n v="981"/>
        <n v="993"/>
        <n v="996"/>
        <n v="995"/>
        <n v="998"/>
        <n v="1003"/>
        <n v="1006"/>
        <n v="1042"/>
        <n v="1017"/>
        <n v="1018"/>
        <n v="1022"/>
        <n v="1019"/>
        <n v="1025"/>
        <n v="1026"/>
        <n v="1024"/>
        <n v="1027"/>
        <n v="1028"/>
        <n v="1033"/>
        <n v="1044"/>
        <n v="1048"/>
        <n v="1050"/>
        <n v="1051"/>
        <n v="1052"/>
        <n v="1053"/>
        <n v="1056"/>
        <n v="1057"/>
        <n v="1058"/>
        <n v="1065"/>
        <n v="1068"/>
        <n v="1067"/>
        <n v="1066"/>
        <n v="1116"/>
        <n v="1076"/>
        <n v="1077"/>
        <n v="1081"/>
        <n v="1082"/>
        <n v="651"/>
        <n v="1083"/>
        <n v="1084"/>
        <n v="654"/>
        <n v="655"/>
        <n v="658"/>
        <n v="659"/>
        <n v="1094"/>
        <n v="1093"/>
        <n v="661"/>
        <n v="1102"/>
        <n v="663"/>
        <n v="664"/>
        <n v="1104"/>
        <n v="665"/>
        <n v="667"/>
        <n v="669"/>
        <n v="1109"/>
        <n v="670"/>
        <n v="1110"/>
        <n v="1111"/>
        <n v="1108"/>
        <n v="1107"/>
        <n v="1114"/>
        <n v="686"/>
        <n v="1113"/>
        <n v="1118"/>
        <n v="671"/>
        <n v="673"/>
        <n v="1117"/>
        <n v="1120"/>
        <n v="674"/>
        <n v="675"/>
        <n v="678"/>
        <n v="679"/>
        <n v="1123"/>
        <n v="681"/>
        <n v="682"/>
        <n v="1125"/>
        <n v="1126"/>
        <n v="706"/>
        <n v="1133"/>
        <n v="684"/>
        <n v="1132"/>
        <n v="687"/>
        <n v="1135"/>
        <n v="32"/>
        <n v="735"/>
        <n v="690"/>
        <n v="695"/>
        <n v="692"/>
        <n v="744"/>
        <n v="694"/>
        <n v="737"/>
        <n v="759"/>
        <n v="697"/>
        <n v="699"/>
        <n v="700"/>
        <n v="1141"/>
        <n v="712"/>
        <n v="702"/>
        <n v="707"/>
        <n v="704"/>
        <n v="713"/>
        <n v="1143"/>
        <n v="717"/>
        <n v="1145"/>
        <n v="51"/>
        <n v="710"/>
        <n v="718"/>
        <n v="1153"/>
        <n v="1152"/>
        <n v="1151"/>
        <n v="721"/>
        <n v="1146"/>
        <n v="725"/>
        <n v="1156"/>
        <n v="1162"/>
        <n v="1159"/>
        <n v="4"/>
        <n v="1161"/>
        <n v="726"/>
        <n v="727"/>
        <n v="729"/>
        <n v="733"/>
        <n v="731"/>
        <n v="728"/>
        <n v="741"/>
        <n v="740"/>
        <n v="739"/>
        <n v="1164"/>
        <n v="1165"/>
        <n v="1167"/>
        <n v="742"/>
        <n v="1166"/>
        <n v="743"/>
        <n v="1170"/>
        <n v="746"/>
        <n v="749"/>
        <n v="1171"/>
        <n v="747"/>
        <n v="748"/>
        <n v="1174"/>
        <n v="1173"/>
        <n v="750"/>
        <n v="751"/>
        <n v="752"/>
        <n v="753"/>
        <n v="1176"/>
        <n v="1179"/>
        <n v="1178"/>
        <n v="1181"/>
        <n v="754"/>
        <n v="1183"/>
        <n v="1184"/>
        <n v="761"/>
        <n v="755"/>
        <n v="756"/>
        <n v="1185"/>
        <n v="719"/>
        <n v="757"/>
        <n v="1187"/>
        <n v="1186"/>
        <n v="1193"/>
        <n v="1190"/>
        <n v="1189"/>
        <n v="1191"/>
        <n v="766"/>
        <n v="767"/>
        <n v="765"/>
        <n v="1192"/>
        <n v="1195"/>
        <n v="1196"/>
        <n v="1197"/>
        <n v="1194"/>
        <n v="770"/>
        <n v="1200"/>
        <n v="768"/>
        <n v="769"/>
        <n v="771"/>
        <n v="1201"/>
        <n v="1205"/>
        <n v="1206"/>
        <n v="818"/>
        <n v="772"/>
        <n v="1209"/>
        <n v="1208"/>
        <n v="776"/>
        <n v="1210"/>
        <n v="1212"/>
        <n v="1138"/>
        <n v="1213"/>
        <n v="778"/>
        <n v="1163"/>
        <n v="780"/>
        <n v="1215"/>
        <n v="1216"/>
        <n v="781"/>
        <n v="1214"/>
        <n v="1217"/>
        <n v="783"/>
        <n v="784"/>
        <n v="1218"/>
        <n v="787"/>
        <n v="786"/>
        <n v="1219"/>
        <n v="1220"/>
        <n v="1222"/>
        <n v="788"/>
        <n v="789"/>
        <n v="1223"/>
        <n v="1224"/>
        <n v="790"/>
        <n v="791"/>
        <n v="1225"/>
        <n v="793"/>
        <n v="794"/>
        <n v="792"/>
        <n v="1221"/>
        <n v="795"/>
        <n v="796"/>
        <n v="785"/>
        <n v="799"/>
        <n v="797"/>
        <n v="1226"/>
        <n v="1227"/>
        <n v="802"/>
        <n v="801"/>
        <n v="1229"/>
        <n v="800"/>
        <n v="805"/>
        <n v="804"/>
        <n v="806"/>
        <n v="1230"/>
        <n v="808"/>
        <n v="1231"/>
        <n v="807"/>
        <n v="817"/>
        <n v="181"/>
        <n v="809"/>
        <n v="810"/>
        <n v="815"/>
        <n v="2"/>
        <n v="3"/>
        <n v="5"/>
        <n v="813"/>
        <n v="814"/>
        <n v="811"/>
        <n v="183"/>
        <n v="820"/>
        <n v="819"/>
        <n v="816"/>
        <n v="1233"/>
        <n v="1234"/>
        <n v="822"/>
        <n v="825"/>
        <n v="824"/>
        <n v="823"/>
        <n v="1236"/>
        <n v="826"/>
        <n v="829"/>
        <n v="1235"/>
        <n v="828"/>
        <n v="827"/>
        <n v="227"/>
        <n v="834"/>
        <n v="835"/>
        <n v="839"/>
        <n v="228"/>
        <n v="837"/>
        <n v="838"/>
        <n v="840"/>
        <n v="845"/>
        <n v="842"/>
        <n v="843"/>
        <n v="844"/>
        <n v="847"/>
        <n v="194"/>
        <n v="195"/>
        <n v="846"/>
        <n v="850"/>
        <n v="1237"/>
        <n v="197"/>
        <n v="198"/>
        <n v="853"/>
        <n v="854"/>
        <n v="855"/>
        <n v="856"/>
        <n v="857"/>
        <n v="858"/>
        <n v="859"/>
        <n v="230"/>
        <n v="229"/>
        <n v="200"/>
        <n v="1238"/>
        <n v="201"/>
        <n v="862"/>
        <n v="1239"/>
        <n v="860"/>
        <n v="861"/>
        <n v="231"/>
        <n v="232"/>
        <n v="863"/>
        <n v="233"/>
        <n v="866"/>
        <n v="865"/>
        <n v="867"/>
        <n v="868"/>
        <n v="204"/>
        <n v="234"/>
        <n v="872"/>
        <n v="203"/>
        <n v="873"/>
        <n v="880"/>
        <n v="238"/>
        <n v="877"/>
        <n v="879"/>
        <n v="235"/>
        <n v="237"/>
        <n v="882"/>
        <n v="881"/>
        <n v="883"/>
        <n v="239"/>
        <n v="885"/>
        <n v="240"/>
        <n v="890"/>
        <n v="886"/>
        <n v="887"/>
        <n v="891"/>
        <n v="245"/>
        <n v="243"/>
        <n v="244"/>
        <n v="892"/>
        <n v="893"/>
        <n v="246"/>
        <n v="247"/>
        <n v="250"/>
        <n v="251"/>
        <n v="249"/>
        <n v="252"/>
        <n v="209"/>
        <n v="253"/>
        <n v="7"/>
        <n v="8"/>
        <n v="897"/>
        <n v="255"/>
        <n v="896"/>
        <n v="256"/>
        <n v="287"/>
        <n v="257"/>
        <n v="900"/>
        <n v="899"/>
        <n v="258"/>
        <n v="901"/>
        <n v="902"/>
        <n v="903"/>
        <n v="260"/>
        <n v="259"/>
        <n v="262"/>
        <n v="261"/>
        <n v="905"/>
        <n v="263"/>
        <n v="906"/>
        <n v="265"/>
        <n v="268"/>
        <n v="266"/>
        <n v="910"/>
        <n v="909"/>
        <n v="274"/>
        <n v="270"/>
        <n v="273"/>
        <n v="271"/>
        <n v="1240"/>
        <n v="913"/>
        <n v="916"/>
        <n v="276"/>
        <n v="918"/>
        <n v="275"/>
        <n v="922"/>
        <n v="921"/>
        <n v="926"/>
        <n v="923"/>
        <n v="924"/>
        <n v="927"/>
        <n v="277"/>
        <n v="932"/>
        <n v="279"/>
        <n v="1241"/>
        <n v="933"/>
        <n v="280"/>
        <n v="281"/>
        <n v="282"/>
        <n v="285"/>
        <n v="286"/>
        <n v="283"/>
        <n v="937"/>
        <n v="938"/>
        <n v="290"/>
        <n v="288"/>
        <n v="289"/>
        <n v="291"/>
        <n v="939"/>
        <n v="292"/>
        <n v="940"/>
        <n v="293"/>
        <n v="294"/>
        <n v="297"/>
        <n v="295"/>
        <n v="296"/>
        <n v="298"/>
        <n v="304"/>
        <n v="303"/>
        <n v="301"/>
        <n v="941"/>
        <n v="305"/>
        <n v="1242"/>
        <n v="942"/>
        <n v="306"/>
        <n v="307"/>
        <n v="308"/>
        <n v="309"/>
        <n v="945"/>
        <n v="313"/>
        <n v="311"/>
        <n v="312"/>
        <n v="310"/>
        <n v="315"/>
        <n v="314"/>
        <n v="316"/>
        <n v="949"/>
        <n v="950"/>
        <n v="317"/>
        <n v="953"/>
        <n v="318"/>
        <n v="954"/>
        <n v="319"/>
        <n v="320"/>
        <n v="955"/>
        <n v="324"/>
        <n v="322"/>
        <n v="325"/>
        <n v="210"/>
        <n v="958"/>
        <n v="326"/>
        <n v="328"/>
        <n v="331"/>
        <n v="329"/>
        <n v="332"/>
        <n v="335"/>
        <n v="333"/>
        <n v="334"/>
        <n v="336"/>
        <n v="337"/>
        <n v="340"/>
        <n v="965"/>
        <n v="347"/>
        <n v="339"/>
        <n v="351"/>
        <n v="348"/>
        <n v="345"/>
        <n v="350"/>
        <n v="352"/>
        <n v="349"/>
        <n v="346"/>
        <n v="353"/>
        <n v="986"/>
        <n v="985"/>
        <n v="381"/>
        <n v="984"/>
        <n v="357"/>
        <n v="987"/>
        <n v="988"/>
        <n v="358"/>
        <n v="992"/>
        <n v="989"/>
        <n v="360"/>
        <n v="359"/>
        <n v="365"/>
        <n v="363"/>
        <n v="364"/>
        <n v="367"/>
        <n v="990"/>
        <n v="991"/>
        <n v="994"/>
        <n v="368"/>
        <n v="369"/>
        <n v="999"/>
        <n v="982"/>
        <n v="371"/>
        <n v="370"/>
        <n v="374"/>
        <n v="373"/>
        <n v="372"/>
        <n v="1002"/>
        <n v="1001"/>
        <n v="377"/>
        <n v="1005"/>
        <n v="379"/>
        <n v="376"/>
        <n v="380"/>
        <n v="1007"/>
        <n v="382"/>
        <n v="1008"/>
        <n v="383"/>
        <n v="1009"/>
        <n v="384"/>
        <n v="1011"/>
        <n v="385"/>
        <n v="1010"/>
        <n v="386"/>
        <n v="1012"/>
        <n v="387"/>
        <n v="1096"/>
        <n v="1014"/>
        <n v="388"/>
        <n v="212"/>
        <n v="392"/>
        <n v="393"/>
        <n v="1015"/>
        <n v="1016"/>
        <n v="394"/>
        <n v="396"/>
        <n v="398"/>
        <n v="389"/>
        <n v="399"/>
        <n v="401"/>
        <n v="405"/>
        <n v="407"/>
        <n v="404"/>
        <n v="403"/>
        <n v="402"/>
        <n v="406"/>
        <n v="411"/>
        <n v="414"/>
        <n v="415"/>
        <n v="422"/>
        <n v="421"/>
        <n v="213"/>
        <n v="423"/>
        <n v="425"/>
        <n v="1029"/>
        <n v="1030"/>
        <n v="417"/>
        <n v="1035"/>
        <n v="1034"/>
        <n v="428"/>
        <n v="1037"/>
        <n v="429"/>
        <n v="431"/>
        <n v="433"/>
        <n v="426"/>
        <n v="1038"/>
        <n v="1039"/>
        <n v="1121"/>
        <n v="434"/>
        <n v="1040"/>
        <n v="1036"/>
        <n v="436"/>
        <n v="438"/>
        <n v="437"/>
        <n v="400"/>
        <n v="439"/>
        <n v="1043"/>
        <n v="441"/>
        <n v="468"/>
        <n v="1045"/>
        <n v="443"/>
        <n v="442"/>
        <n v="444"/>
        <n v="1046"/>
        <n v="214"/>
        <n v="440"/>
        <n v="448"/>
        <n v="445"/>
        <n v="1049"/>
        <n v="449"/>
        <n v="450"/>
        <n v="451"/>
        <n v="215"/>
        <n v="1054"/>
        <n v="1055"/>
        <n v="452"/>
        <s v="453"/>
        <n v="454"/>
        <n v="455"/>
        <n v="1073"/>
        <n v="462"/>
        <n v="457"/>
        <n v="456"/>
        <n v="459"/>
        <n v="463"/>
        <n v="464"/>
        <n v="465"/>
        <n v="1060"/>
        <n v="466"/>
        <n v="427"/>
        <n v="1062"/>
        <n v="467"/>
        <n v="471"/>
        <n v="1072"/>
        <n v="1063"/>
        <n v="1064"/>
        <n v="469"/>
        <n v="473"/>
        <n v="216"/>
        <n v="1070"/>
        <n v="1071"/>
        <n v="1074"/>
        <n v="475"/>
        <n v="474"/>
        <n v="476"/>
        <n v="478"/>
        <n v="1079"/>
        <n v="1078"/>
        <n v="479"/>
        <n v="1075"/>
        <n v="1244"/>
        <n v="481"/>
        <n v="484"/>
        <n v="482"/>
        <n v="485"/>
        <n v="487"/>
        <n v="486"/>
        <n v="490"/>
        <n v="488"/>
        <n v="483"/>
        <n v="491"/>
        <n v="493"/>
        <n v="489"/>
        <n v="496"/>
        <n v="1085"/>
        <n v="492"/>
        <n v="494"/>
        <n v="500"/>
        <n v="497"/>
        <n v="498"/>
        <n v="1031"/>
        <n v="505"/>
        <n v="506"/>
        <n v="507"/>
        <n v="218"/>
        <n v="509"/>
        <n v="1080"/>
        <n v="504"/>
        <n v="1098"/>
        <n v="1097"/>
        <n v="510"/>
        <n v="512"/>
        <n v="516"/>
        <n v="513"/>
        <n v="514"/>
        <n v="515"/>
        <n v="517"/>
        <n v="518"/>
        <n v="521"/>
        <n v="520"/>
        <n v="519"/>
        <n v="522"/>
        <n v="523"/>
        <n v="525"/>
        <n v="524"/>
        <n v="526"/>
        <n v="529"/>
        <n v="533"/>
        <n v="531"/>
        <n v="530"/>
        <n v="532"/>
        <n v="536"/>
        <n v="534"/>
        <n v="535"/>
        <n v="219"/>
        <n v="537"/>
        <n v="538"/>
        <n v="539"/>
        <n v="540"/>
        <n v="541"/>
        <n v="542"/>
        <n v="544"/>
        <n v="545"/>
        <n v="546"/>
        <n v="551"/>
        <n v="552"/>
        <n v="555"/>
        <n v="557"/>
        <n v="554"/>
        <n v="563"/>
        <n v="559"/>
        <n v="560"/>
        <n v="564"/>
        <n v="562"/>
        <n v="558"/>
        <n v="568"/>
        <n v="566"/>
        <n v="553"/>
        <n v="567"/>
        <n v="561"/>
        <n v="569"/>
        <n v="570"/>
        <n v="572"/>
        <n v="573"/>
        <n v="220"/>
        <n v="574"/>
        <n v="575"/>
        <n v="577"/>
        <n v="576"/>
        <n v="1245"/>
        <n v="580"/>
        <n v="581"/>
        <n v="582"/>
        <n v="543"/>
        <n v="584"/>
        <n v="585"/>
        <n v="587"/>
        <n v="589"/>
        <n v="588"/>
        <n v="583"/>
        <n v="593"/>
        <n v="591"/>
        <n v="594"/>
        <n v="596"/>
        <n v="597"/>
        <n v="595"/>
        <n v="598"/>
        <n v="592"/>
        <n v="602"/>
        <n v="606"/>
        <n v="601"/>
        <n v="603"/>
        <n v="605"/>
        <n v="604"/>
        <n v="607"/>
        <n v="609"/>
        <n v="610"/>
        <n v="600"/>
        <n v="608"/>
        <n v="611"/>
        <n v="613"/>
        <n v="612"/>
        <n v="614"/>
        <n v="1112"/>
        <n v="615"/>
        <n v="616"/>
        <n v="618"/>
        <n v="617"/>
        <n v="620"/>
        <n v="621"/>
        <n v="223"/>
        <n v="623"/>
        <n v="1115"/>
        <n v="622"/>
        <n v="625"/>
        <n v="627"/>
        <n v="630"/>
        <n v="626"/>
        <n v="628"/>
        <n v="631"/>
        <n v="632"/>
        <n v="1119"/>
        <n v="635"/>
        <n v="636"/>
        <n v="634"/>
        <n v="638"/>
        <n v="640"/>
        <n v="641"/>
        <n v="642"/>
        <n v="637"/>
        <n v="643"/>
        <n v="645"/>
        <n v="644"/>
        <n v="646"/>
        <n v="647"/>
        <n v="648"/>
        <n v="1127"/>
        <n v="649"/>
        <n v="1129"/>
        <n v="1128"/>
        <n v="1130"/>
        <n v="1131"/>
        <n v="1134"/>
        <n v="224"/>
        <n v="1140"/>
        <n v="657"/>
        <n v="226"/>
        <n v="652"/>
        <n v="653"/>
        <n v="236"/>
        <n v="241"/>
        <n v="1137"/>
        <n v="656"/>
        <n v="242"/>
        <n v="1139"/>
        <n v="1142"/>
        <n v="1144"/>
        <n v="1148"/>
        <n v="1149"/>
        <n v="1150"/>
        <n v="1124"/>
        <n v="660"/>
        <n v="1155"/>
        <n v="1154"/>
        <n v="254"/>
        <m/>
        <n v="650" u="1"/>
      </sharedItems>
    </cacheField>
    <cacheField name="DATA DO PEDIDO" numFmtId="14">
      <sharedItems containsNonDate="0" containsDate="1" containsString="0" containsBlank="1" minDate="2024-01-03T00:00:00" maxDate="2026-09-04T00:00:00" count="395">
        <d v="2024-01-03T00:00:00"/>
        <d v="2024-01-06T00:00:00"/>
        <d v="2024-04-30T00:00:00"/>
        <d v="2024-05-07T00:00:00"/>
        <d v="2024-05-09T00:00:00"/>
        <d v="2024-05-28T00:00:00"/>
        <d v="2024-07-11T00:00:00"/>
        <d v="2024-07-12T00:00:00"/>
        <d v="2024-07-17T00:00:00"/>
        <d v="2024-07-25T00:00:00"/>
        <d v="2024-08-02T00:00:00"/>
        <d v="2024-08-05T00:00:00"/>
        <d v="2024-08-12T00:00:00"/>
        <d v="2024-08-14T00:00:00"/>
        <d v="2024-08-22T00:00:00"/>
        <d v="2024-08-26T00:00:00"/>
        <d v="2024-08-27T00:00:00"/>
        <d v="2024-08-28T00:00:00"/>
        <d v="2024-08-30T00:00:00"/>
        <d v="2024-09-03T00:00:00"/>
        <d v="2024-09-09T00:00:00"/>
        <d v="2024-09-13T00:00:00"/>
        <d v="2024-09-18T00:00:00"/>
        <d v="2024-09-20T00:00:00"/>
        <d v="2024-09-24T00:00:00"/>
        <d v="2024-09-30T00:00:00"/>
        <d v="2024-10-02T00:00:00"/>
        <d v="2024-10-03T00:00:00"/>
        <d v="2024-10-04T00:00:00"/>
        <d v="2024-10-14T00:00:00"/>
        <d v="2024-10-23T00:00:00"/>
        <d v="2024-10-30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9T00:00:00"/>
        <d v="2024-11-21T00:00:00"/>
        <d v="2024-11-26T00:00:00"/>
        <d v="2024-11-27T00:00:00"/>
        <d v="2024-12-02T00:00:00"/>
        <d v="2024-12-06T00:00:00"/>
        <d v="2024-12-09T00:00:00"/>
        <d v="2024-12-11T00:00:00"/>
        <d v="2024-12-16T00:00:00"/>
        <d v="2024-12-19T00:00:00"/>
        <d v="2024-12-26T00:00:00"/>
        <d v="2025-01-02T00:00:00"/>
        <d v="2025-01-06T00:00:00"/>
        <d v="2025-01-08T00:00:00"/>
        <d v="2025-01-09T00:00:00"/>
        <d v="2025-01-13T00:00:00"/>
        <d v="2025-01-15T00:00:00"/>
        <d v="2025-01-16T00:00:00"/>
        <d v="2025-01-17T00:00:00"/>
        <d v="2025-01-21T00:00:00"/>
        <d v="2025-01-22T00:00:00"/>
        <d v="2025-01-23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7T00:00:00"/>
        <d v="2025-02-10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6T00:00:00"/>
        <d v="2025-02-27T00:00:00"/>
        <d v="2025-03-06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7T00:00:00"/>
        <d v="2025-04-08T00:00:00"/>
        <d v="2025-04-09T00:00:00"/>
        <d v="2025-04-11T00:00:00"/>
        <d v="2025-04-14T00:00:00"/>
        <d v="2025-04-15T00:00:00"/>
        <d v="2025-04-16T00:00:00"/>
        <d v="2025-04-17T00:00:00"/>
        <d v="2025-04-18T00:00:00"/>
        <d v="2025-04-23T00:00:00"/>
        <d v="2025-04-24T00:00:00"/>
        <d v="2025-04-25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13T00:00:00"/>
        <d v="2025-05-14T00:00:00"/>
        <d v="2025-05-15T00:00:00"/>
        <d v="2025-05-16T00:00:00"/>
        <d v="2025-05-19T00:00:00"/>
        <d v="2025-05-22T00:00:00"/>
        <d v="2025-05-23T00:00:00"/>
        <d v="2025-05-24T00:00:00"/>
        <d v="2025-05-26T00:00:00"/>
        <d v="2025-05-27T00:00:00"/>
        <d v="2025-05-28T00:00:00"/>
        <d v="2025-05-30T00:00:00"/>
        <d v="2025-06-02T00:00:00"/>
        <d v="2025-06-03T00:00:00"/>
        <d v="2025-06-05T00:00:00"/>
        <d v="2025-06-06T00:00:00"/>
        <d v="2025-06-09T00:00:00"/>
        <d v="2025-06-10T00:00:00"/>
        <d v="2025-06-11T00:00:00"/>
        <d v="2025-06-16T00:00:00"/>
        <d v="2025-06-17T00:00:00"/>
        <d v="2025-06-18T00:00:00"/>
        <d v="2025-06-23T00:00:00"/>
        <d v="2025-06-24T00:00:00"/>
        <d v="2025-06-25T00:00:00"/>
        <d v="2025-06-30T00:00:00"/>
        <d v="2025-07-01T00:00:00"/>
        <d v="2025-07-02T00:00:00"/>
        <d v="2025-07-04T00:00:00"/>
        <d v="2025-07-07T00:00:00"/>
        <d v="2025-07-08T00:00:00"/>
        <d v="2025-07-10T00:00:00"/>
        <d v="2025-07-11T00:00:00"/>
        <d v="2025-07-14T00:00:00"/>
        <d v="2025-07-15T00:00:00"/>
        <d v="2025-07-16T00:00:00"/>
        <d v="2025-07-17T00:00:00"/>
        <d v="2025-07-21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9-01T00:00:00"/>
        <d v="2025-09-02T00:00:00"/>
        <d v="2025-09-03T00:00:00"/>
        <d v="2025-09-04T00:00:00"/>
        <d v="2025-09-09T00:00:00"/>
        <d v="2025-09-10T00:00:00"/>
        <d v="2025-09-12T00:00:00"/>
        <d v="2025-09-15T00:00:00"/>
        <d v="2025-09-16T00:00:00"/>
        <d v="2025-09-17T00:00:00"/>
        <d v="2025-09-18T00:00:00"/>
        <d v="2025-09-19T00:00:00"/>
        <d v="2025-09-23T00:00:00"/>
        <d v="2025-09-25T00:00:00"/>
        <d v="2025-09-29T00:00:00"/>
        <d v="2025-09-30T00:00:00"/>
        <d v="2025-10-01T00:00:00"/>
        <d v="2025-10-02T00:00:00"/>
        <d v="2025-10-03T00:00:00"/>
        <d v="2025-10-05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1T00:00:00"/>
        <d v="2025-11-24T00:00:00"/>
        <d v="2025-11-25T00:00:00"/>
        <d v="2025-11-26T00:00:00"/>
        <d v="2025-11-28T00:00:00"/>
        <d v="2025-12-01T00:00:00"/>
        <d v="2025-12-02T00:00:00"/>
        <d v="2025-12-03T00:00:00"/>
        <d v="2025-12-04T00:00:00"/>
        <d v="2025-12-08T00:00:00"/>
        <d v="2025-12-09T00:00:00"/>
        <d v="2025-12-10T00:00:00"/>
        <d v="2025-12-11T00:00:00"/>
        <d v="2025-12-12T00:00:00"/>
        <d v="2025-12-17T00:00:00"/>
        <d v="2025-12-18T00:00:00"/>
        <d v="2026-01-06T00:00:00"/>
        <d v="2026-01-08T00:00:00"/>
        <d v="2026-01-09T00:00:00"/>
        <d v="2026-01-12T00:00:00"/>
        <d v="2026-01-14T00:00:00"/>
        <d v="2026-01-15T00:00:00"/>
        <d v="2026-01-16T00:00:00"/>
        <d v="2026-01-19T00:00:00"/>
        <d v="2026-01-22T00:00:00"/>
        <d v="2026-01-23T00:00:00"/>
        <d v="2026-01-26T00:00:00"/>
        <d v="2026-01-27T00:00:00"/>
        <d v="2026-01-28T00:00:00"/>
        <d v="2026-01-29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2T00:00:00"/>
        <d v="2026-02-13T00:00:00"/>
        <d v="2026-02-16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3-02T00:00:00"/>
        <d v="2026-03-03T00:00:00"/>
        <d v="2026-03-04T00:00:00"/>
        <d v="2026-03-05T00:00:00"/>
        <d v="2026-03-06T00:00:00"/>
        <d v="2026-03-09T00:00:00"/>
        <d v="2026-03-11T00:00:00"/>
        <d v="2026-03-12T00:00:00"/>
        <d v="2026-03-13T00:00:00"/>
        <d v="2026-03-16T00:00:00"/>
        <d v="2026-03-17T00:00:00"/>
        <d v="2026-03-18T00:00:00"/>
        <d v="2026-03-19T00:00:00"/>
        <d v="2026-03-20T00:00:00"/>
        <d v="2026-03-23T00:00:00"/>
        <d v="2026-03-25T00:00:00"/>
        <d v="2026-03-26T00:00:00"/>
        <d v="2026-03-27T00:00:00"/>
        <d v="2026-03-30T00:00:00"/>
        <d v="2026-04-02T00:00:00"/>
        <d v="2026-04-06T00:00:00"/>
        <d v="2026-04-07T00:00:00"/>
        <d v="2026-04-08T00:00:00"/>
        <d v="2026-04-09T00:00:00"/>
        <d v="2026-04-10T00:00:00"/>
        <d v="2026-04-13T00:00:00"/>
        <d v="2026-04-15T00:00:00"/>
        <d v="2026-04-16T00:00:00"/>
        <d v="2026-04-22T00:00:00"/>
        <d v="2026-04-23T00:00:00"/>
        <d v="2026-04-24T00:00:00"/>
        <d v="2026-04-27T00:00:00"/>
        <d v="2026-04-28T00:00:00"/>
        <d v="2026-04-30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1T00:00:00"/>
        <d v="2026-05-22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8T00:00:00"/>
        <d v="2026-06-09T00:00:00"/>
        <d v="2026-06-10T00:00:00"/>
        <d v="2026-06-12T00:00:00"/>
        <d v="2026-06-15T00:00:00"/>
        <d v="2026-06-16T00:00:00"/>
        <d v="2026-06-17T00:00:00"/>
        <d v="2026-06-18T00:00:00"/>
        <d v="2026-06-19T00:00:00"/>
        <d v="2026-06-22T00:00:00"/>
        <d v="2026-06-23T00:00:00"/>
        <d v="2026-06-24T00:00:00"/>
        <d v="2026-06-25T00:00:00"/>
        <d v="2026-06-30T00:00:00"/>
        <d v="2026-07-01T00:00:00"/>
        <d v="2026-07-02T00:00:00"/>
        <d v="2026-07-03T00:00:00"/>
        <d v="2026-07-06T00:00:00"/>
        <d v="2026-07-07T00:00:00"/>
        <d v="2026-07-08T00:00:00"/>
        <d v="2026-07-10T00:00:00"/>
        <d v="2026-07-13T00:00:00"/>
        <d v="2026-07-14T00:00:00"/>
        <d v="2026-07-15T00:00:00"/>
        <d v="2026-07-16T00:00:00"/>
        <d v="2026-07-17T00:00:00"/>
        <d v="2026-07-21T00:00:00"/>
        <d v="2026-07-23T00:00:00"/>
        <d v="2026-07-24T00:00:00"/>
        <d v="2026-07-27T00:00:00"/>
        <d v="2026-07-28T00:00:00"/>
        <d v="2026-07-29T00:00:00"/>
        <d v="2026-07-31T00:00:00"/>
        <d v="2026-08-03T00:00:00"/>
        <d v="2026-08-04T00:00:00"/>
        <d v="2026-08-05T00:00:00"/>
        <d v="2026-08-06T00:00:00"/>
        <d v="2026-08-11T00:00:00"/>
        <d v="2026-08-12T00:00:00"/>
        <d v="2026-08-20T00:00:00"/>
        <d v="2026-08-07T00:00:00"/>
        <d v="2026-08-10T00:00:00"/>
        <d v="2026-08-13T00:00:00"/>
        <d v="2026-08-14T00:00:00"/>
        <d v="2026-08-17T00:00:00"/>
        <d v="2026-08-21T00:00:00"/>
        <d v="2026-08-24T00:00:00"/>
        <d v="2026-08-25T00:00:00"/>
        <d v="2026-08-26T00:00:00"/>
        <d v="2026-08-27T00:00:00"/>
        <d v="2026-08-28T00:00:00"/>
        <d v="2026-08-31T00:00:00"/>
        <d v="2026-09-01T00:00:00"/>
        <d v="2026-09-02T00:00:00"/>
        <d v="2026-09-03T00:00:00"/>
        <m/>
      </sharedItems>
      <fieldGroup par="24"/>
    </cacheField>
    <cacheField name="SEMANA DO PEDIDO" numFmtId="0">
      <sharedItems containsString="0" containsBlank="1" containsNumber="1" containsInteger="1" minValue="1" maxValue="52" count="53">
        <n v="1"/>
        <n v="18"/>
        <n v="19"/>
        <n v="22"/>
        <n v="28"/>
        <n v="29"/>
        <n v="30"/>
        <n v="31"/>
        <n v="32"/>
        <n v="33"/>
        <n v="34"/>
        <n v="35"/>
        <n v="36"/>
        <n v="37"/>
        <n v="38"/>
        <n v="39"/>
        <n v="40"/>
        <n v="42"/>
        <n v="43"/>
        <n v="44"/>
        <n v="45"/>
        <n v="46"/>
        <n v="47"/>
        <n v="48"/>
        <n v="49"/>
        <n v="50"/>
        <n v="51"/>
        <n v="52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20"/>
        <n v="21"/>
        <n v="23"/>
        <n v="24"/>
        <n v="25"/>
        <n v="26"/>
        <n v="27"/>
        <n v="41"/>
        <m/>
      </sharedItems>
    </cacheField>
    <cacheField name="CATEGORIA" numFmtId="0">
      <sharedItems containsBlank="1"/>
    </cacheField>
    <cacheField name="CLIENTE" numFmtId="0">
      <sharedItems containsBlank="1" count="393">
        <s v="M.D BOSO (PROHALL)"/>
        <s v="CEQ (PET SOCIETY)"/>
        <s v="PATAGONIA CAFÉ LTDA"/>
        <s v="DGA DOCES"/>
        <s v="CAFÉ DEL PLATA "/>
        <s v="MVM BOMBONIERE"/>
        <s v="PADOVANI'S COMERCIO"/>
        <s v="DANIELLE DE SOUZA LIMA SANCHES"/>
        <s v="LECEVY COMERCIO DE ALIMENTOS"/>
        <s v="JS ALIMENTAÇÃO"/>
        <s v="J.A DA CAMARA FERNANDES"/>
        <s v="H4 CAFES E ALIMENTOS"/>
        <s v="JSC CAFETERIA LTDA"/>
        <s v="CAFÉ HAVANNA VR"/>
        <s v="MANZANI CAFETERIA LTDA"/>
        <s v="HAVANNA BAH CAFÉ"/>
        <s v="PAMPLONA, CAFÉ, DOCES"/>
        <s v="HAVANNA IMIGRANTES"/>
        <s v="DDC COMERCIO DE ALIMENTOS"/>
        <s v="CAFÉ PREMIUM COMERCIO"/>
        <s v="BF COMERCIO VAREJISTA DE DOCES"/>
        <s v="DOCES E DOCES MF LTDA"/>
        <s v="SOUZA &amp; BATISTA (HAVANNA)"/>
        <s v="SOUZA &amp; BATISTA HAVANNA PALHANO"/>
        <s v="JL COMERCIO DE ALIMENTOS "/>
        <s v="NSENA COMERCIO DE ALIMENTOS"/>
        <s v="MVP CAFETERIA LTDA"/>
        <s v="DRL CAFETERIA LTDA"/>
        <s v="ZF ALIMENTOS"/>
        <s v="LRM CAFETERIA, DOCERIA E SALGADERIA"/>
        <s v="MAV COMERCIO DE ALIMENTOS"/>
        <s v="HAVANNA PARK SHOP BARIGUI"/>
        <s v="LBP LANCHONETE, CAFETERIA E COMÉRCIO"/>
        <s v="P&amp;K DOCERIA E CAFETERIA LTDA"/>
        <s v="DULCE M2A COMERCIO DE DOCES"/>
        <s v="HAVANNA RT "/>
        <s v="LM PALMAS LTDA"/>
        <s v="SARAH K"/>
        <s v="LIZZE"/>
        <s v="TAPIS"/>
        <s v="VOICER STORE (AUDIO VOICER)"/>
        <s v="LDM ESPECIALIDADES PELONCIO "/>
        <s v="KPRO"/>
        <s v="GRANFOOD "/>
        <s v="GRANDFOOD (PREMIER)"/>
        <s v="MER CASTRO COMERCIO (MARIA SUBLIME)"/>
        <s v="CONCI &amp; TEIXEIRA ALIMENTOS LTDA (HAVANNA MG)"/>
        <s v="ALTEGIO BRASIL "/>
        <s v="GRAM INDUSTRIA"/>
        <s v="MULTILIXO "/>
        <s v="PET SPA"/>
        <s v="PAULO F BRAZ "/>
        <s v="CRISTINA BRASILIAN"/>
        <s v="BEUATY  FAIR "/>
        <s v="D R DOCES E CAFES "/>
        <s v="CASTLE PRODUTOS "/>
        <s v="MARKET BRINDES "/>
        <s v="BUBBLES PET"/>
        <s v="NESTING"/>
        <s v="CYSTEM HAIR "/>
        <s v="JBG  COMERCIO E SERVIÇOS (MY PHIOS) "/>
        <s v="MARTINE E BUENO "/>
        <s v="GIRLSLO TURISMO EVENTOS "/>
        <s v="CADIVEU "/>
        <s v="EXCLUSIVA COMERCIO "/>
        <s v="LUNA COSMETICOS LCO PET LTDA "/>
        <s v="A.S.N DISTRIBUIDORA "/>
        <s v="LULLY BIJU PET "/>
        <s v="HACTOON PROFISSIONAL "/>
        <s v="LASUVI BEOX"/>
        <s v="SANAJ INDUSTRIAL LTDA "/>
        <s v="NB DISTRIBUIDORA (D BIANCO)"/>
        <s v="EAE COSMETICOS "/>
        <s v="SOLUTION (DOLCE PET)"/>
        <s v="3A VAREJO (BIO OZONIO)"/>
        <s v="GBT COMERCIO"/>
        <s v="CARLOS EDUARDO FLUID PROFESSIONAL"/>
        <s v="A &amp; G  COSMETICOS G7 HAIR"/>
        <s v="EDITORA RECORD"/>
        <s v="LBP CAFÉ"/>
        <s v="MUY BUENO CAFÉ "/>
        <s v="ELEGANCE INFINITA"/>
        <s v="VITTA GOLD COMERCIO "/>
        <s v="AVICULTURA E A GROPET"/>
        <s v="HAISSA PROFISSIONAL"/>
        <s v="HHM FOODS (HAVANNA)"/>
        <s v="NORDEC "/>
        <s v="TAIFF DISTRIBUIDORA"/>
        <s v="TREE BOND DO BRASIL"/>
        <s v="PROLAB INDUSTRIA E COMERCIO"/>
        <s v="TROIA HAIR"/>
        <s v="ALIYAH INDUSTRIA"/>
        <s v="PUREZA PET DISTRIBUIDORA"/>
        <s v="ANIMAL HEALTH CAES E GATOS LTDA"/>
        <s v="PHYTO GREEN"/>
        <s v="STONEDA (HAVANNA)"/>
        <s v="T A DOS SANTOS (STELLA COSMETICOS)"/>
        <s v="LONDON"/>
        <s v="LOOFER"/>
        <s v="GTY DISTRIBUIDORA DE COSMETICOS"/>
        <s v="NORTE &amp; SUL COSMETICOS"/>
        <s v="FLORA DISTRIBUIDORA"/>
        <s v="JULIANA GONÇALVES  (HIT PET)"/>
        <s v="VENDA NOVA PET"/>
        <s v="TERUYA"/>
        <s v="ORGANIC BEAUTY (GABONI)"/>
        <s v="R&amp;R RICHEE"/>
        <s v="REGINA E EQUIPE (KERASTINNI)"/>
        <s v="OMNITEK"/>
        <s v="RC EMPREENDIMENTO"/>
        <s v="GISELA DAVILA HAVANNA"/>
        <s v="MUSKINHA"/>
        <s v="RICARDO DE MOURA (LEUK COSMETICOS)"/>
        <s v="BEM FARMA"/>
        <s v="CADIMA (HAVANNA)"/>
        <s v="SALES &amp; LANSAC (HAVANNA)"/>
        <s v="SOUL BEAUTY"/>
        <s v="SOLLIE"/>
        <s v="VYZ PROFESSIONAL"/>
        <s v="ECO COSMÉTICOS (ECO DOG)"/>
        <s v="PRIGOL E FILHOS YUP"/>
        <s v="ALESS (PET LIFE)"/>
        <s v="BELEZA UNIKA"/>
        <s v="BCM"/>
        <s v="IMPLACIL"/>
        <s v="BURANA"/>
        <s v="ALLE MULTIFRANQUIAS MOXUARA "/>
        <s v="LRM CAFETERIA"/>
        <s v="CAFETERIA LINA (HAVANNA)"/>
        <s v="LEAF"/>
        <s v="SHED PROFESSIONAL"/>
        <s v="G A ORMENEZE (TOP HAIR)"/>
        <s v="MARTINI &amp; BUENO (SYMPHONIC)"/>
        <s v="R&amp;R BISTRO"/>
        <s v="VAI VIVER"/>
        <s v="BELLA EVA"/>
        <s v="HIDRATEI COSMÉTICOS"/>
        <s v="ESAINT"/>
        <s v="NEW AGE"/>
        <s v="SACALLOP"/>
        <s v="EVER BRINDES"/>
        <s v="OURO CAFÉ"/>
        <s v="BE FACTORY"/>
        <s v="MARCIO MELLO ESPAÇO RIO"/>
        <s v="BICHOS DISTRIBUIDORA"/>
        <s v="GARDEN FLOWERS"/>
        <s v="DF CARNEIRO - KOSMETIKA"/>
        <s v="SABORES DA MATININA"/>
        <s v="JACQUE JANINE"/>
        <s v="DOCES E DOCES GRAVATAI"/>
        <s v="VITTA FLOW'S"/>
        <s v="LESSOAN"/>
        <s v="COMERCIAL NETO E SANTOS"/>
        <s v="IA CRONO"/>
        <s v="MISURINA CAFÉ"/>
        <s v="YEP - ISA LISS COSMÉTICOS"/>
        <s v="AGILISE COSMÉTICOS"/>
        <s v="AQUI COSMÉTICOS  (QBELLA)"/>
        <s v="MAGNUM"/>
        <s v="CULTURAMA"/>
        <s v="KIEV COSMÉTICOS"/>
        <s v="SURREAL PET"/>
        <s v="PRW - MARROQUINA"/>
        <s v="PRATIPET"/>
        <s v="CAPOBIANGO"/>
        <s v="NEW CONCEPT"/>
        <s v="LUTZKY"/>
        <s v="VINICIUS RAPINI"/>
        <s v="INOVA MAIS TRADE"/>
        <s v="SENSES COSMÉTICOS"/>
        <s v="SANTA EFIGENIA CAFÉ"/>
        <s v="SP SUMARE (DAVENE)"/>
        <s v="AMRM "/>
        <s v="SC BATATAIS (GLOSSFLEX COSMETICOS)"/>
        <s v="PADARIA SEGUNDA CASA (CHANTÉ)"/>
        <s v="ESSENCIA PET"/>
        <s v="CAFETERIA HAVANNA LEM"/>
        <s v="FRESHINESS PET"/>
        <s v="NUANCE"/>
        <s v="LUDIMILA ARRUDA"/>
        <s v="MUNDIAL COSMÉTICOS"/>
        <s v="WANDER RODRIGUES"/>
        <s v="FLORA VIDA"/>
        <s v="AKASA COSMÉTICOS"/>
        <s v="FUNDECTO"/>
        <s v="SAINT COMERCIO"/>
        <s v="COSMETYCS BRASIL"/>
        <s v="LEMMA - OMNITEK"/>
        <s v="EA BEAUTY"/>
        <s v="MY PHIOS"/>
        <s v="GLAMOURAMA"/>
        <s v="LCO COSMÉTICOS"/>
        <s v="H3 NEW PROFESSIONAL"/>
        <s v="LUCIANO COSTA - LCN"/>
        <s v="VERLO COSMÉTICOS"/>
        <s v="AEGLA PRO"/>
        <s v="VALORIZ PROMOÇÕES E EVENTOS"/>
        <s v="HVN PLAZA"/>
        <s v="PLATOLANDIA"/>
        <s v="HOSANO REPRESENTAÇÕES"/>
        <s v="PLANETA TERRA"/>
        <s v="KERASTINE"/>
        <s v="SYNTONICS DO BRASIL (AVLON)"/>
        <s v="NESTIG"/>
        <s v="EVANES PROFESSIONAL"/>
        <s v="FAZZ UP"/>
        <s v="TRENDSMAKE"/>
        <s v="BRAZILIAN BEAUTY (KORBAN)"/>
        <s v="ALFAJOR CAFÉ"/>
        <s v="CPA ENGENHARIA"/>
        <s v="UNIDAS SERVIÇOS"/>
        <s v="ROBERTO LAURITZEN"/>
        <s v="DEEP PETS"/>
        <s v="LUNA DISTRIBUIDORA"/>
        <s v="PUP'S PET"/>
        <s v="AMIPET"/>
        <s v="ETERNITA"/>
        <s v="GLLENDEX"/>
        <s v="D'CAPRI"/>
        <s v="GOLDENEY E COMERCIO"/>
        <s v="HAVANNA CENTER 3 CAFÉ"/>
        <s v="AMOS ESTETICA E BIOCOSMETICOS LTDA"/>
        <s v="DOCTOR HAIR"/>
        <s v="GIRARD"/>
        <s v="SENHORA BARBA"/>
        <s v="KLAHÊ"/>
        <s v="TRADECORP"/>
        <s v="SUNNY PET "/>
        <s v="YEP PROFESSIONAL"/>
        <s v="MULTILIXO REMOÇÕES DE LIXO"/>
        <s v="ONE WAY"/>
        <s v="FABRICIA SANTOS LOBO"/>
        <s v="NOEME SERRA PAIXÃO"/>
        <s v="GALDINO E SENA"/>
        <s v="BRILIA NAILS"/>
        <s v="TRIETTO"/>
        <s v="VEVVO"/>
        <s v="HENVYS"/>
        <s v="TREOLY"/>
        <s v="VITÓRIA CALAZANY (AVDOS)"/>
        <s v="MP BARBER FAMILIA"/>
        <s v="GABONI PROFESSIONAL"/>
        <s v="ROSELANDIA"/>
        <s v="LILIAN "/>
        <s v="JUBA &amp; CALDA"/>
        <s v="SCALLOP PROFESSIONAL"/>
        <s v="OLP INDUSTRIA"/>
        <s v="CHEEMA"/>
        <s v="LOVE ME "/>
        <s v="EDITORA BELAS LETRAS "/>
        <s v="DOG FRIENDS FOREVER"/>
        <s v="CMC FARMA"/>
        <s v="HELLO MINI"/>
        <s v="DIEGO DUARTE (4BEAUTY)"/>
        <s v="TTH PARTICIPAÇÕES COMERCIAIS"/>
        <s v="TECH MULTI - BRULIER PROFESSIONAL"/>
        <s v="LENZZE"/>
        <s v="GIRLSGO TURISMO"/>
        <s v="BASTET DESIGN FOR CATS"/>
        <s v="ARTEZANNI"/>
        <s v="J. HOSANO DOS SANTOS (STAR LISS)"/>
        <s v="CHBS CAFETERIA"/>
        <s v="EVER NACIONAL"/>
        <s v="LEUK COSMÉTICOS"/>
        <s v="MAGNUN E OLIVEIRA"/>
        <s v="LSV BEAUTY"/>
        <s v="MIA E ZOE"/>
        <s v="APICE COSMETICS"/>
        <s v="DEJAVU"/>
        <s v="CAFÉ VILA ROMANA"/>
        <s v="WISER EDUCAÇÃO (BUZZ EDITORA)"/>
        <s v="AF AMANDA"/>
        <s v="AC PROFISSIONAL"/>
        <s v="COPAS DISTRIBUIDORA (TOCTUS)"/>
        <s v="NOBRE BELEZA - TOCTUS"/>
        <s v="THE GLOW"/>
        <s v="VETEROZON"/>
        <s v="PHD COSMÉTICOS"/>
        <s v="DR HAIR"/>
        <s v="KINDER DESIGN"/>
        <s v="CM MARKETING"/>
        <s v="MAYARA - PRYLIA"/>
        <s v="NEW AY - GHOODESS"/>
        <s v="F J HAVANNA"/>
        <s v="RR BARBEARIA"/>
        <s v="NEXO CONSULTORIA"/>
        <s v="VB BURANA"/>
        <s v="BELA VISTA LOTEAMENTO"/>
        <s v="HIDRATH COSMÉTICOS"/>
        <s v="DISTRIMAR COSMÉTICOS"/>
        <s v="MAXBELLY"/>
        <s v="NEW DENTAL"/>
        <s v="KAMICO"/>
        <s v="RICKPAUL COSMÉTICOS"/>
        <s v="FILO COSMÉTICOS"/>
        <s v="KS INDUSTRIA - X WAY"/>
        <s v="ROM ACADEMY"/>
        <s v="BR PET STORE"/>
        <s v="AS VILAS - FIBER CLINIX"/>
        <s v="DON CAFÉ"/>
        <s v="PHEKA INDUSTRIA"/>
        <s v="IMPERIAL PET"/>
        <s v="AMASING (R&amp;S COMERCIO)"/>
        <s v="PETGROOM"/>
        <s v="ANIX COSMÉTICOS (CRISTIANO)"/>
        <s v="BLZ CLINIC (OBRA PRIMA)"/>
        <s v="CAFETERIA BTG"/>
        <s v="LIMA E SALDANHA"/>
        <s v="IMERA "/>
        <s v="GUTEMBERG"/>
        <s v="MINI BEAUTY"/>
        <s v="NEWAY INDUSTRIA"/>
        <s v="ARCTICO ALIMENTOS LTDA"/>
        <s v="D OHNMACHT (EZTEC)"/>
        <s v="M M DA S BALBINO"/>
        <s v="BELAS PATAS"/>
        <s v="DOUGLAS - GLASQUE"/>
        <s v="EXCLUSIVA COSMÉTICOS"/>
        <s v="FELPS"/>
        <s v="TASELI"/>
        <s v="EG"/>
        <s v="K&amp;R"/>
        <s v="CARIBE CAFETERIA"/>
        <s v="BUSTANI"/>
        <s v="PENTEL"/>
        <s v="R&amp;M COMERCIO DE ALIMENTOS"/>
        <s v="DE LAGOS KOSMÉTICOS (BRAZILIAN)"/>
        <s v="JOSIVALDO JOSÉ (YA COSMÉTICOS)"/>
        <s v="CAFÉ E DOCES"/>
        <s v="VITTA FLOW´S"/>
        <s v="BB COSMÉTICOS (HIDRATEI)"/>
        <s v="HPA CAFES"/>
        <s v="MIMOS PET"/>
        <s v="DOCES E DOCES PARK SHOPPING"/>
        <s v="GIUDIT COSMÉTICOS"/>
        <s v="OXIOZ PRODUTOS OZONIZADOS"/>
        <s v="TREEBOND"/>
        <s v="LUKE MP"/>
        <s v="QUATTRO DUE COMÉRCIO"/>
        <s v="PUP´S VET"/>
        <s v="DUO (KPRO)"/>
        <s v="FRESHNESS PET"/>
        <s v="CADIVEU"/>
        <s v="JAIRA FORTUNATO (DOLCE PET)"/>
        <s v="ME  GUSTA (HAVANNA)"/>
        <s v="NOVACON ACESSORIA"/>
        <s v="SC BATATAIS (GLOSFLEX COSMÉTICOS)"/>
        <s v="DOBERMED (PELONCIO)"/>
        <s v="WISER (BUZZ EDITORA)"/>
        <s v="L D CAPACITAÇÕES"/>
        <s v="LAH CAFETERIA"/>
        <s v="J.A DA CAMARA FERNANDEZ"/>
        <s v="CLAUDIA (BIATON)"/>
        <s v="O AMIGÃO"/>
        <s v="OBRA PRIMA (BLZ CLINIC)"/>
        <s v="BM BRASIL"/>
        <s v="HAVANNA ARACAJU"/>
        <s v="MPK BEAUTY"/>
        <s v="NEWAY GHOODESS"/>
        <s v="DEEP PETS (SPETIALIST)"/>
        <s v="JA DA CAMARA FERNANDES"/>
        <s v="DISTRIBUIDORA RECORD"/>
        <s v="TRICOSMÉTICOS"/>
        <s v="TASTE BLENDS COMERCIO"/>
        <s v="BR BEAUTY (CADIVEU)"/>
        <s v="EI BELEZA"/>
        <s v="RICHEE PROFESSIONAL"/>
        <s v="SARAH K "/>
        <s v="BIOMAC (DEJAVU)"/>
        <s v="VEVVO COSMÉTICOS"/>
        <s v="VIRTUDE NOSSA DISTRIBUIDORA (VENDA NOVA PET)"/>
        <s v="GILSON DE SOUZA (D'CAPRI)"/>
        <s v="HVNN ONE COMERCIO"/>
        <s v="PET CASA"/>
        <s v="PATAGONIA CAFÉ"/>
        <s v="AUDIO VOICER"/>
        <s v="SBDSS COSMÉTICS (LESSOAN)"/>
        <s v="LMS (LUXEL)"/>
        <s v="AMIPETZ"/>
        <s v="PHYTO GREEN (FLORACTIVE)"/>
        <s v="CAFE E DOCES"/>
        <s v="MARKET BRINDES"/>
        <s v="RICARDO CAMPOS (RICKPAUL)"/>
        <s v="S R DOS SANTOS LIZZE"/>
        <s v="TECH MULT (BRULIER)"/>
        <s v="MULTILIXO"/>
        <s v="PRIGOL E FILHOS"/>
        <s v="NATHALIA REGINA"/>
        <s v="AVICULTURAL E AGROPET"/>
        <s v="TAPIS COMERCIO"/>
        <s v="ROYAL BEAUTY"/>
        <m/>
        <s v="HIDRATEI" u="1"/>
      </sharedItems>
    </cacheField>
    <cacheField name="PRODUTO" numFmtId="0">
      <sharedItems containsBlank="1"/>
    </cacheField>
    <cacheField name="GRUPO" numFmtId="0">
      <sharedItems containsBlank="1"/>
    </cacheField>
    <cacheField name="LINHA" numFmtId="0">
      <sharedItems containsBlank="1"/>
    </cacheField>
    <cacheField name="QTD" numFmtId="0">
      <sharedItems containsString="0" containsBlank="1" containsNumber="1" containsInteger="1" minValue="1" maxValue="12000"/>
    </cacheField>
    <cacheField name="VALOR UNID " numFmtId="0">
      <sharedItems containsString="0" containsBlank="1" containsNumber="1" minValue="1" maxValue="199"/>
    </cacheField>
    <cacheField name="TOTAL " numFmtId="0">
      <sharedItems containsString="0" containsBlank="1" containsNumber="1" minValue="0" maxValue="99000"/>
    </cacheField>
    <cacheField name="LIQUIDAÇÃO" numFmtId="44">
      <sharedItems containsString="0" containsBlank="1" containsNumber="1" minValue="0" maxValue="99000"/>
    </cacheField>
    <cacheField name="DATA ENTREGA" numFmtId="14">
      <sharedItems containsNonDate="0" containsDate="1" containsString="0" containsBlank="1" minDate="2024-01-06T00:00:00" maxDate="2026-10-03T00:00:00"/>
    </cacheField>
    <cacheField name="SEMANA DE ENTREGA" numFmtId="1">
      <sharedItems containsString="0" containsBlank="1" containsNumber="1" containsInteger="1" minValue="0" maxValue="53"/>
    </cacheField>
    <cacheField name="MATERIA PRIMA " numFmtId="0">
      <sharedItems containsBlank="1" containsMixedTypes="1" containsNumber="1" containsInteger="1" minValue="5" maxValue="1900"/>
    </cacheField>
    <cacheField name="ENTREGA" numFmtId="0">
      <sharedItems containsBlank="1"/>
    </cacheField>
    <cacheField name="MO CORTE " numFmtId="44">
      <sharedItems containsString="0" containsBlank="1" containsNumber="1" minValue="0" maxValue="8052"/>
    </cacheField>
    <cacheField name="MO  SILK " numFmtId="44">
      <sharedItems containsString="0" containsBlank="1" containsNumber="1" minValue="0" maxValue="18000"/>
    </cacheField>
    <cacheField name="MO COSTURA " numFmtId="44">
      <sharedItems containsString="0" containsBlank="1" containsNumber="1" minValue="0" maxValue="18000"/>
    </cacheField>
    <cacheField name="MO EMBALAGEM" numFmtId="44">
      <sharedItems containsString="0" containsBlank="1" containsNumber="1" minValue="0.5" maxValue="6000"/>
    </cacheField>
    <cacheField name="TOTAL" numFmtId="44">
      <sharedItems containsString="0" containsBlank="1" containsNumber="1" minValue="0.5" maxValue="45000"/>
    </cacheField>
    <cacheField name="Meses (DATA DO PEDIDO)" numFmtId="0" databaseField="0">
      <fieldGroup base="2">
        <rangePr groupBy="months" startDate="2024-01-03T00:00:00" endDate="2026-09-04T00:00:00"/>
        <groupItems count="14">
          <s v="&lt;03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4/09/2026"/>
        </groupItems>
      </fieldGroup>
    </cacheField>
    <cacheField name="Trimestres (DATA DO PEDIDO)" numFmtId="0" databaseField="0">
      <fieldGroup base="2">
        <rangePr groupBy="quarters" startDate="2024-01-03T00:00:00" endDate="2026-09-04T00:00:00"/>
        <groupItems count="6">
          <s v="&lt;03/01/2024"/>
          <s v="Trim1"/>
          <s v="Trim2"/>
          <s v="Trim3"/>
          <s v="Trim4"/>
          <s v="&gt;04/09/2026"/>
        </groupItems>
      </fieldGroup>
    </cacheField>
    <cacheField name="Anos (DATA DO PEDIDO)" numFmtId="0" databaseField="0">
      <fieldGroup base="2">
        <rangePr groupBy="years" startDate="2024-01-03T00:00:00" endDate="2026-09-04T00:00:00"/>
        <groupItems count="5">
          <s v="&lt;03/01/2024"/>
          <s v="2024"/>
          <s v="2025"/>
          <s v="2026"/>
          <s v="&gt;04/0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6">
  <r>
    <s v="CONSERV"/>
    <x v="0"/>
    <x v="0"/>
    <x v="0"/>
    <s v="COSMÉTICO"/>
    <x v="0"/>
    <s v="AVENTAL OXFORD MODELO PADRÃO"/>
    <s v="AVENTAL"/>
    <s v="LEVE"/>
    <n v="200"/>
    <n v="14"/>
    <n v="2800"/>
    <n v="0"/>
    <d v="2024-01-20T00:00:00"/>
    <n v="3"/>
    <s v="OK"/>
    <s v="ENTREGUE"/>
    <n v="50"/>
    <n v="140"/>
    <n v="300"/>
    <n v="100"/>
    <n v="590"/>
  </r>
  <r>
    <s v="CONSERV"/>
    <x v="1"/>
    <x v="1"/>
    <x v="0"/>
    <s v="PET"/>
    <x v="1"/>
    <s v="AVENTAL NYLON EMBORRACHADO CA 45305"/>
    <s v="AVENTAL"/>
    <s v="LEVE"/>
    <n v="2500"/>
    <n v="23.5"/>
    <n v="58750"/>
    <n v="0"/>
    <d v="2024-02-17T00:00:00"/>
    <n v="7"/>
    <m/>
    <s v="ENTREGUE"/>
    <n v="625"/>
    <n v="2500"/>
    <n v="4125"/>
    <n v="1250"/>
    <n v="8500"/>
  </r>
  <r>
    <s v="CONSERV"/>
    <x v="2"/>
    <x v="1"/>
    <x v="0"/>
    <s v="HAVANNA"/>
    <x v="2"/>
    <s v="CAMISETA MALHA 100% ALGODÃO"/>
    <s v="CAMISETA"/>
    <s v="LEVE"/>
    <n v="16"/>
    <n v="36.75"/>
    <n v="588"/>
    <n v="0"/>
    <d v="2024-01-06T00:00:00"/>
    <n v="1"/>
    <m/>
    <s v="ENTREGUE"/>
    <m/>
    <m/>
    <m/>
    <m/>
    <m/>
  </r>
  <r>
    <s v="CONSERV"/>
    <x v="3"/>
    <x v="2"/>
    <x v="1"/>
    <s v="HAVANNA"/>
    <x v="3"/>
    <s v="SACOLA DE LONITA MODELO HAVANNA"/>
    <s v="SACOLA"/>
    <s v="PESADA"/>
    <n v="250"/>
    <n v="16.5"/>
    <n v="4125"/>
    <n v="0"/>
    <d v="2024-05-16T00:00:00"/>
    <n v="20"/>
    <m/>
    <s v="ENTREGUE"/>
    <m/>
    <m/>
    <m/>
    <m/>
    <m/>
  </r>
  <r>
    <s v="CONSERV"/>
    <x v="4"/>
    <x v="3"/>
    <x v="2"/>
    <s v="HAVANNA"/>
    <x v="3"/>
    <s v="CAMISETA MALHA 100% ALGODÃO"/>
    <s v="CAMISETA"/>
    <s v="LEVE"/>
    <n v="500"/>
    <n v="26.8"/>
    <n v="13400"/>
    <n v="0"/>
    <d v="2024-06-05T00:00:00"/>
    <n v="23"/>
    <m/>
    <s v="ENTREGUE"/>
    <m/>
    <m/>
    <m/>
    <m/>
    <m/>
  </r>
  <r>
    <s v="CONSERV"/>
    <x v="5"/>
    <x v="4"/>
    <x v="2"/>
    <s v="HAVANNA"/>
    <x v="3"/>
    <s v="SACOLA SUBLIMADA TECIDO PET"/>
    <s v="SACOLA"/>
    <s v="PESADA"/>
    <n v="250"/>
    <n v="19"/>
    <n v="4750"/>
    <n v="0"/>
    <d v="2024-05-17T00:00:00"/>
    <n v="20"/>
    <m/>
    <s v="ENTREGUE"/>
    <m/>
    <m/>
    <m/>
    <m/>
    <m/>
  </r>
  <r>
    <s v="CONSERV"/>
    <x v="6"/>
    <x v="5"/>
    <x v="3"/>
    <s v="HAVANNA"/>
    <x v="4"/>
    <s v="CAMISETA MANGA LONGA 100% ALGODÃO"/>
    <s v="CAMISETA"/>
    <s v="LEVE"/>
    <n v="7"/>
    <n v="47.5"/>
    <n v="332.5"/>
    <n v="0"/>
    <d v="2024-06-07T00:00:00"/>
    <n v="23"/>
    <m/>
    <s v="ENTREGUE"/>
    <m/>
    <m/>
    <m/>
    <m/>
    <m/>
  </r>
  <r>
    <s v="CONSERV"/>
    <x v="6"/>
    <x v="5"/>
    <x v="3"/>
    <s v="HAVANNA"/>
    <x v="4"/>
    <s v="CAMISETA MALHA 100% ALGODÃO"/>
    <s v="CAMISETA"/>
    <s v="LEVE"/>
    <n v="7"/>
    <n v="33.880000000000003"/>
    <n v="237.16000000000003"/>
    <n v="0"/>
    <d v="2024-06-07T00:00:00"/>
    <n v="23"/>
    <m/>
    <s v="ENTREGUE"/>
    <m/>
    <m/>
    <m/>
    <m/>
    <m/>
  </r>
  <r>
    <s v="CONSERV"/>
    <x v="6"/>
    <x v="5"/>
    <x v="3"/>
    <s v="HAVANNA"/>
    <x v="4"/>
    <s v="CAMISETA MALHA 100% ALGODÃO BABY LOOK"/>
    <s v="CAMISETA"/>
    <s v="LEVE"/>
    <n v="4"/>
    <n v="33.880000000000003"/>
    <n v="135.52000000000001"/>
    <n v="0"/>
    <d v="2024-06-07T00:00:00"/>
    <n v="23"/>
    <m/>
    <s v="ENTREGUE"/>
    <m/>
    <m/>
    <m/>
    <m/>
    <m/>
  </r>
  <r>
    <s v="CONSERV"/>
    <x v="6"/>
    <x v="5"/>
    <x v="3"/>
    <s v="HAVANNA"/>
    <x v="4"/>
    <s v="CAMISETA MANGA LONGA 100% ALGODÃO BABY LOOK"/>
    <s v="CAMISETA"/>
    <s v="LEVE"/>
    <n v="4"/>
    <n v="47.5"/>
    <n v="190"/>
    <n v="0"/>
    <d v="2024-06-07T00:00:00"/>
    <n v="23"/>
    <m/>
    <s v="ENTREGUE"/>
    <m/>
    <m/>
    <m/>
    <m/>
    <m/>
  </r>
  <r>
    <s v="CONSERV"/>
    <x v="7"/>
    <x v="5"/>
    <x v="3"/>
    <s v="HAVANNA"/>
    <x v="4"/>
    <s v="CAMISETA MANGA LONGA 100% ALGODÃO"/>
    <s v="CAMISETA"/>
    <s v="LEVE"/>
    <n v="7"/>
    <n v="47.5"/>
    <n v="332.5"/>
    <n v="0"/>
    <d v="2024-06-07T00:00:00"/>
    <n v="23"/>
    <m/>
    <s v="ENTREGUE"/>
    <m/>
    <m/>
    <m/>
    <m/>
    <m/>
  </r>
  <r>
    <s v="CONSERV"/>
    <x v="7"/>
    <x v="5"/>
    <x v="3"/>
    <s v="HAVANNA"/>
    <x v="4"/>
    <s v="CAMISETA MALHA 100% ALGODÃO"/>
    <s v="CAMISETA"/>
    <s v="LEVE"/>
    <n v="7"/>
    <n v="33.880000000000003"/>
    <n v="237.16000000000003"/>
    <n v="0"/>
    <d v="2024-06-07T00:00:00"/>
    <n v="23"/>
    <m/>
    <s v="ENTREGUE"/>
    <m/>
    <m/>
    <m/>
    <m/>
    <m/>
  </r>
  <r>
    <s v="CONSERV"/>
    <x v="7"/>
    <x v="5"/>
    <x v="3"/>
    <s v="HAVANNA"/>
    <x v="4"/>
    <s v="CAMISETA MALHA 100% ALGODÃO BABY LOOK"/>
    <s v="CAMISETA"/>
    <s v="LEVE"/>
    <n v="4"/>
    <n v="33.880000000000003"/>
    <n v="135.52000000000001"/>
    <n v="0"/>
    <d v="2024-06-07T00:00:00"/>
    <n v="23"/>
    <m/>
    <s v="ENTREGUE"/>
    <m/>
    <m/>
    <m/>
    <m/>
    <m/>
  </r>
  <r>
    <s v="CONSERV"/>
    <x v="7"/>
    <x v="5"/>
    <x v="3"/>
    <s v="HAVANNA"/>
    <x v="4"/>
    <s v="CAMISETA MANGA LONGA 100% ALGODÃO BABY LOOK"/>
    <s v="CAMISETA"/>
    <s v="LEVE"/>
    <n v="4"/>
    <n v="47.5"/>
    <n v="190"/>
    <n v="0"/>
    <d v="2024-06-07T00:00:00"/>
    <n v="23"/>
    <m/>
    <s v="ENTREGUE"/>
    <m/>
    <m/>
    <m/>
    <m/>
    <m/>
  </r>
  <r>
    <s v="CONSERV"/>
    <x v="8"/>
    <x v="6"/>
    <x v="4"/>
    <s v="HAVANNA"/>
    <x v="5"/>
    <s v="AVENTAL OXFORD MODELO PADRÃO"/>
    <s v="AVENTAL"/>
    <s v="LEVE"/>
    <n v="5"/>
    <n v="62"/>
    <n v="310"/>
    <n v="0"/>
    <d v="2024-07-31T00:00:00"/>
    <n v="31"/>
    <m/>
    <s v="ENTREGUE"/>
    <m/>
    <m/>
    <m/>
    <m/>
    <m/>
  </r>
  <r>
    <s v="CONSERV"/>
    <x v="8"/>
    <x v="6"/>
    <x v="4"/>
    <s v="HAVANNA"/>
    <x v="5"/>
    <s v="CAMISETA MALHA PV"/>
    <s v="CAMISETA"/>
    <s v="LEVE"/>
    <n v="31"/>
    <n v="48.5"/>
    <n v="1503.5"/>
    <n v="0"/>
    <d v="2024-07-31T00:00:00"/>
    <n v="31"/>
    <m/>
    <s v="ENTREGUE"/>
    <m/>
    <m/>
    <m/>
    <m/>
    <m/>
  </r>
  <r>
    <s v="CONSERV"/>
    <x v="8"/>
    <x v="6"/>
    <x v="4"/>
    <s v="HAVANNA"/>
    <x v="5"/>
    <s v="CAMISETA MANGA LONGA MALHA 100% ALGODÃO BABY LOOK"/>
    <s v="CAMISETA"/>
    <s v="LEVE"/>
    <n v="2"/>
    <n v="80"/>
    <n v="160"/>
    <n v="0"/>
    <d v="2024-07-31T00:00:00"/>
    <n v="31"/>
    <m/>
    <s v="ENTREGUE"/>
    <m/>
    <m/>
    <m/>
    <m/>
    <m/>
  </r>
  <r>
    <s v="CONSERV"/>
    <x v="8"/>
    <x v="6"/>
    <x v="4"/>
    <s v="HAVANNA"/>
    <x v="5"/>
    <s v="CAMISETA MANGA LONGA MALHA 100% ALGODÃO"/>
    <s v="CAMISETA"/>
    <s v="LEVE"/>
    <n v="2"/>
    <n v="80"/>
    <n v="160"/>
    <n v="0"/>
    <d v="2024-07-31T00:00:00"/>
    <n v="31"/>
    <m/>
    <s v="ENTREGUE"/>
    <m/>
    <m/>
    <m/>
    <m/>
    <m/>
  </r>
  <r>
    <s v="CONSERV"/>
    <x v="9"/>
    <x v="6"/>
    <x v="4"/>
    <s v="HAVANNA"/>
    <x v="6"/>
    <s v="FAIXA DE CABELO"/>
    <s v="FAIXA"/>
    <s v="LEVE"/>
    <n v="6"/>
    <n v="21"/>
    <n v="126"/>
    <n v="0"/>
    <d v="2024-07-25T00:00:00"/>
    <n v="30"/>
    <m/>
    <s v="ENTREGUE"/>
    <m/>
    <m/>
    <m/>
    <m/>
    <m/>
  </r>
  <r>
    <s v="CONSERV"/>
    <x v="10"/>
    <x v="7"/>
    <x v="4"/>
    <s v="HAVANNA"/>
    <x v="7"/>
    <s v="CAMISETA MALHA 100% ALGODÃO BABY LOOK"/>
    <s v="CAMISETA"/>
    <s v="LEVE"/>
    <n v="15"/>
    <n v="48.5"/>
    <n v="727.5"/>
    <n v="0"/>
    <d v="2024-09-04T00:00:00"/>
    <n v="36"/>
    <m/>
    <s v="ENTREGUE"/>
    <m/>
    <m/>
    <m/>
    <m/>
    <m/>
  </r>
  <r>
    <s v="CONSERV"/>
    <x v="10"/>
    <x v="7"/>
    <x v="4"/>
    <s v="HAVANNA"/>
    <x v="7"/>
    <s v="CAMISETA MALHA 100% ALGODÃO MANGA LONGA"/>
    <s v="CAMISETA"/>
    <s v="LEVE"/>
    <n v="4"/>
    <n v="8"/>
    <n v="32"/>
    <n v="0"/>
    <d v="2024-09-04T00:00:00"/>
    <n v="36"/>
    <m/>
    <s v="ENTREGUE"/>
    <m/>
    <m/>
    <m/>
    <m/>
    <m/>
  </r>
  <r>
    <s v="CONSERV"/>
    <x v="11"/>
    <x v="7"/>
    <x v="4"/>
    <s v="HAVANNA"/>
    <x v="8"/>
    <s v="AVENTAL OXFORD MODELO PADRÃO"/>
    <s v="AVENTAL"/>
    <s v="LEVE"/>
    <n v="10"/>
    <n v="62"/>
    <n v="620"/>
    <n v="0"/>
    <d v="2024-08-23T00:00:00"/>
    <n v="34"/>
    <m/>
    <s v="ENTREGUE"/>
    <m/>
    <m/>
    <m/>
    <m/>
    <m/>
  </r>
  <r>
    <s v="CONSERV"/>
    <x v="11"/>
    <x v="7"/>
    <x v="4"/>
    <s v="HAVANNA"/>
    <x v="8"/>
    <s v="CAMISETA MALHA PV BABY LOOK"/>
    <s v="CAMISETA"/>
    <s v="LEVE"/>
    <n v="4"/>
    <n v="48.5"/>
    <n v="194"/>
    <n v="0"/>
    <d v="2024-08-23T00:00:00"/>
    <n v="34"/>
    <m/>
    <s v="ENTREGUE"/>
    <m/>
    <m/>
    <m/>
    <m/>
    <m/>
  </r>
  <r>
    <s v="CONSERV"/>
    <x v="11"/>
    <x v="7"/>
    <x v="4"/>
    <s v="HAVANNA"/>
    <x v="8"/>
    <s v="CAMISETA MALHA PV "/>
    <s v="CAMISETA"/>
    <s v="LEVE"/>
    <n v="12"/>
    <n v="48.5"/>
    <n v="582"/>
    <n v="0"/>
    <d v="2024-08-23T00:00:00"/>
    <n v="34"/>
    <m/>
    <s v="ENTREGUE"/>
    <m/>
    <m/>
    <m/>
    <m/>
    <m/>
  </r>
  <r>
    <s v="CONSERV"/>
    <x v="11"/>
    <x v="7"/>
    <x v="4"/>
    <s v="HAVANNA"/>
    <x v="8"/>
    <s v="CAMISETA MANGA LONGA MALHA 100% ALGODÃO"/>
    <s v="CAMISETA"/>
    <s v="LEVE"/>
    <n v="2"/>
    <n v="48.5"/>
    <n v="97"/>
    <n v="0"/>
    <d v="2024-08-23T00:00:00"/>
    <n v="34"/>
    <m/>
    <s v="ENTREGUE"/>
    <m/>
    <m/>
    <m/>
    <m/>
    <m/>
  </r>
  <r>
    <s v="CONSERV"/>
    <x v="11"/>
    <x v="7"/>
    <x v="4"/>
    <s v="HAVANNA"/>
    <x v="8"/>
    <s v="CAMISETA MANGA LONGA MALHA 100% ALGODÃO"/>
    <s v="CAMISETA"/>
    <s v="LEVE"/>
    <n v="6"/>
    <n v="48.5"/>
    <n v="291"/>
    <n v="0"/>
    <d v="2024-08-23T00:00:00"/>
    <n v="34"/>
    <m/>
    <s v="ENTREGUE"/>
    <m/>
    <m/>
    <m/>
    <m/>
    <m/>
  </r>
  <r>
    <s v="CONSERV"/>
    <x v="12"/>
    <x v="8"/>
    <x v="5"/>
    <s v="HAVANNA"/>
    <x v="9"/>
    <s v="CALÇA LEGGING"/>
    <s v="CALÇA"/>
    <s v="LEVE"/>
    <n v="10"/>
    <n v="65"/>
    <n v="650"/>
    <n v="650"/>
    <d v="2026-08-26T00:00:00"/>
    <m/>
    <m/>
    <s v="ENTREGUE"/>
    <m/>
    <m/>
    <m/>
    <m/>
    <m/>
  </r>
  <r>
    <s v="CONSERV"/>
    <x v="12"/>
    <x v="8"/>
    <x v="5"/>
    <s v="HAVANNA"/>
    <x v="9"/>
    <s v="CAMISETA MALHA PV GOLA CARECA"/>
    <s v="CAMISETA"/>
    <s v="LEVE"/>
    <n v="10"/>
    <n v="48.5"/>
    <n v="485"/>
    <n v="485"/>
    <d v="2026-08-26T00:00:00"/>
    <m/>
    <m/>
    <s v="ENTREGUE"/>
    <m/>
    <m/>
    <m/>
    <m/>
    <m/>
  </r>
  <r>
    <s v="CONSERV"/>
    <x v="12"/>
    <x v="8"/>
    <x v="5"/>
    <s v="HAVANNA"/>
    <x v="9"/>
    <s v="AVENTAL OXFORD MODELO PADRÃO"/>
    <s v="AVENTAL"/>
    <s v="LEVE"/>
    <n v="15"/>
    <n v="62"/>
    <n v="930"/>
    <n v="930"/>
    <d v="2026-08-26T00:00:00"/>
    <m/>
    <m/>
    <s v="ENTREGUE"/>
    <m/>
    <m/>
    <m/>
    <m/>
    <m/>
  </r>
  <r>
    <s v="CONSERV"/>
    <x v="12"/>
    <x v="8"/>
    <x v="5"/>
    <s v="HAVANNA"/>
    <x v="9"/>
    <s v="FAIXA DE CABELO"/>
    <s v="FAIXA"/>
    <s v="LEVE"/>
    <n v="15"/>
    <n v="21"/>
    <n v="315"/>
    <n v="315"/>
    <d v="2026-08-26T00:00:00"/>
    <m/>
    <m/>
    <s v="ENTREGUE"/>
    <m/>
    <m/>
    <m/>
    <m/>
    <m/>
  </r>
  <r>
    <s v="CONSERV"/>
    <x v="13"/>
    <x v="9"/>
    <x v="6"/>
    <s v="HAVANNA"/>
    <x v="10"/>
    <s v="BLUSA DE MOLETOM"/>
    <s v="AVENTAL"/>
    <s v="LEVE"/>
    <n v="17"/>
    <n v="79.099999999999994"/>
    <n v="1344.6999999999998"/>
    <n v="0"/>
    <d v="2024-08-27T00:00:00"/>
    <n v="35"/>
    <m/>
    <s v="ENTREGUE"/>
    <m/>
    <m/>
    <m/>
    <m/>
    <m/>
  </r>
  <r>
    <s v="CONSERV"/>
    <x v="13"/>
    <x v="9"/>
    <x v="6"/>
    <s v="HAVANNA"/>
    <x v="10"/>
    <s v="BLUSA DE MOLETOM "/>
    <s v="MOLETOM"/>
    <s v="LEVE"/>
    <n v="7"/>
    <n v="62"/>
    <n v="434"/>
    <n v="0"/>
    <d v="2024-08-27T00:00:00"/>
    <n v="35"/>
    <m/>
    <s v="ENTREGUE"/>
    <m/>
    <m/>
    <m/>
    <m/>
    <m/>
  </r>
  <r>
    <s v="CONSERV"/>
    <x v="14"/>
    <x v="10"/>
    <x v="7"/>
    <s v="HAVANNA"/>
    <x v="11"/>
    <s v="AVENTAL OXFORD MODELO PADRÃO"/>
    <s v="AVENTAL"/>
    <s v="LEVE"/>
    <n v="10"/>
    <n v="62"/>
    <n v="620"/>
    <n v="0"/>
    <d v="2024-08-30T00:00:00"/>
    <n v="35"/>
    <m/>
    <s v="ENTREGUE"/>
    <m/>
    <m/>
    <m/>
    <m/>
    <m/>
  </r>
  <r>
    <s v="CONSERV"/>
    <x v="14"/>
    <x v="10"/>
    <x v="7"/>
    <s v="HAVANNA"/>
    <x v="11"/>
    <s v="CAMISETA MALHA PV BABY LOOK"/>
    <s v="CAMISETA"/>
    <s v="LEVE"/>
    <n v="6"/>
    <n v="48.9"/>
    <n v="293.39999999999998"/>
    <n v="0"/>
    <d v="2024-08-30T00:00:00"/>
    <n v="35"/>
    <m/>
    <s v="ENTREGUE"/>
    <m/>
    <m/>
    <m/>
    <m/>
    <m/>
  </r>
  <r>
    <s v="CONSERV"/>
    <x v="14"/>
    <x v="10"/>
    <x v="7"/>
    <s v="HAVANNA"/>
    <x v="11"/>
    <s v="CALÇA LEGGING"/>
    <s v="CALÇA"/>
    <s v="LEVE"/>
    <n v="8"/>
    <n v="65"/>
    <n v="520"/>
    <n v="0"/>
    <d v="2024-08-30T00:00:00"/>
    <n v="35"/>
    <m/>
    <s v="ENTREGUE"/>
    <m/>
    <m/>
    <m/>
    <m/>
    <m/>
  </r>
  <r>
    <s v="CONSERV"/>
    <x v="14"/>
    <x v="10"/>
    <x v="7"/>
    <s v="HAVANNA"/>
    <x v="11"/>
    <s v="FAIXA DE CABELO"/>
    <s v="FAIXA"/>
    <s v="LEVE"/>
    <n v="6"/>
    <n v="21"/>
    <n v="126"/>
    <n v="0"/>
    <d v="2024-08-30T00:00:00"/>
    <n v="35"/>
    <m/>
    <s v="ENTREGUE"/>
    <m/>
    <m/>
    <m/>
    <m/>
    <m/>
  </r>
  <r>
    <s v="CONSERV"/>
    <x v="14"/>
    <x v="10"/>
    <x v="7"/>
    <s v="HAVANNA"/>
    <x v="11"/>
    <s v="CAMISETA MALHA PV GOLA CARECA"/>
    <s v="CAMISETA"/>
    <s v="LEVE"/>
    <n v="9"/>
    <n v="48.5"/>
    <n v="436.5"/>
    <n v="0"/>
    <d v="2024-08-30T00:00:00"/>
    <n v="35"/>
    <m/>
    <s v="ENTREGUE"/>
    <m/>
    <m/>
    <m/>
    <m/>
    <m/>
  </r>
  <r>
    <s v="CONSERV"/>
    <x v="15"/>
    <x v="11"/>
    <x v="8"/>
    <s v="HAVANNA"/>
    <x v="12"/>
    <s v="CAMISETA MALHA 100% ALGODÃO BABY LOOK"/>
    <s v="CAMISETA"/>
    <s v="LEVE"/>
    <n v="2"/>
    <n v="48.5"/>
    <n v="97"/>
    <n v="0"/>
    <d v="2024-08-06T00:00:00"/>
    <n v="32"/>
    <m/>
    <s v="ENTREGUE"/>
    <m/>
    <m/>
    <m/>
    <m/>
    <m/>
  </r>
  <r>
    <s v="CONSERV"/>
    <x v="15"/>
    <x v="11"/>
    <x v="8"/>
    <s v="HAVANNA"/>
    <x v="12"/>
    <s v="AVENTAL OXFORD MODELO PADRÃO"/>
    <s v="AVENTAL"/>
    <s v="LEVE"/>
    <n v="1"/>
    <n v="62"/>
    <n v="62"/>
    <n v="0"/>
    <d v="2024-08-06T00:00:00"/>
    <n v="32"/>
    <m/>
    <s v="ENTREGUE"/>
    <m/>
    <m/>
    <m/>
    <m/>
    <m/>
  </r>
  <r>
    <s v="CONSERV"/>
    <x v="15"/>
    <x v="11"/>
    <x v="8"/>
    <s v="HAVANNA"/>
    <x v="12"/>
    <s v="CAMISETA MALHA PV "/>
    <s v="CAMISETA"/>
    <s v="LEVE"/>
    <n v="2"/>
    <n v="48.5"/>
    <n v="97"/>
    <n v="0"/>
    <d v="2024-08-06T00:00:00"/>
    <n v="32"/>
    <m/>
    <s v="ENTREGUE"/>
    <m/>
    <m/>
    <m/>
    <m/>
    <m/>
  </r>
  <r>
    <s v="CONSERV"/>
    <x v="15"/>
    <x v="11"/>
    <x v="8"/>
    <s v="HAVANNA"/>
    <x v="12"/>
    <s v="CALÇA LEGGING"/>
    <s v="CALÇA"/>
    <s v="LEVE"/>
    <n v="1"/>
    <n v="65"/>
    <n v="65"/>
    <n v="0"/>
    <d v="2024-08-06T00:00:00"/>
    <n v="32"/>
    <m/>
    <s v="ENTREGUE"/>
    <m/>
    <m/>
    <m/>
    <m/>
    <m/>
  </r>
  <r>
    <s v="CONSERV"/>
    <x v="15"/>
    <x v="11"/>
    <x v="8"/>
    <s v="HAVANNA"/>
    <x v="12"/>
    <s v="FAIXA DE CABELO"/>
    <s v="FAIXA"/>
    <s v="LEVE"/>
    <n v="5"/>
    <n v="21"/>
    <n v="105"/>
    <n v="0"/>
    <d v="2024-08-06T00:00:00"/>
    <n v="32"/>
    <m/>
    <s v="ENTREGUE"/>
    <m/>
    <m/>
    <m/>
    <m/>
    <m/>
  </r>
  <r>
    <s v="CONSERV"/>
    <x v="16"/>
    <x v="12"/>
    <x v="9"/>
    <s v="HAVANNA"/>
    <x v="13"/>
    <s v="CAMISETA MALHA PV"/>
    <s v="CAMISETA"/>
    <s v="LEVE"/>
    <n v="13"/>
    <n v="48.5"/>
    <n v="630.5"/>
    <n v="0"/>
    <d v="2024-09-10T00:00:00"/>
    <n v="37"/>
    <m/>
    <s v="ENTREGUE"/>
    <m/>
    <m/>
    <m/>
    <m/>
    <m/>
  </r>
  <r>
    <s v="CONSERV"/>
    <x v="16"/>
    <x v="12"/>
    <x v="9"/>
    <s v="HAVANNA"/>
    <x v="13"/>
    <s v="CAMISETA MANGA LONGA MALHA 100% ALGODÃO "/>
    <s v="CAMISETA"/>
    <s v="LEVE"/>
    <n v="3"/>
    <n v="80"/>
    <n v="240"/>
    <n v="0"/>
    <d v="2024-09-10T00:00:00"/>
    <n v="37"/>
    <m/>
    <s v="ENTREGUE"/>
    <m/>
    <m/>
    <m/>
    <m/>
    <m/>
  </r>
  <r>
    <s v="CONSERV"/>
    <x v="16"/>
    <x v="12"/>
    <x v="9"/>
    <s v="HAVANNA"/>
    <x v="13"/>
    <s v="FAIXA DE CABELO"/>
    <s v="FAIXA"/>
    <s v="LEVE"/>
    <n v="4"/>
    <n v="21"/>
    <n v="84"/>
    <n v="0"/>
    <d v="2024-09-10T00:00:00"/>
    <n v="37"/>
    <m/>
    <s v="ENTREGUE"/>
    <m/>
    <m/>
    <m/>
    <m/>
    <m/>
  </r>
  <r>
    <s v="CONSERV"/>
    <x v="17"/>
    <x v="13"/>
    <x v="9"/>
    <s v="HAVANNA"/>
    <x v="14"/>
    <s v="CAMISETA MALHA 100% ALGODÃO BABY LOOK"/>
    <s v="CAMISETA"/>
    <s v="LEVE"/>
    <n v="2"/>
    <n v="36.75"/>
    <n v="73.5"/>
    <n v="0"/>
    <d v="2024-08-30T00:00:00"/>
    <n v="35"/>
    <m/>
    <s v="ENTREGUE"/>
    <m/>
    <m/>
    <m/>
    <m/>
    <m/>
  </r>
  <r>
    <s v="CONSERV"/>
    <x v="17"/>
    <x v="13"/>
    <x v="9"/>
    <s v="HAVANNA"/>
    <x v="14"/>
    <s v="AVENTAL OXFORD MODELO PADRÃO"/>
    <s v="AVENTAL"/>
    <s v="LEVE"/>
    <n v="5"/>
    <n v="21"/>
    <n v="105"/>
    <n v="0"/>
    <d v="2024-08-30T00:00:00"/>
    <n v="35"/>
    <m/>
    <s v="ENTREGUE"/>
    <m/>
    <m/>
    <m/>
    <m/>
    <m/>
  </r>
  <r>
    <s v="CONSERV"/>
    <x v="17"/>
    <x v="13"/>
    <x v="9"/>
    <s v="HAVANNA"/>
    <x v="14"/>
    <s v="FAIXA DE CABELO"/>
    <s v="FAIXA"/>
    <s v="LEVE"/>
    <n v="6"/>
    <n v="21"/>
    <n v="126"/>
    <n v="0"/>
    <d v="2024-08-30T00:00:00"/>
    <n v="35"/>
    <m/>
    <s v="ENTREGUE"/>
    <m/>
    <m/>
    <m/>
    <m/>
    <m/>
  </r>
  <r>
    <s v="CONSERV"/>
    <x v="17"/>
    <x v="13"/>
    <x v="9"/>
    <s v="HAVANNA"/>
    <x v="14"/>
    <s v="CAMISETA MALHA 100% ALGODÃO"/>
    <s v="CAMISETA"/>
    <s v="LEVE"/>
    <n v="6"/>
    <n v="36.75"/>
    <n v="220.5"/>
    <n v="0"/>
    <d v="2024-08-30T00:00:00"/>
    <n v="35"/>
    <m/>
    <s v="ENTREGUE"/>
    <m/>
    <m/>
    <m/>
    <m/>
    <m/>
  </r>
  <r>
    <s v="CONSERV"/>
    <x v="18"/>
    <x v="14"/>
    <x v="10"/>
    <s v="HAVANNA"/>
    <x v="15"/>
    <s v="AVENTAL OXFORD MODELO PADRÃO"/>
    <s v="AVENTAL"/>
    <s v="LEVE"/>
    <n v="7"/>
    <n v="21"/>
    <n v="147"/>
    <n v="0"/>
    <d v="2024-09-17T00:00:00"/>
    <n v="38"/>
    <m/>
    <s v="ENTREGUE"/>
    <m/>
    <m/>
    <m/>
    <m/>
    <m/>
  </r>
  <r>
    <s v="CONSERV"/>
    <x v="18"/>
    <x v="14"/>
    <x v="10"/>
    <s v="HAVANNA"/>
    <x v="15"/>
    <s v="FAIXA DE CABELO"/>
    <s v="FAIXA"/>
    <s v="LEVE"/>
    <n v="7"/>
    <n v="21"/>
    <n v="147"/>
    <n v="0"/>
    <d v="2024-09-17T00:00:00"/>
    <n v="38"/>
    <m/>
    <s v="ENTREGUE"/>
    <m/>
    <m/>
    <m/>
    <m/>
    <m/>
  </r>
  <r>
    <s v="CONSERV"/>
    <x v="18"/>
    <x v="14"/>
    <x v="10"/>
    <s v="HAVANNA"/>
    <x v="15"/>
    <s v="CAMISETA MANGA LONGA MALHA 100% ALGODÃO BABY LOOK"/>
    <s v="CAMISETA"/>
    <s v="LEVE"/>
    <n v="7"/>
    <n v="45"/>
    <n v="315"/>
    <n v="0"/>
    <d v="2024-09-17T00:00:00"/>
    <n v="38"/>
    <m/>
    <s v="ENTREGUE"/>
    <m/>
    <m/>
    <m/>
    <m/>
    <m/>
  </r>
  <r>
    <s v="CONSERV"/>
    <x v="18"/>
    <x v="14"/>
    <x v="10"/>
    <s v="HAVANNA"/>
    <x v="15"/>
    <s v="CAMISETA MANGA LONGA MALHA 100% ALGODÃO"/>
    <s v="CAMISETA"/>
    <s v="LEVE"/>
    <n v="3"/>
    <n v="45"/>
    <n v="135"/>
    <n v="0"/>
    <d v="2024-09-17T00:00:00"/>
    <n v="38"/>
    <m/>
    <s v="ENTREGUE"/>
    <m/>
    <m/>
    <m/>
    <m/>
    <m/>
  </r>
  <r>
    <s v="CONSERV"/>
    <x v="18"/>
    <x v="14"/>
    <x v="10"/>
    <s v="HAVANNA"/>
    <x v="15"/>
    <s v="CAMISETA MALHA 100% ALGODÃO BABY LOOK"/>
    <s v="CAMISETA"/>
    <s v="LEVE"/>
    <n v="10"/>
    <n v="36.75"/>
    <n v="367.5"/>
    <n v="0"/>
    <d v="2024-09-17T00:00:00"/>
    <n v="38"/>
    <m/>
    <s v="ENTREGUE"/>
    <m/>
    <m/>
    <m/>
    <m/>
    <m/>
  </r>
  <r>
    <s v="CONSERV"/>
    <x v="19"/>
    <x v="15"/>
    <x v="11"/>
    <s v="HAVANNA"/>
    <x v="3"/>
    <s v="CAMISETA MALHA 100% ALGODÃO "/>
    <s v="CAMISETA"/>
    <s v="LEVE"/>
    <n v="32"/>
    <n v="45"/>
    <n v="1440"/>
    <n v="0"/>
    <d v="2024-09-12T00:00:00"/>
    <n v="37"/>
    <m/>
    <s v="ENTREGUE"/>
    <m/>
    <m/>
    <m/>
    <m/>
    <m/>
  </r>
  <r>
    <s v="CONSERV"/>
    <x v="20"/>
    <x v="16"/>
    <x v="11"/>
    <s v="HAVANNA"/>
    <x v="16"/>
    <s v="AVENTAL OXFORD MODELO PADRÃO"/>
    <s v="AVENTAL"/>
    <s v="LEVE"/>
    <n v="2"/>
    <n v="21"/>
    <n v="42"/>
    <n v="0"/>
    <d v="2024-09-10T00:00:00"/>
    <n v="37"/>
    <m/>
    <s v="ENTREGUE"/>
    <m/>
    <m/>
    <m/>
    <m/>
    <m/>
  </r>
  <r>
    <s v="CONSERV"/>
    <x v="20"/>
    <x v="16"/>
    <x v="11"/>
    <s v="HAVANNA"/>
    <x v="16"/>
    <s v="CAMISETA MALHA 100% ALGODÃO BABY LOOK"/>
    <s v="CAMISETA"/>
    <s v="LEVE"/>
    <n v="2"/>
    <n v="36.75"/>
    <n v="73.5"/>
    <n v="0"/>
    <d v="2024-09-10T00:00:00"/>
    <n v="37"/>
    <m/>
    <s v="ENTREGUE"/>
    <m/>
    <m/>
    <m/>
    <m/>
    <m/>
  </r>
  <r>
    <s v="CONSERV"/>
    <x v="20"/>
    <x v="16"/>
    <x v="11"/>
    <s v="HAVANNA"/>
    <x v="16"/>
    <s v="CAMISETA MANGA LONGA MALHA 100% ALGODÃO BABY LOOK"/>
    <s v="CAMISETA"/>
    <s v="LEVE"/>
    <n v="2"/>
    <n v="45"/>
    <n v="90"/>
    <n v="0"/>
    <d v="2024-09-10T00:00:00"/>
    <n v="37"/>
    <m/>
    <s v="ENTREGUE"/>
    <m/>
    <m/>
    <m/>
    <m/>
    <m/>
  </r>
  <r>
    <s v="CONSERV"/>
    <x v="20"/>
    <x v="16"/>
    <x v="11"/>
    <s v="HAVANNA"/>
    <x v="16"/>
    <s v="CALÇA LEGGING"/>
    <s v="CALÇA"/>
    <s v="LEVE"/>
    <n v="2"/>
    <n v="65"/>
    <n v="130"/>
    <n v="0"/>
    <d v="2024-09-10T00:00:00"/>
    <n v="37"/>
    <m/>
    <s v="ENTREGUE"/>
    <m/>
    <m/>
    <m/>
    <m/>
    <m/>
  </r>
  <r>
    <s v="CONSERV"/>
    <x v="20"/>
    <x v="16"/>
    <x v="11"/>
    <s v="HAVANNA"/>
    <x v="16"/>
    <s v="BLUSA DE MOLETOM "/>
    <s v="MOLETOM"/>
    <s v="LEVE"/>
    <n v="1"/>
    <n v="79.099999999999994"/>
    <n v="79.099999999999994"/>
    <n v="0"/>
    <d v="2024-09-10T00:00:00"/>
    <n v="37"/>
    <m/>
    <s v="ENTREGUE"/>
    <m/>
    <m/>
    <m/>
    <m/>
    <m/>
  </r>
  <r>
    <s v="CONSERV"/>
    <x v="20"/>
    <x v="16"/>
    <x v="11"/>
    <s v="HAVANNA"/>
    <x v="16"/>
    <s v="FAIXA DE CABELO"/>
    <s v="FAIXA"/>
    <s v="LEVE"/>
    <n v="2"/>
    <n v="21"/>
    <n v="42"/>
    <n v="0"/>
    <d v="2024-09-10T00:00:00"/>
    <n v="37"/>
    <m/>
    <s v="ENTREGUE"/>
    <m/>
    <m/>
    <m/>
    <m/>
    <m/>
  </r>
  <r>
    <s v="CONSERV"/>
    <x v="21"/>
    <x v="17"/>
    <x v="11"/>
    <s v="HAVANNA"/>
    <x v="4"/>
    <s v="CAMISETA MALHA 100% ALGODÃO"/>
    <s v="CAMISETA"/>
    <s v="LEVE"/>
    <n v="13"/>
    <n v="36.75"/>
    <n v="477.75"/>
    <n v="0"/>
    <d v="2024-09-03T00:00:00"/>
    <n v="36"/>
    <m/>
    <s v="ENTREGUE"/>
    <m/>
    <m/>
    <m/>
    <m/>
    <m/>
  </r>
  <r>
    <s v="CONSERV"/>
    <x v="21"/>
    <x v="17"/>
    <x v="11"/>
    <s v="HAVANNA"/>
    <x v="4"/>
    <s v="CAMISTEA MANGA LONGA MALHA 100% ALGODÃO"/>
    <s v="CAMISETA"/>
    <s v="LEVE"/>
    <n v="13"/>
    <n v="45"/>
    <n v="585"/>
    <n v="0"/>
    <d v="2024-09-03T00:00:00"/>
    <n v="36"/>
    <m/>
    <s v="ENTREGUE"/>
    <m/>
    <m/>
    <m/>
    <m/>
    <m/>
  </r>
  <r>
    <s v="CONSERV"/>
    <x v="21"/>
    <x v="17"/>
    <x v="11"/>
    <s v="HAVANNA"/>
    <x v="4"/>
    <s v="AVENTAL OXFORD MODELO PADRÃO"/>
    <s v="AVENTAL"/>
    <s v="LEVE"/>
    <n v="15"/>
    <n v="21"/>
    <n v="315"/>
    <n v="0"/>
    <d v="2024-09-03T00:00:00"/>
    <n v="36"/>
    <m/>
    <s v="ENTREGUE"/>
    <m/>
    <m/>
    <m/>
    <m/>
    <m/>
  </r>
  <r>
    <s v="CONSERV"/>
    <x v="21"/>
    <x v="17"/>
    <x v="11"/>
    <s v="HAVANNA"/>
    <x v="4"/>
    <s v="FAIXA DE CABELO"/>
    <s v="FAIXA"/>
    <s v="LEVE"/>
    <n v="5"/>
    <n v="21"/>
    <n v="105"/>
    <n v="0"/>
    <d v="2024-09-03T00:00:00"/>
    <n v="36"/>
    <m/>
    <s v="ENTREGUE"/>
    <m/>
    <m/>
    <m/>
    <m/>
    <m/>
  </r>
  <r>
    <s v="CONSERV"/>
    <x v="22"/>
    <x v="18"/>
    <x v="11"/>
    <s v="HAVANNA"/>
    <x v="16"/>
    <s v="CAMISETA MALHA 100% ALGODÃO"/>
    <s v="CAMISETA"/>
    <s v="LEVE"/>
    <n v="4"/>
    <n v="36.75"/>
    <n v="147"/>
    <n v="0"/>
    <d v="2024-09-13T00:00:00"/>
    <n v="37"/>
    <m/>
    <s v="ENTREGUE"/>
    <m/>
    <m/>
    <m/>
    <m/>
    <m/>
  </r>
  <r>
    <s v="CONSERV"/>
    <x v="22"/>
    <x v="18"/>
    <x v="11"/>
    <s v="HAVANNA"/>
    <x v="16"/>
    <s v="CALÇA BRIM"/>
    <s v="CALÇA"/>
    <s v="PESADA"/>
    <n v="4"/>
    <n v="65"/>
    <n v="260"/>
    <n v="0"/>
    <d v="2024-09-13T00:00:00"/>
    <n v="37"/>
    <m/>
    <s v="ENTREGUE"/>
    <m/>
    <m/>
    <m/>
    <m/>
    <m/>
  </r>
  <r>
    <s v="CONSERV"/>
    <x v="22"/>
    <x v="18"/>
    <x v="11"/>
    <s v="HAVANNA"/>
    <x v="16"/>
    <s v="BLUSA DE MOLETOM"/>
    <s v="MOLETOM"/>
    <s v="LEVE"/>
    <n v="5"/>
    <n v="78"/>
    <n v="390"/>
    <n v="0"/>
    <d v="2024-09-13T00:00:00"/>
    <n v="37"/>
    <m/>
    <s v="ENTREGUE"/>
    <m/>
    <m/>
    <m/>
    <m/>
    <m/>
  </r>
  <r>
    <s v="CONSERV"/>
    <x v="22"/>
    <x v="18"/>
    <x v="11"/>
    <s v="HAVANNA"/>
    <x v="16"/>
    <s v="CAMISTEA MALHA 100% ALGODÃO BABY LOOK"/>
    <s v="CAMISETA"/>
    <s v="LEVE"/>
    <n v="6"/>
    <n v="36.75"/>
    <n v="220.5"/>
    <n v="0"/>
    <d v="2024-09-13T00:00:00"/>
    <n v="37"/>
    <m/>
    <s v="ENTREGUE"/>
    <m/>
    <m/>
    <m/>
    <m/>
    <m/>
  </r>
  <r>
    <s v="CONSERV"/>
    <x v="22"/>
    <x v="18"/>
    <x v="11"/>
    <s v="HAVANNA"/>
    <x v="16"/>
    <s v="CAMISETA MANGA LONGA MALHA 100% ALGODÃO"/>
    <s v="CAMISETA"/>
    <s v="LEVE"/>
    <n v="6"/>
    <n v="45"/>
    <n v="270"/>
    <n v="0"/>
    <d v="2024-09-13T00:00:00"/>
    <n v="37"/>
    <m/>
    <s v="ENTREGUE"/>
    <m/>
    <m/>
    <m/>
    <m/>
    <m/>
  </r>
  <r>
    <s v="CONSERV"/>
    <x v="22"/>
    <x v="18"/>
    <x v="11"/>
    <s v="HAVANNA"/>
    <x v="16"/>
    <s v="CALÇA LEGGING"/>
    <s v="CALÇA"/>
    <s v="LEVE"/>
    <n v="6"/>
    <n v="65"/>
    <n v="390"/>
    <n v="0"/>
    <d v="2024-09-13T00:00:00"/>
    <n v="37"/>
    <m/>
    <s v="ENTREGUE"/>
    <m/>
    <m/>
    <m/>
    <m/>
    <m/>
  </r>
  <r>
    <s v="CONSERV"/>
    <x v="22"/>
    <x v="18"/>
    <x v="11"/>
    <s v="HAVANNA"/>
    <x v="16"/>
    <s v="AVENTAL OXFORD MODELO PADRÃO"/>
    <s v="AVENTAL"/>
    <s v="LEVE"/>
    <n v="10"/>
    <n v="21"/>
    <n v="210"/>
    <n v="0"/>
    <d v="2024-09-13T00:00:00"/>
    <n v="37"/>
    <m/>
    <s v="ENTREGUE"/>
    <m/>
    <m/>
    <m/>
    <m/>
    <m/>
  </r>
  <r>
    <s v="CONSERV"/>
    <x v="23"/>
    <x v="19"/>
    <x v="12"/>
    <s v="HAVANNA"/>
    <x v="17"/>
    <s v="AVENTAL OXFORD MODELO PADRÃO"/>
    <s v="AVENTAL"/>
    <s v="LEVE"/>
    <n v="10"/>
    <n v="21"/>
    <n v="210"/>
    <n v="0"/>
    <d v="2024-09-13T00:00:00"/>
    <n v="37"/>
    <m/>
    <s v="ENTREGUE"/>
    <m/>
    <m/>
    <m/>
    <m/>
    <m/>
  </r>
  <r>
    <s v="CONSERV"/>
    <x v="23"/>
    <x v="19"/>
    <x v="12"/>
    <s v="HAVANNA"/>
    <x v="17"/>
    <s v="CAMISETA MANGA LONGA MALHA 100% ALGODÃO BABY LOOK"/>
    <s v="CAMISETA"/>
    <s v="LEVE"/>
    <n v="2"/>
    <n v="47.5"/>
    <n v="95"/>
    <n v="0"/>
    <d v="2024-09-13T00:00:00"/>
    <n v="37"/>
    <m/>
    <s v="ENTREGUE"/>
    <m/>
    <m/>
    <m/>
    <m/>
    <m/>
  </r>
  <r>
    <s v="CONSERV"/>
    <x v="23"/>
    <x v="19"/>
    <x v="12"/>
    <s v="HAVANNA"/>
    <x v="17"/>
    <s v="CAMISETA MANGA LONGA MALHA 100% ALGODÃO"/>
    <s v="CAMISETA"/>
    <s v="LEVE"/>
    <n v="2"/>
    <n v="47.5"/>
    <n v="95"/>
    <n v="0"/>
    <d v="2024-09-13T00:00:00"/>
    <n v="37"/>
    <m/>
    <s v="ENTREGUE"/>
    <m/>
    <m/>
    <m/>
    <m/>
    <m/>
  </r>
  <r>
    <s v="CONSERV"/>
    <x v="23"/>
    <x v="19"/>
    <x v="12"/>
    <s v="HAVANNA"/>
    <x v="17"/>
    <s v="CAMISETA MALHA 100% ALGODÃO"/>
    <s v="CAMISETA"/>
    <s v="LEVE"/>
    <n v="8"/>
    <n v="36.75"/>
    <n v="294"/>
    <n v="0"/>
    <d v="2024-09-13T00:00:00"/>
    <n v="37"/>
    <m/>
    <s v="ENTREGUE"/>
    <m/>
    <m/>
    <m/>
    <m/>
    <m/>
  </r>
  <r>
    <s v="CONSERV"/>
    <x v="23"/>
    <x v="19"/>
    <x v="12"/>
    <s v="HAVANNA"/>
    <x v="17"/>
    <s v="CAMISETA MALHA 100% ALGODÃO BABY LOOK"/>
    <s v="CAMISETA"/>
    <s v="LEVE"/>
    <n v="2"/>
    <n v="36.75"/>
    <n v="73.5"/>
    <n v="0"/>
    <d v="2024-09-13T00:00:00"/>
    <n v="37"/>
    <m/>
    <s v="ENTREGUE"/>
    <m/>
    <m/>
    <m/>
    <m/>
    <m/>
  </r>
  <r>
    <s v="CONSERV"/>
    <x v="23"/>
    <x v="19"/>
    <x v="12"/>
    <s v="HAVANNA"/>
    <x v="17"/>
    <s v="FAIXA DE CABELO"/>
    <s v="FAIXA"/>
    <s v="LEVE"/>
    <n v="1"/>
    <n v="21"/>
    <n v="21"/>
    <n v="0"/>
    <d v="2024-09-13T00:00:00"/>
    <n v="37"/>
    <m/>
    <s v="ENTREGUE"/>
    <m/>
    <m/>
    <m/>
    <m/>
    <m/>
  </r>
  <r>
    <s v="CONSERV"/>
    <x v="24"/>
    <x v="19"/>
    <x v="12"/>
    <s v="HAVANNA"/>
    <x v="10"/>
    <s v="CAMISETA MALHA 100% ALGODÃO BABY LOOK"/>
    <s v="CAMISETA"/>
    <s v="LEVE"/>
    <n v="12"/>
    <n v="36.75"/>
    <n v="441"/>
    <n v="0"/>
    <d v="2024-09-03T00:00:00"/>
    <n v="36"/>
    <m/>
    <s v="ENTREGUE"/>
    <m/>
    <m/>
    <m/>
    <m/>
    <m/>
  </r>
  <r>
    <s v="CONSERV"/>
    <x v="24"/>
    <x v="19"/>
    <x v="12"/>
    <s v="HAVANNA"/>
    <x v="10"/>
    <s v="CAMISETA MALHA 100% ALGODÃO"/>
    <s v="CAMISETA"/>
    <s v="LEVE"/>
    <n v="6"/>
    <n v="36.75"/>
    <n v="220.5"/>
    <n v="0"/>
    <d v="2024-09-03T00:00:00"/>
    <n v="36"/>
    <m/>
    <s v="ENTREGUE"/>
    <m/>
    <m/>
    <m/>
    <m/>
    <m/>
  </r>
  <r>
    <s v="CONSERV"/>
    <x v="25"/>
    <x v="20"/>
    <x v="13"/>
    <s v="HAVANNA"/>
    <x v="18"/>
    <s v="CAMISETA MALHA 100% ALGODÃO"/>
    <s v="CAMISETA"/>
    <s v="LEVE"/>
    <n v="5"/>
    <n v="36.75"/>
    <n v="183.75"/>
    <n v="0"/>
    <d v="2024-10-20T00:00:00"/>
    <n v="43"/>
    <m/>
    <s v="ENTREGUE"/>
    <m/>
    <m/>
    <m/>
    <m/>
    <m/>
  </r>
  <r>
    <s v="CONSERV"/>
    <x v="26"/>
    <x v="21"/>
    <x v="13"/>
    <s v="HAVANNA"/>
    <x v="19"/>
    <s v="CAMISETA MALHA 100% ALGODÃO (TAM BIG)"/>
    <s v="CAMISETA"/>
    <s v="LEVE"/>
    <n v="3"/>
    <n v="47.5"/>
    <n v="142.5"/>
    <n v="0"/>
    <d v="2024-10-04T00:00:00"/>
    <n v="40"/>
    <m/>
    <s v="ENTREGUE"/>
    <m/>
    <m/>
    <m/>
    <m/>
    <m/>
  </r>
  <r>
    <s v="CONSERV"/>
    <x v="26"/>
    <x v="21"/>
    <x v="13"/>
    <s v="HAVANNA"/>
    <x v="19"/>
    <s v="AVENTAL OXFORD MODELO PADRÃO"/>
    <s v="AVENTAL"/>
    <s v="LEVE"/>
    <n v="4"/>
    <n v="21"/>
    <n v="84"/>
    <n v="0"/>
    <d v="2024-10-04T00:00:00"/>
    <n v="40"/>
    <m/>
    <s v="ENTREGUE"/>
    <m/>
    <m/>
    <m/>
    <m/>
    <m/>
  </r>
  <r>
    <s v="CONSERV"/>
    <x v="26"/>
    <x v="21"/>
    <x v="13"/>
    <s v="HAVANNA"/>
    <x v="19"/>
    <s v="CAMISETA MALHA 100% ALGODÃO BABY LOOK"/>
    <s v="CAMISETA"/>
    <s v="LEVE"/>
    <n v="2"/>
    <n v="36.75"/>
    <n v="73.5"/>
    <n v="0"/>
    <d v="2024-10-04T00:00:00"/>
    <n v="40"/>
    <m/>
    <s v="ENTREGUE"/>
    <m/>
    <m/>
    <m/>
    <m/>
    <m/>
  </r>
  <r>
    <s v="CONSERV"/>
    <x v="27"/>
    <x v="22"/>
    <x v="14"/>
    <s v="HAVANNA"/>
    <x v="20"/>
    <s v="AVENTAL OXFORD MODELO PADRÃO"/>
    <s v="AVENTAL"/>
    <s v="LEVE"/>
    <n v="5"/>
    <n v="21"/>
    <n v="105"/>
    <n v="0"/>
    <d v="2024-09-18T00:00:00"/>
    <n v="38"/>
    <m/>
    <s v="ENTREGUE"/>
    <m/>
    <m/>
    <m/>
    <m/>
    <m/>
  </r>
  <r>
    <s v="CONSERV"/>
    <x v="27"/>
    <x v="22"/>
    <x v="14"/>
    <s v="HAVANNA"/>
    <x v="20"/>
    <s v="FAIXA DE CABELO"/>
    <s v="FAIXA"/>
    <s v="LEVE"/>
    <n v="3"/>
    <n v="19"/>
    <n v="57"/>
    <n v="0"/>
    <d v="2024-09-18T00:00:00"/>
    <n v="38"/>
    <m/>
    <s v="ENTREGUE"/>
    <m/>
    <m/>
    <m/>
    <m/>
    <m/>
  </r>
  <r>
    <s v="CONSERV"/>
    <x v="27"/>
    <x v="22"/>
    <x v="14"/>
    <s v="HAVANNA"/>
    <x v="20"/>
    <s v="CAMISETA MALHA 100% ALGODÃO"/>
    <s v="CAMISETA"/>
    <s v="LEVE"/>
    <n v="8"/>
    <n v="37.5"/>
    <n v="300"/>
    <n v="0"/>
    <d v="2024-09-18T00:00:00"/>
    <n v="38"/>
    <m/>
    <s v="ENTREGUE"/>
    <m/>
    <m/>
    <m/>
    <m/>
    <m/>
  </r>
  <r>
    <s v="CONSERV"/>
    <x v="28"/>
    <x v="23"/>
    <x v="14"/>
    <s v="HAVANNA"/>
    <x v="21"/>
    <s v="CAMISETA MALHA 100% ALGODÃO"/>
    <s v="CAMISETA"/>
    <s v="LEVE"/>
    <n v="45"/>
    <n v="36.75"/>
    <n v="1653.75"/>
    <n v="0"/>
    <d v="2024-10-24T00:00:00"/>
    <n v="43"/>
    <m/>
    <s v="ENTREGUE"/>
    <m/>
    <m/>
    <m/>
    <m/>
    <m/>
  </r>
  <r>
    <s v="CONSERV"/>
    <x v="28"/>
    <x v="23"/>
    <x v="14"/>
    <s v="HAVANNA"/>
    <x v="21"/>
    <s v="CAMISETA MANGA LONGA MALHA 100% ALGODÃO"/>
    <s v="CAMISETA"/>
    <s v="LEVE"/>
    <n v="70"/>
    <n v="45"/>
    <n v="3150"/>
    <n v="0"/>
    <d v="2024-10-24T00:00:00"/>
    <n v="43"/>
    <m/>
    <s v="ENTREGUE"/>
    <m/>
    <m/>
    <m/>
    <m/>
    <m/>
  </r>
  <r>
    <s v="CONSERV"/>
    <x v="28"/>
    <x v="23"/>
    <x v="14"/>
    <s v="HAVANNA"/>
    <x v="21"/>
    <s v="FAIXA DE CABELO"/>
    <s v="FAIXA"/>
    <s v="LEVE"/>
    <n v="10"/>
    <n v="21"/>
    <n v="210"/>
    <n v="0"/>
    <d v="2024-10-24T00:00:00"/>
    <n v="43"/>
    <m/>
    <s v="ENTREGUE"/>
    <m/>
    <m/>
    <m/>
    <m/>
    <m/>
  </r>
  <r>
    <s v="CONSERV"/>
    <x v="28"/>
    <x v="23"/>
    <x v="14"/>
    <s v="HAVANNA"/>
    <x v="21"/>
    <s v="AVENTAL OXFORD MODELO PADRÃO"/>
    <s v="AVENTAL"/>
    <s v="LEVE"/>
    <n v="10"/>
    <n v="21"/>
    <n v="210"/>
    <n v="0"/>
    <d v="2024-10-24T00:00:00"/>
    <n v="43"/>
    <m/>
    <s v="ENTREGUE"/>
    <m/>
    <m/>
    <m/>
    <m/>
    <m/>
  </r>
  <r>
    <s v="CONSERV"/>
    <x v="29"/>
    <x v="23"/>
    <x v="14"/>
    <s v="HAVANNA"/>
    <x v="17"/>
    <s v="BLUSA DE MOLETOM "/>
    <s v="MOLETOM"/>
    <s v="LEVE"/>
    <n v="7"/>
    <n v="79.099999999999994"/>
    <n v="553.69999999999993"/>
    <n v="0"/>
    <d v="2024-10-03T00:00:00"/>
    <n v="40"/>
    <m/>
    <s v="ENTREGUE"/>
    <m/>
    <m/>
    <m/>
    <m/>
    <m/>
  </r>
  <r>
    <s v="CONSERV"/>
    <x v="29"/>
    <x v="23"/>
    <x v="14"/>
    <s v="HAVANNA"/>
    <x v="17"/>
    <s v="CAMISETA MANGA LONGA MALHA 100% ALGODÃO"/>
    <s v="CAMISETA"/>
    <s v="LEVE"/>
    <n v="10"/>
    <n v="47.5"/>
    <n v="475"/>
    <n v="0"/>
    <d v="2024-10-03T00:00:00"/>
    <n v="40"/>
    <m/>
    <s v="ENTREGUE"/>
    <m/>
    <m/>
    <m/>
    <m/>
    <m/>
  </r>
  <r>
    <s v="CONSERV"/>
    <x v="29"/>
    <x v="23"/>
    <x v="14"/>
    <s v="HAVANNA"/>
    <x v="17"/>
    <s v="FAIXA DE CABELO"/>
    <s v="FAIXA"/>
    <s v="LEVE"/>
    <n v="10"/>
    <n v="21"/>
    <n v="210"/>
    <n v="0"/>
    <d v="2024-10-03T00:00:00"/>
    <n v="40"/>
    <m/>
    <s v="ENTREGUE"/>
    <m/>
    <m/>
    <m/>
    <m/>
    <m/>
  </r>
  <r>
    <s v="CONSERV"/>
    <x v="29"/>
    <x v="23"/>
    <x v="14"/>
    <s v="HAVANNA"/>
    <x v="17"/>
    <s v="CAMISETA MALHA 100% ALGODÃO"/>
    <s v="CAMISETA"/>
    <s v="LEVE"/>
    <n v="10"/>
    <n v="36.75"/>
    <n v="367.5"/>
    <n v="0"/>
    <d v="2024-10-03T00:00:00"/>
    <n v="40"/>
    <m/>
    <s v="ENTREGUE"/>
    <m/>
    <m/>
    <m/>
    <m/>
    <m/>
  </r>
  <r>
    <s v="CONSERV"/>
    <x v="30"/>
    <x v="23"/>
    <x v="14"/>
    <s v="HAVANNA"/>
    <x v="22"/>
    <s v="AVENTAL OXFORD MODELO PADRÃO"/>
    <s v="AVENTAL"/>
    <s v="LEVE"/>
    <n v="10"/>
    <n v="21"/>
    <n v="210"/>
    <n v="0"/>
    <d v="2024-09-23T00:00:00"/>
    <n v="39"/>
    <m/>
    <s v="ENTREGUE"/>
    <m/>
    <m/>
    <m/>
    <m/>
    <m/>
  </r>
  <r>
    <s v="CONSERV"/>
    <x v="30"/>
    <x v="23"/>
    <x v="14"/>
    <s v="HAVANNA"/>
    <x v="23"/>
    <s v="CAMISETA MALHA 100% ALGODÃO"/>
    <s v="CAMISETA"/>
    <s v="LEVE"/>
    <n v="24"/>
    <n v="36.75"/>
    <n v="882"/>
    <n v="0"/>
    <d v="2024-09-23T00:00:00"/>
    <n v="39"/>
    <m/>
    <s v="ENTREGUE"/>
    <m/>
    <m/>
    <m/>
    <m/>
    <m/>
  </r>
  <r>
    <s v="CONSERV"/>
    <x v="30"/>
    <x v="23"/>
    <x v="14"/>
    <s v="HAVANNA"/>
    <x v="23"/>
    <s v="FAIXA DE CABELO"/>
    <s v="FAIXA"/>
    <s v="LEVE"/>
    <n v="6"/>
    <n v="21"/>
    <n v="126"/>
    <n v="0"/>
    <d v="2024-09-23T00:00:00"/>
    <n v="39"/>
    <m/>
    <s v="ENTREGUE"/>
    <m/>
    <m/>
    <m/>
    <m/>
    <m/>
  </r>
  <r>
    <s v="CONSERV"/>
    <x v="31"/>
    <x v="24"/>
    <x v="15"/>
    <s v="HAVANNA"/>
    <x v="24"/>
    <s v="AVENTAL OXFORD MODELO PADRÃO"/>
    <s v="AVENTAL"/>
    <s v="LEVE"/>
    <n v="13"/>
    <n v="21"/>
    <n v="273"/>
    <n v="0"/>
    <d v="2024-10-28T00:00:00"/>
    <n v="44"/>
    <m/>
    <s v="ENTREGUE"/>
    <m/>
    <m/>
    <m/>
    <m/>
    <m/>
  </r>
  <r>
    <s v="CONSERV"/>
    <x v="31"/>
    <x v="24"/>
    <x v="15"/>
    <s v="HAVANNA"/>
    <x v="24"/>
    <s v="CAMISETA MALHA 100% ALGODÃO BABY LOOK"/>
    <s v="CAMISETA"/>
    <s v="LEVE"/>
    <n v="11"/>
    <n v="36.75"/>
    <n v="404.25"/>
    <n v="0"/>
    <d v="2024-10-28T00:00:00"/>
    <n v="44"/>
    <m/>
    <s v="ENTREGUE"/>
    <m/>
    <m/>
    <m/>
    <m/>
    <m/>
  </r>
  <r>
    <s v="CONSERV"/>
    <x v="31"/>
    <x v="24"/>
    <x v="15"/>
    <s v="HAVANNA"/>
    <x v="24"/>
    <s v="CAMISETA MALHA 100% ALGODÃO"/>
    <s v="CAMISETA"/>
    <s v="LEVE"/>
    <n v="6"/>
    <n v="36.75"/>
    <n v="220.5"/>
    <n v="0"/>
    <d v="2024-10-28T00:00:00"/>
    <n v="44"/>
    <m/>
    <s v="ENTREGUE"/>
    <m/>
    <m/>
    <m/>
    <m/>
    <m/>
  </r>
  <r>
    <s v="CONSERV"/>
    <x v="31"/>
    <x v="24"/>
    <x v="15"/>
    <s v="HAVANNA"/>
    <x v="24"/>
    <s v="CAMISTEA MANGA LONGA MALHA 100% ALGODÃO"/>
    <s v="CAMISETA"/>
    <s v="LEVE"/>
    <n v="10"/>
    <n v="47.5"/>
    <n v="475"/>
    <n v="0"/>
    <d v="2024-10-28T00:00:00"/>
    <n v="44"/>
    <m/>
    <s v="ENTREGUE"/>
    <m/>
    <m/>
    <m/>
    <m/>
    <m/>
  </r>
  <r>
    <s v="CONSERV"/>
    <x v="31"/>
    <x v="24"/>
    <x v="15"/>
    <s v="HAVANNA"/>
    <x v="24"/>
    <s v="FAIXA DE CABELO"/>
    <s v="FAIXA"/>
    <s v="LEVE"/>
    <n v="12"/>
    <n v="21"/>
    <n v="252"/>
    <n v="0"/>
    <d v="2024-10-28T00:00:00"/>
    <n v="44"/>
    <m/>
    <s v="ENTREGUE"/>
    <m/>
    <m/>
    <m/>
    <m/>
    <m/>
  </r>
  <r>
    <s v="CONSERV"/>
    <x v="32"/>
    <x v="24"/>
    <x v="15"/>
    <s v="HAVANNA"/>
    <x v="25"/>
    <s v="CAMISETA MALHA 100% ALGODÃO BABY LOOK"/>
    <s v="CAMISETA"/>
    <s v="LEVE"/>
    <n v="6"/>
    <n v="36.75"/>
    <n v="220.5"/>
    <n v="0"/>
    <d v="2024-10-23T00:00:00"/>
    <n v="43"/>
    <m/>
    <s v="ENTREGUE"/>
    <m/>
    <m/>
    <m/>
    <m/>
    <m/>
  </r>
  <r>
    <s v="CONSERV"/>
    <x v="32"/>
    <x v="24"/>
    <x v="15"/>
    <s v="HAVANNA"/>
    <x v="25"/>
    <s v="CAMISETA MALHA 100% ALGODÃO"/>
    <s v="CAMISETA"/>
    <s v="LEVE"/>
    <n v="2"/>
    <n v="36.75"/>
    <n v="73.5"/>
    <n v="0"/>
    <d v="2024-10-23T00:00:00"/>
    <n v="43"/>
    <m/>
    <s v="ENTREGUE"/>
    <m/>
    <m/>
    <m/>
    <m/>
    <m/>
  </r>
  <r>
    <s v="CONSERV"/>
    <x v="32"/>
    <x v="24"/>
    <x v="15"/>
    <s v="HAVANNA"/>
    <x v="25"/>
    <s v="AVENTAL OXFORD MODELO PADRÃO"/>
    <s v="AVENTAL"/>
    <s v="LEVE"/>
    <n v="10"/>
    <n v="21"/>
    <n v="210"/>
    <n v="0"/>
    <d v="2024-10-23T00:00:00"/>
    <n v="43"/>
    <m/>
    <s v="ENTREGUE"/>
    <m/>
    <m/>
    <m/>
    <m/>
    <m/>
  </r>
  <r>
    <s v="CONSERV"/>
    <x v="33"/>
    <x v="25"/>
    <x v="16"/>
    <s v="HAVANNA"/>
    <x v="26"/>
    <s v="AVENTAL OXFORD MODELO PADRÃO"/>
    <s v="AVENTAL"/>
    <s v="LEVE"/>
    <n v="6"/>
    <n v="21"/>
    <n v="126"/>
    <n v="0"/>
    <d v="2024-11-01T00:00:00"/>
    <n v="44"/>
    <m/>
    <s v="ENTREGUE"/>
    <m/>
    <m/>
    <m/>
    <m/>
    <m/>
  </r>
  <r>
    <s v="CONSERV"/>
    <x v="33"/>
    <x v="25"/>
    <x v="16"/>
    <s v="HAVANNA"/>
    <x v="26"/>
    <s v="CAMISETA MALHA 100% ALGODÃO"/>
    <s v="CAMISETA"/>
    <s v="LEVE"/>
    <n v="18"/>
    <n v="36.75"/>
    <n v="661.5"/>
    <n v="0"/>
    <d v="2024-11-01T00:00:00"/>
    <n v="44"/>
    <m/>
    <s v="ENTREGUE"/>
    <m/>
    <m/>
    <m/>
    <m/>
    <m/>
  </r>
  <r>
    <s v="CONSERV"/>
    <x v="33"/>
    <x v="25"/>
    <x v="16"/>
    <s v="HAVANNA"/>
    <x v="26"/>
    <s v="FAIXA DE CABELO"/>
    <s v="FAIXA"/>
    <s v="LEVE"/>
    <n v="4"/>
    <n v="21"/>
    <n v="84"/>
    <n v="0"/>
    <d v="2024-11-01T00:00:00"/>
    <n v="44"/>
    <m/>
    <s v="ENTREGUE"/>
    <m/>
    <m/>
    <m/>
    <m/>
    <m/>
  </r>
  <r>
    <s v="CONSERV"/>
    <x v="33"/>
    <x v="25"/>
    <x v="16"/>
    <s v="HAVANNA"/>
    <x v="26"/>
    <s v="CALÇA BRIM"/>
    <s v="CALÇA"/>
    <s v="PESADA"/>
    <n v="18"/>
    <n v="75"/>
    <n v="1350"/>
    <n v="0"/>
    <d v="2024-11-01T00:00:00"/>
    <n v="44"/>
    <m/>
    <s v="ENTREGUE"/>
    <m/>
    <m/>
    <m/>
    <m/>
    <m/>
  </r>
  <r>
    <s v="CONSERV"/>
    <x v="34"/>
    <x v="26"/>
    <x v="16"/>
    <s v="HAVANNA"/>
    <x v="17"/>
    <s v="CAMISETA MALHA 100% ALGODÃO BABY LOOK"/>
    <s v="CAMISETA"/>
    <s v="LEVE"/>
    <n v="2"/>
    <n v="36.75"/>
    <n v="73.5"/>
    <n v="0"/>
    <d v="2024-10-18T00:00:00"/>
    <n v="42"/>
    <m/>
    <s v="ENTREGUE"/>
    <m/>
    <m/>
    <m/>
    <m/>
    <m/>
  </r>
  <r>
    <s v="CONSERV"/>
    <x v="34"/>
    <x v="26"/>
    <x v="16"/>
    <s v="HAVANNA"/>
    <x v="17"/>
    <s v="AVENTAL OXFORD MODELO PADRÃO"/>
    <s v="AVENTAL"/>
    <s v="LEVE"/>
    <n v="10"/>
    <n v="21"/>
    <n v="210"/>
    <n v="0"/>
    <d v="2024-10-18T00:00:00"/>
    <n v="42"/>
    <m/>
    <s v="ENTREGUE"/>
    <m/>
    <m/>
    <m/>
    <m/>
    <m/>
  </r>
  <r>
    <s v="CONSERV"/>
    <x v="34"/>
    <x v="26"/>
    <x v="16"/>
    <s v="HAVANNA"/>
    <x v="17"/>
    <s v="CAMISETA MANGA LONGA MALHA 100% ALGODÃO BABY LOOK"/>
    <s v="CAMISETA"/>
    <s v="LEVE"/>
    <n v="2"/>
    <n v="47.5"/>
    <n v="95"/>
    <n v="0"/>
    <d v="2024-10-18T00:00:00"/>
    <n v="42"/>
    <m/>
    <s v="ENTREGUE"/>
    <m/>
    <m/>
    <m/>
    <m/>
    <m/>
  </r>
  <r>
    <s v="CONSERV"/>
    <x v="35"/>
    <x v="26"/>
    <x v="16"/>
    <s v="HAVANNA"/>
    <x v="17"/>
    <s v="BLUSA DE MOLETOM "/>
    <s v="MOLETOM"/>
    <s v="LEVE"/>
    <n v="5"/>
    <n v="85"/>
    <n v="425"/>
    <n v="0"/>
    <d v="2024-10-04T00:00:00"/>
    <n v="40"/>
    <m/>
    <s v="ENTREGUE"/>
    <m/>
    <m/>
    <m/>
    <m/>
    <m/>
  </r>
  <r>
    <s v="CONSERV"/>
    <x v="36"/>
    <x v="27"/>
    <x v="16"/>
    <s v="HAVANNA"/>
    <x v="23"/>
    <s v="CAMISETA MALHA 100% ALGODÃO"/>
    <s v="CAMISETA"/>
    <s v="LEVE"/>
    <n v="3"/>
    <n v="36.75"/>
    <n v="110.25"/>
    <n v="0"/>
    <d v="2024-10-28T00:00:00"/>
    <n v="44"/>
    <m/>
    <s v="ENTREGUE"/>
    <m/>
    <m/>
    <m/>
    <m/>
    <m/>
  </r>
  <r>
    <s v="CONSERV"/>
    <x v="36"/>
    <x v="27"/>
    <x v="16"/>
    <s v="HAVANNA"/>
    <x v="23"/>
    <s v="CAMISETA POLO PIQUET"/>
    <s v="POLO"/>
    <s v="LEVE"/>
    <n v="6"/>
    <n v="75"/>
    <n v="450"/>
    <n v="0"/>
    <d v="2024-10-28T00:00:00"/>
    <n v="44"/>
    <m/>
    <s v="ENTREGUE"/>
    <m/>
    <m/>
    <m/>
    <m/>
    <m/>
  </r>
  <r>
    <s v="CONSERV"/>
    <x v="37"/>
    <x v="28"/>
    <x v="16"/>
    <s v="HAVANNA"/>
    <x v="27"/>
    <s v="AVENTAL OXFORD MODELO PADRÃO"/>
    <s v="AVENTAL"/>
    <s v="LEVE"/>
    <n v="7"/>
    <n v="21"/>
    <n v="147"/>
    <n v="0"/>
    <d v="2024-10-15T00:00:00"/>
    <n v="42"/>
    <m/>
    <s v="ENTREGUE"/>
    <m/>
    <m/>
    <m/>
    <m/>
    <m/>
  </r>
  <r>
    <s v="CONSERV"/>
    <x v="37"/>
    <x v="28"/>
    <x v="16"/>
    <s v="HAVANNA"/>
    <x v="27"/>
    <s v="CAMISETA MALHA 100% ALGODÃO (COM BORDADO NA MANGA)"/>
    <s v="CAMISETA"/>
    <s v="LEVE"/>
    <n v="6"/>
    <n v="41.75"/>
    <n v="250.5"/>
    <n v="0"/>
    <d v="2024-10-15T00:00:00"/>
    <n v="42"/>
    <m/>
    <s v="ENTREGUE"/>
    <m/>
    <m/>
    <m/>
    <m/>
    <m/>
  </r>
  <r>
    <s v="CONSERV"/>
    <x v="37"/>
    <x v="28"/>
    <x v="16"/>
    <s v="HAVANNA"/>
    <x v="27"/>
    <s v="CAMISETA MALHA 100% ALGODÃO"/>
    <s v="CAMISETA"/>
    <s v="LEVE"/>
    <n v="4"/>
    <n v="36.75"/>
    <n v="147"/>
    <n v="0"/>
    <d v="2024-10-15T00:00:00"/>
    <n v="42"/>
    <m/>
    <s v="ENTREGUE"/>
    <m/>
    <m/>
    <m/>
    <m/>
    <m/>
  </r>
  <r>
    <s v="CONSERV"/>
    <x v="37"/>
    <x v="28"/>
    <x v="16"/>
    <s v="HAVANNA"/>
    <x v="27"/>
    <s v="FAIXA DE CABELO"/>
    <s v="FAIXA"/>
    <s v="LEVE"/>
    <n v="6"/>
    <n v="21"/>
    <n v="126"/>
    <n v="0"/>
    <d v="2024-10-15T00:00:00"/>
    <n v="42"/>
    <m/>
    <s v="ENTREGUE"/>
    <m/>
    <m/>
    <m/>
    <m/>
    <m/>
  </r>
  <r>
    <s v="CONSERV"/>
    <x v="38"/>
    <x v="29"/>
    <x v="17"/>
    <s v="HAVANNA"/>
    <x v="28"/>
    <s v="CAMISETA MALHA 100% ALGODÃO BABY LOOK"/>
    <s v="CAMISETA"/>
    <s v="LEVE"/>
    <n v="11"/>
    <n v="36.75"/>
    <n v="404.25"/>
    <n v="0"/>
    <d v="2024-10-28T00:00:00"/>
    <n v="44"/>
    <m/>
    <s v="ENTREGUE"/>
    <m/>
    <m/>
    <m/>
    <m/>
    <m/>
  </r>
  <r>
    <s v="CONSERV"/>
    <x v="38"/>
    <x v="29"/>
    <x v="17"/>
    <s v="HAVANNA"/>
    <x v="28"/>
    <s v="CAMISETA MANGA LONGA MALHA 100% ALGODÃO"/>
    <s v="CAMISETA"/>
    <s v="LEVE"/>
    <n v="8"/>
    <n v="47.5"/>
    <n v="380"/>
    <n v="0"/>
    <d v="2024-10-28T00:00:00"/>
    <n v="44"/>
    <m/>
    <s v="ENTREGUE"/>
    <m/>
    <m/>
    <m/>
    <m/>
    <m/>
  </r>
  <r>
    <s v="CONSERV"/>
    <x v="38"/>
    <x v="29"/>
    <x v="17"/>
    <s v="HAVANNA"/>
    <x v="28"/>
    <s v="CAMISETA MALHA 100% ALGODÃO"/>
    <s v="CAMISETA"/>
    <s v="LEVE"/>
    <n v="3"/>
    <n v="36.75"/>
    <n v="110.25"/>
    <n v="0"/>
    <d v="2024-10-28T00:00:00"/>
    <n v="44"/>
    <m/>
    <s v="ENTREGUE"/>
    <m/>
    <m/>
    <m/>
    <m/>
    <m/>
  </r>
  <r>
    <s v="CONSERV"/>
    <x v="38"/>
    <x v="29"/>
    <x v="17"/>
    <s v="HAVANNA"/>
    <x v="28"/>
    <s v="CALÇA LEGGING"/>
    <s v="CALÇA"/>
    <s v="LEVE"/>
    <n v="12"/>
    <n v="65"/>
    <n v="780"/>
    <n v="0"/>
    <d v="2024-10-28T00:00:00"/>
    <n v="44"/>
    <m/>
    <s v="ENTREGUE"/>
    <m/>
    <m/>
    <m/>
    <m/>
    <m/>
  </r>
  <r>
    <s v="CONSERV"/>
    <x v="38"/>
    <x v="29"/>
    <x v="17"/>
    <s v="HAVANNA"/>
    <x v="28"/>
    <s v="FAIXA DE CABELO"/>
    <s v="FAIXA"/>
    <s v="LEVE"/>
    <n v="10"/>
    <n v="21"/>
    <n v="210"/>
    <n v="0"/>
    <d v="2024-10-28T00:00:00"/>
    <n v="44"/>
    <m/>
    <s v="ENTREGUE"/>
    <m/>
    <m/>
    <m/>
    <m/>
    <m/>
  </r>
  <r>
    <s v="CONSERV"/>
    <x v="38"/>
    <x v="29"/>
    <x v="17"/>
    <s v="HAVANNA"/>
    <x v="28"/>
    <s v="AVENTAL OXFORD MODELO PADRÃO"/>
    <s v="AVENTAL"/>
    <s v="LEVE"/>
    <n v="10"/>
    <n v="21"/>
    <n v="210"/>
    <n v="0"/>
    <d v="2024-10-28T00:00:00"/>
    <n v="44"/>
    <m/>
    <s v="ENTREGUE"/>
    <m/>
    <m/>
    <m/>
    <m/>
    <m/>
  </r>
  <r>
    <s v="CONSERV"/>
    <x v="39"/>
    <x v="30"/>
    <x v="18"/>
    <s v="HAVANNA"/>
    <x v="29"/>
    <s v="CAMISETA MALHA 100% ALGODÃO BABY LOOK"/>
    <s v="CAMISETA"/>
    <s v="LEVE"/>
    <n v="11"/>
    <n v="36.75"/>
    <n v="404.25"/>
    <n v="0"/>
    <d v="2024-10-31T00:00:00"/>
    <n v="44"/>
    <m/>
    <s v="ENTREGUE"/>
    <m/>
    <m/>
    <m/>
    <m/>
    <m/>
  </r>
  <r>
    <s v="CONSERV"/>
    <x v="39"/>
    <x v="30"/>
    <x v="18"/>
    <s v="HAVANNA"/>
    <x v="29"/>
    <s v="FAIXA DE CABELO"/>
    <s v="FAIXA"/>
    <s v="LEVE"/>
    <n v="4"/>
    <n v="20"/>
    <n v="80"/>
    <n v="0"/>
    <d v="2024-10-31T00:00:00"/>
    <n v="44"/>
    <m/>
    <s v="ENTREGUE"/>
    <m/>
    <m/>
    <m/>
    <m/>
    <m/>
  </r>
  <r>
    <s v="CONSERV"/>
    <x v="39"/>
    <x v="30"/>
    <x v="18"/>
    <s v="HAVANNA"/>
    <x v="29"/>
    <s v="AVENTAL OXFORD MODELO PADRÃO"/>
    <s v="AVENTAL"/>
    <s v="LEVE"/>
    <n v="6"/>
    <n v="25"/>
    <n v="150"/>
    <n v="0"/>
    <d v="2024-10-31T00:00:00"/>
    <n v="44"/>
    <m/>
    <s v="ENTREGUE"/>
    <m/>
    <m/>
    <m/>
    <m/>
    <m/>
  </r>
  <r>
    <s v="CONSERV"/>
    <x v="40"/>
    <x v="31"/>
    <x v="19"/>
    <s v="HAVANNA"/>
    <x v="30"/>
    <s v="CAMISETA MALHA 100% ALGODÃO"/>
    <s v="CAMISETA"/>
    <s v="LEVE"/>
    <n v="21"/>
    <n v="36.75"/>
    <n v="771.75"/>
    <n v="0"/>
    <d v="2024-11-06T00:00:00"/>
    <n v="45"/>
    <m/>
    <s v="ENTREGUE"/>
    <m/>
    <m/>
    <m/>
    <m/>
    <m/>
  </r>
  <r>
    <s v="CONSERV"/>
    <x v="40"/>
    <x v="31"/>
    <x v="19"/>
    <s v="HAVANNA"/>
    <x v="30"/>
    <s v="CALÇA LEGGING"/>
    <s v="CALÇA"/>
    <s v="LEVE"/>
    <n v="16"/>
    <n v="65"/>
    <n v="1040"/>
    <n v="0"/>
    <d v="2024-11-06T00:00:00"/>
    <n v="45"/>
    <m/>
    <s v="ENTREGUE"/>
    <m/>
    <m/>
    <m/>
    <m/>
    <m/>
  </r>
  <r>
    <s v="CONSERV"/>
    <x v="40"/>
    <x v="31"/>
    <x v="19"/>
    <s v="HAVANNA"/>
    <x v="30"/>
    <s v="FAIXA DE CABELO"/>
    <s v="FAIXA"/>
    <s v="LEVE"/>
    <n v="10"/>
    <n v="20"/>
    <n v="200"/>
    <n v="0"/>
    <d v="2024-11-06T00:00:00"/>
    <n v="45"/>
    <m/>
    <s v="ENTREGUE"/>
    <m/>
    <m/>
    <m/>
    <m/>
    <m/>
  </r>
  <r>
    <s v="CONSERV"/>
    <x v="40"/>
    <x v="31"/>
    <x v="19"/>
    <s v="HAVANNA"/>
    <x v="30"/>
    <s v="AVENTAL OXFORD MODELO PADRÃO"/>
    <s v="AVENTAL"/>
    <s v="LEVE"/>
    <n v="15"/>
    <n v="25"/>
    <n v="375"/>
    <n v="0"/>
    <d v="2024-11-06T00:00:00"/>
    <n v="45"/>
    <m/>
    <s v="ENTREGUE"/>
    <m/>
    <m/>
    <m/>
    <m/>
    <m/>
  </r>
  <r>
    <s v="CONSERV"/>
    <x v="41"/>
    <x v="32"/>
    <x v="20"/>
    <s v="HAVANNA"/>
    <x v="31"/>
    <s v="AVENTAL OXFORD MODELO PADRÃO"/>
    <s v="AVENTAL"/>
    <s v="LEVE"/>
    <n v="16"/>
    <n v="25"/>
    <n v="400"/>
    <n v="0"/>
    <d v="2024-11-18T00:00:00"/>
    <n v="47"/>
    <m/>
    <s v="ENTREGUE"/>
    <m/>
    <m/>
    <m/>
    <m/>
    <m/>
  </r>
  <r>
    <s v="CONSERV"/>
    <x v="41"/>
    <x v="32"/>
    <x v="20"/>
    <s v="HAVANNA"/>
    <x v="31"/>
    <s v="FAIXA DE CABELO"/>
    <s v="FAIXA"/>
    <s v="LEVE"/>
    <n v="9"/>
    <n v="21"/>
    <n v="189"/>
    <n v="0"/>
    <d v="2024-11-18T00:00:00"/>
    <n v="47"/>
    <m/>
    <s v="ENTREGUE"/>
    <m/>
    <m/>
    <m/>
    <m/>
    <m/>
  </r>
  <r>
    <s v="CONSERV"/>
    <x v="41"/>
    <x v="32"/>
    <x v="20"/>
    <s v="HAVANNA"/>
    <x v="31"/>
    <s v="CAMISETA MALHA 100% ALGODÃO BABY LOOK"/>
    <s v="CAMISETA"/>
    <s v="LEVE"/>
    <n v="6"/>
    <n v="36.75"/>
    <n v="220.5"/>
    <n v="0"/>
    <d v="2024-11-18T00:00:00"/>
    <n v="47"/>
    <m/>
    <s v="ENTREGUE"/>
    <m/>
    <m/>
    <m/>
    <m/>
    <m/>
  </r>
  <r>
    <s v="CONSERV"/>
    <x v="41"/>
    <x v="32"/>
    <x v="20"/>
    <s v="HAVANNA"/>
    <x v="31"/>
    <s v="CAMISETA MALHA 100% ALGODÃO"/>
    <s v="CAMISETA"/>
    <s v="LEVE"/>
    <n v="2"/>
    <n v="36.75"/>
    <n v="73.5"/>
    <n v="0"/>
    <d v="2024-11-18T00:00:00"/>
    <n v="47"/>
    <m/>
    <s v="ENTREGUE"/>
    <m/>
    <m/>
    <m/>
    <m/>
    <m/>
  </r>
  <r>
    <s v="CONSERV"/>
    <x v="41"/>
    <x v="32"/>
    <x v="20"/>
    <s v="HAVANNA"/>
    <x v="31"/>
    <s v="CAMISETA MANGA LONGA MALHA 100% ALGODÃO"/>
    <s v="CAMISETA"/>
    <s v="LEVE"/>
    <n v="7"/>
    <n v="47.5"/>
    <n v="332.5"/>
    <n v="0"/>
    <d v="2024-11-18T00:00:00"/>
    <n v="47"/>
    <m/>
    <s v="ENTREGUE"/>
    <m/>
    <m/>
    <m/>
    <m/>
    <m/>
  </r>
  <r>
    <s v="CONSERV"/>
    <x v="41"/>
    <x v="32"/>
    <x v="20"/>
    <s v="HAVANNA"/>
    <x v="31"/>
    <s v="CALÇA BRIM"/>
    <s v="CALÇA"/>
    <s v="PESADA"/>
    <n v="6"/>
    <n v="75"/>
    <n v="450"/>
    <n v="0"/>
    <d v="2024-11-18T00:00:00"/>
    <n v="47"/>
    <m/>
    <s v="ENTREGUE"/>
    <m/>
    <m/>
    <m/>
    <m/>
    <m/>
  </r>
  <r>
    <s v="CONSERV"/>
    <x v="41"/>
    <x v="32"/>
    <x v="20"/>
    <s v="HAVANNA"/>
    <x v="31"/>
    <s v="CALÇA LEGGING"/>
    <s v="CALÇA"/>
    <s v="LEVE"/>
    <n v="4"/>
    <n v="65"/>
    <n v="260"/>
    <n v="0"/>
    <d v="2024-11-18T00:00:00"/>
    <n v="47"/>
    <m/>
    <s v="ENTREGUE"/>
    <m/>
    <m/>
    <m/>
    <m/>
    <m/>
  </r>
  <r>
    <s v="CONSERV"/>
    <x v="41"/>
    <x v="32"/>
    <x v="20"/>
    <s v="HAVANNA"/>
    <x v="31"/>
    <s v="BLUSA DE MOLETOM "/>
    <s v="MOLETOM"/>
    <s v="LEVE"/>
    <n v="4"/>
    <n v="85"/>
    <n v="340"/>
    <n v="0"/>
    <d v="2024-11-18T00:00:00"/>
    <n v="47"/>
    <m/>
    <s v="ENTREGUE"/>
    <m/>
    <m/>
    <m/>
    <m/>
    <m/>
  </r>
  <r>
    <s v="CONSERV"/>
    <x v="42"/>
    <x v="33"/>
    <x v="20"/>
    <s v="HAVANNA"/>
    <x v="32"/>
    <s v="AVENTAL OXFORD MODELO PADRÃO"/>
    <s v="AVENTAL"/>
    <s v="LEVE"/>
    <n v="13"/>
    <n v="25"/>
    <n v="325"/>
    <n v="0"/>
    <d v="2024-11-26T00:00:00"/>
    <n v="48"/>
    <m/>
    <s v="ENTREGUE"/>
    <m/>
    <m/>
    <m/>
    <m/>
    <m/>
  </r>
  <r>
    <s v="CONSERV"/>
    <x v="42"/>
    <x v="33"/>
    <x v="20"/>
    <s v="HAVANNA"/>
    <x v="32"/>
    <s v="CAMISETA MALHA 100% ALGODÃO BABY LOOK"/>
    <s v="CAMISETA"/>
    <s v="LEVE"/>
    <n v="7"/>
    <n v="36.75"/>
    <n v="257.25"/>
    <n v="0"/>
    <d v="2024-11-26T00:00:00"/>
    <n v="48"/>
    <m/>
    <s v="ENTREGUE"/>
    <m/>
    <m/>
    <m/>
    <m/>
    <m/>
  </r>
  <r>
    <s v="CONSERV"/>
    <x v="42"/>
    <x v="33"/>
    <x v="20"/>
    <s v="HAVANNA"/>
    <x v="32"/>
    <s v="CAMISETA MALHA 100% ALGODÃO"/>
    <s v="CAMISETA"/>
    <s v="LEVE"/>
    <n v="6"/>
    <n v="36.75"/>
    <n v="220.5"/>
    <n v="0"/>
    <d v="2024-11-26T00:00:00"/>
    <n v="48"/>
    <m/>
    <s v="ENTREGUE"/>
    <m/>
    <m/>
    <m/>
    <m/>
    <m/>
  </r>
  <r>
    <s v="CONSERV"/>
    <x v="43"/>
    <x v="34"/>
    <x v="20"/>
    <s v="HAVANNA"/>
    <x v="33"/>
    <s v="FAIXA DE CABELO"/>
    <s v="FAIXA"/>
    <s v="LEVE"/>
    <n v="6"/>
    <n v="21"/>
    <n v="126"/>
    <n v="0"/>
    <d v="2024-11-27T00:00:00"/>
    <n v="48"/>
    <m/>
    <s v="ENTREGUE"/>
    <m/>
    <m/>
    <m/>
    <m/>
    <m/>
  </r>
  <r>
    <s v="CONSERV"/>
    <x v="43"/>
    <x v="34"/>
    <x v="20"/>
    <s v="HAVANNA"/>
    <x v="33"/>
    <s v="CAMISETA MALHA 100% ALGODÃO"/>
    <s v="CAMISETA"/>
    <s v="LEVE"/>
    <n v="10"/>
    <n v="36.75"/>
    <n v="367.5"/>
    <n v="0"/>
    <d v="2024-11-27T00:00:00"/>
    <n v="48"/>
    <m/>
    <s v="ENTREGUE"/>
    <m/>
    <m/>
    <m/>
    <m/>
    <m/>
  </r>
  <r>
    <s v="CONSERV"/>
    <x v="44"/>
    <x v="35"/>
    <x v="20"/>
    <s v="HAVANNA"/>
    <x v="34"/>
    <s v="CAMISETA MALHA 100% ALGODÃO BABY LOOK"/>
    <s v="CAMISETA"/>
    <s v="LEVE"/>
    <n v="50"/>
    <n v="36.75"/>
    <n v="1837.5"/>
    <n v="0"/>
    <d v="2024-12-10T00:00:00"/>
    <n v="50"/>
    <m/>
    <s v="ENTREGUE"/>
    <m/>
    <m/>
    <m/>
    <m/>
    <m/>
  </r>
  <r>
    <s v="CONSERV"/>
    <x v="44"/>
    <x v="35"/>
    <x v="20"/>
    <s v="HAVANNA"/>
    <x v="34"/>
    <s v="CAMISETA MALHA 100% ALGODÃO"/>
    <s v="CAMISETA"/>
    <s v="LEVE"/>
    <n v="10"/>
    <n v="36.75"/>
    <n v="367.5"/>
    <n v="0"/>
    <d v="2024-12-10T00:00:00"/>
    <n v="50"/>
    <m/>
    <s v="ENTREGUE"/>
    <m/>
    <m/>
    <m/>
    <m/>
    <m/>
  </r>
  <r>
    <s v="CONSERV"/>
    <x v="44"/>
    <x v="35"/>
    <x v="20"/>
    <s v="HAVANNA"/>
    <x v="34"/>
    <s v="CAMISETA MANGA LONGA MALHA 100% ALGODÃO"/>
    <s v="CAMISETA"/>
    <s v="LEVE"/>
    <n v="26"/>
    <n v="47.5"/>
    <n v="1235"/>
    <n v="0"/>
    <d v="2024-12-10T00:00:00"/>
    <n v="50"/>
    <m/>
    <s v="ENTREGUE"/>
    <m/>
    <m/>
    <m/>
    <m/>
    <m/>
  </r>
  <r>
    <s v="CONSERV"/>
    <x v="45"/>
    <x v="36"/>
    <x v="21"/>
    <s v="HAVANNA"/>
    <x v="3"/>
    <s v="TOALHA DE MESA SUBLIMADA HAVANNA"/>
    <s v="TOALHA"/>
    <s v="LEVE"/>
    <n v="2"/>
    <n v="180"/>
    <n v="360"/>
    <n v="0"/>
    <d v="2024-11-11T00:00:00"/>
    <n v="46"/>
    <m/>
    <s v="ENTREGUE"/>
    <m/>
    <m/>
    <m/>
    <m/>
    <m/>
  </r>
  <r>
    <s v="CONSERV"/>
    <x v="46"/>
    <x v="37"/>
    <x v="21"/>
    <s v="HAVANNA"/>
    <x v="2"/>
    <s v="CAMISETA MALHA 100% ALGODÃO"/>
    <s v="CAMISETA"/>
    <s v="LEVE"/>
    <n v="6"/>
    <n v="36.75"/>
    <n v="220.5"/>
    <n v="0"/>
    <d v="2024-12-02T00:00:00"/>
    <n v="49"/>
    <m/>
    <s v="ENTREGUE"/>
    <m/>
    <m/>
    <m/>
    <m/>
    <m/>
  </r>
  <r>
    <s v="CONSERV"/>
    <x v="46"/>
    <x v="37"/>
    <x v="21"/>
    <s v="HAVANNA"/>
    <x v="2"/>
    <s v="CALÇA BRIM"/>
    <s v="CALÇA"/>
    <s v="PESADA"/>
    <n v="5"/>
    <n v="75"/>
    <n v="375"/>
    <n v="0"/>
    <d v="2024-12-02T00:00:00"/>
    <n v="49"/>
    <m/>
    <s v="ENTREGUE"/>
    <m/>
    <m/>
    <m/>
    <m/>
    <m/>
  </r>
  <r>
    <s v="CONSERV"/>
    <x v="46"/>
    <x v="37"/>
    <x v="21"/>
    <s v="HAVANNA"/>
    <x v="2"/>
    <s v="FAIXA DE CABELO"/>
    <s v="FAIXA"/>
    <s v="LEVE"/>
    <n v="3"/>
    <n v="21"/>
    <n v="63"/>
    <n v="0"/>
    <d v="2024-12-02T00:00:00"/>
    <n v="49"/>
    <m/>
    <s v="ENTREGUE"/>
    <m/>
    <m/>
    <m/>
    <m/>
    <m/>
  </r>
  <r>
    <s v="CONSERV"/>
    <x v="46"/>
    <x v="37"/>
    <x v="21"/>
    <s v="HAVANNA"/>
    <x v="2"/>
    <s v="AVENTAL OXFORD MODELO PADRÃO"/>
    <s v="AVENTAL"/>
    <s v="LEVE"/>
    <n v="6"/>
    <n v="25"/>
    <n v="150"/>
    <n v="0"/>
    <d v="2024-12-02T00:00:00"/>
    <n v="49"/>
    <m/>
    <s v="ENTREGUE"/>
    <m/>
    <m/>
    <m/>
    <m/>
    <m/>
  </r>
  <r>
    <s v="CONSERV"/>
    <x v="47"/>
    <x v="38"/>
    <x v="21"/>
    <s v="HAVANNA"/>
    <x v="9"/>
    <s v="CAMISETA MALHA 100% ALGODÃO"/>
    <s v="CAMISETA"/>
    <s v="LEVE"/>
    <n v="22"/>
    <n v="36.75"/>
    <n v="808.5"/>
    <n v="0"/>
    <d v="2024-11-27T00:00:00"/>
    <n v="48"/>
    <m/>
    <s v="ENTREGUE"/>
    <m/>
    <m/>
    <m/>
    <m/>
    <m/>
  </r>
  <r>
    <s v="CONSERV"/>
    <x v="48"/>
    <x v="39"/>
    <x v="22"/>
    <s v="HAVANNA"/>
    <x v="30"/>
    <s v="CAMISETA MALHA 100% ALGODÃO"/>
    <s v="CAMISETA"/>
    <s v="LEVE"/>
    <n v="10"/>
    <n v="36.75"/>
    <n v="367.5"/>
    <n v="0"/>
    <d v="2024-12-10T00:00:00"/>
    <n v="50"/>
    <m/>
    <s v="ENTREGUE"/>
    <m/>
    <m/>
    <m/>
    <m/>
    <m/>
  </r>
  <r>
    <s v="CONSERV"/>
    <x v="48"/>
    <x v="39"/>
    <x v="22"/>
    <s v="HAVANNA"/>
    <x v="30"/>
    <s v="CALÇA LEGGING"/>
    <s v="CALÇA"/>
    <s v="LEVE"/>
    <n v="8"/>
    <n v="65"/>
    <n v="520"/>
    <n v="0"/>
    <d v="2024-12-10T00:00:00"/>
    <n v="50"/>
    <m/>
    <s v="ENTREGUE"/>
    <m/>
    <m/>
    <m/>
    <m/>
    <m/>
  </r>
  <r>
    <s v="CONSERV"/>
    <x v="48"/>
    <x v="39"/>
    <x v="22"/>
    <s v="HAVANNA"/>
    <x v="30"/>
    <s v="AVENTAL OXFORD MODELO PADRÃO"/>
    <s v="AVENTAL"/>
    <s v="LEVE"/>
    <n v="6"/>
    <n v="25"/>
    <n v="150"/>
    <n v="0"/>
    <d v="2024-12-10T00:00:00"/>
    <n v="50"/>
    <m/>
    <s v="ENTREGUE"/>
    <m/>
    <m/>
    <m/>
    <m/>
    <m/>
  </r>
  <r>
    <s v="CONSERV"/>
    <x v="48"/>
    <x v="39"/>
    <x v="22"/>
    <s v="HAVANNA"/>
    <x v="30"/>
    <s v="FAIXA DE CABELO"/>
    <s v="FAIXA"/>
    <s v="LEVE"/>
    <n v="8"/>
    <n v="21"/>
    <n v="168"/>
    <n v="0"/>
    <d v="2024-12-10T00:00:00"/>
    <n v="50"/>
    <m/>
    <s v="ENTREGUE"/>
    <m/>
    <m/>
    <m/>
    <m/>
    <m/>
  </r>
  <r>
    <s v="CONSERV"/>
    <x v="49"/>
    <x v="40"/>
    <x v="22"/>
    <s v="HAVANNA"/>
    <x v="35"/>
    <s v="CALÇA LEGGING"/>
    <s v="CALÇA "/>
    <s v="LEVE"/>
    <n v="9"/>
    <n v="75"/>
    <n v="675"/>
    <n v="0"/>
    <d v="2025-01-06T00:00:00"/>
    <n v="2"/>
    <s v="OK"/>
    <s v="ENTREGUE"/>
    <n v="2.25"/>
    <m/>
    <n v="27"/>
    <n v="4.5"/>
    <n v="33.75"/>
  </r>
  <r>
    <s v="CONSERV"/>
    <x v="50"/>
    <x v="40"/>
    <x v="22"/>
    <s v="HAVANNA"/>
    <x v="10"/>
    <s v="CAMISETA MALHA 100% ALGODÃO"/>
    <s v="CAMISETA"/>
    <s v="LEVE"/>
    <n v="8"/>
    <n v="36.75"/>
    <n v="294"/>
    <n v="0"/>
    <d v="2025-01-03T00:00:00"/>
    <n v="1"/>
    <m/>
    <s v="ENTREGUE"/>
    <m/>
    <m/>
    <m/>
    <m/>
    <m/>
  </r>
  <r>
    <s v="CONSERV"/>
    <x v="50"/>
    <x v="40"/>
    <x v="22"/>
    <s v="HAVANNA"/>
    <x v="10"/>
    <s v="CALÇA BRIM"/>
    <s v="CALÇA"/>
    <s v="PESADA"/>
    <n v="8"/>
    <n v="75"/>
    <n v="600"/>
    <n v="0"/>
    <d v="2025-01-03T00:00:00"/>
    <n v="1"/>
    <m/>
    <s v="ENTREGUE"/>
    <m/>
    <m/>
    <m/>
    <m/>
    <m/>
  </r>
  <r>
    <s v="CONSERV"/>
    <x v="50"/>
    <x v="40"/>
    <x v="22"/>
    <s v="HAVANNA"/>
    <x v="10"/>
    <s v="CAMISETA MALHA 100% ALGODÃO BABY LOOK"/>
    <s v="CAMISETA"/>
    <s v="LEVE"/>
    <n v="12"/>
    <n v="36.75"/>
    <n v="441"/>
    <n v="0"/>
    <d v="2025-01-03T00:00:00"/>
    <n v="1"/>
    <m/>
    <s v="ENTREGUE"/>
    <m/>
    <m/>
    <m/>
    <m/>
    <m/>
  </r>
  <r>
    <s v="CONSERV"/>
    <x v="50"/>
    <x v="40"/>
    <x v="22"/>
    <s v="HAVANNA"/>
    <x v="10"/>
    <s v="CALÇA LEGGING"/>
    <s v="CALÇA"/>
    <s v="LEVE"/>
    <n v="12"/>
    <n v="65"/>
    <n v="780"/>
    <n v="0"/>
    <d v="2025-01-03T00:00:00"/>
    <n v="1"/>
    <m/>
    <s v="ENTREGUE"/>
    <m/>
    <m/>
    <m/>
    <m/>
    <m/>
  </r>
  <r>
    <s v="CONSERV"/>
    <x v="50"/>
    <x v="40"/>
    <x v="22"/>
    <s v="HAVANNA"/>
    <x v="10"/>
    <s v="FAIXA DE CABELO"/>
    <s v="FAIXA"/>
    <s v="LEVE"/>
    <n v="8"/>
    <n v="21"/>
    <n v="168"/>
    <n v="0"/>
    <d v="2025-01-03T00:00:00"/>
    <n v="1"/>
    <m/>
    <s v="ENTREGUE"/>
    <m/>
    <m/>
    <m/>
    <m/>
    <m/>
  </r>
  <r>
    <s v="CONSERV"/>
    <x v="50"/>
    <x v="40"/>
    <x v="22"/>
    <s v="HAVANNA"/>
    <x v="10"/>
    <s v="AVENTAL OXFORD MODELO PADRÃO"/>
    <s v="AVENTAL"/>
    <s v="LEVE"/>
    <n v="12"/>
    <n v="25"/>
    <n v="300"/>
    <n v="0"/>
    <d v="2025-01-03T00:00:00"/>
    <n v="1"/>
    <m/>
    <s v="ENTREGUE"/>
    <m/>
    <m/>
    <m/>
    <m/>
    <m/>
  </r>
  <r>
    <s v="CONSERV"/>
    <x v="51"/>
    <x v="40"/>
    <x v="22"/>
    <s v="HAVANNA"/>
    <x v="36"/>
    <s v="CAMISETA MALHA 100% ALGODÃO BABY LOOK"/>
    <s v="CAMISETA"/>
    <s v="LEVE"/>
    <n v="18"/>
    <n v="36.75"/>
    <n v="661.5"/>
    <n v="0"/>
    <d v="2024-12-10T00:00:00"/>
    <n v="50"/>
    <m/>
    <s v="ENTREGUE"/>
    <m/>
    <m/>
    <m/>
    <m/>
    <m/>
  </r>
  <r>
    <s v="CONSERV"/>
    <x v="51"/>
    <x v="40"/>
    <x v="22"/>
    <s v="HAVANNA"/>
    <x v="36"/>
    <s v="CAMISETA MALHA 100% ALGODÃO"/>
    <s v="CAMISETA"/>
    <s v="LEVE"/>
    <n v="8"/>
    <n v="36.75"/>
    <n v="294"/>
    <n v="0"/>
    <d v="2024-12-10T00:00:00"/>
    <n v="50"/>
    <m/>
    <s v="ENTREGUE"/>
    <m/>
    <m/>
    <m/>
    <m/>
    <m/>
  </r>
  <r>
    <s v="CONSERV"/>
    <x v="51"/>
    <x v="40"/>
    <x v="22"/>
    <s v="HAVANNA"/>
    <x v="36"/>
    <s v="AVENTAL OXFORD MODELO PADRÃO"/>
    <s v="AVENTAL"/>
    <s v="LEVE"/>
    <n v="10"/>
    <n v="25"/>
    <n v="250"/>
    <n v="0"/>
    <d v="2024-12-10T00:00:00"/>
    <n v="50"/>
    <m/>
    <s v="ENTREGUE"/>
    <m/>
    <m/>
    <m/>
    <m/>
    <m/>
  </r>
  <r>
    <s v="CONSERV"/>
    <x v="51"/>
    <x v="40"/>
    <x v="22"/>
    <s v="HAVANNA"/>
    <x v="36"/>
    <s v="FAIXA DE CABELO"/>
    <s v="FAIXA"/>
    <s v="LEVE"/>
    <n v="10"/>
    <n v="21"/>
    <n v="210"/>
    <n v="0"/>
    <d v="2024-12-10T00:00:00"/>
    <n v="50"/>
    <m/>
    <s v="ENTREGUE"/>
    <m/>
    <m/>
    <m/>
    <m/>
    <m/>
  </r>
  <r>
    <s v="CONSERV"/>
    <x v="52"/>
    <x v="41"/>
    <x v="23"/>
    <s v="HAVANNA"/>
    <x v="32"/>
    <s v="AVENTAL OXFORD MODELO PADRÃO"/>
    <s v="AVENTAL"/>
    <s v="LEVE"/>
    <n v="13"/>
    <n v="25"/>
    <n v="325"/>
    <n v="0"/>
    <d v="2025-01-24T00:00:00"/>
    <n v="4"/>
    <m/>
    <s v="ENTREGUE"/>
    <m/>
    <m/>
    <m/>
    <m/>
    <m/>
  </r>
  <r>
    <s v="CONSERV"/>
    <x v="52"/>
    <x v="41"/>
    <x v="23"/>
    <s v="HAVANNA"/>
    <x v="32"/>
    <s v="CAMISETA MALHA 100% ALGODÃO BABY LOOK"/>
    <s v="CAMISETA"/>
    <s v="LEVE"/>
    <n v="7"/>
    <n v="36.75"/>
    <n v="257.25"/>
    <n v="0"/>
    <d v="2025-01-24T00:00:00"/>
    <n v="4"/>
    <m/>
    <s v="ENTREGUE"/>
    <m/>
    <m/>
    <m/>
    <m/>
    <m/>
  </r>
  <r>
    <s v="CONSERV"/>
    <x v="52"/>
    <x v="41"/>
    <x v="23"/>
    <s v="HAVANNA"/>
    <x v="32"/>
    <s v="CAMISETA MALHA 100% ALGODÃO"/>
    <s v="CAMISETA"/>
    <s v="LEVE"/>
    <n v="6"/>
    <n v="36.75"/>
    <n v="220.5"/>
    <n v="0"/>
    <d v="2025-01-24T00:00:00"/>
    <n v="4"/>
    <m/>
    <s v="ENTREGUE"/>
    <m/>
    <m/>
    <m/>
    <m/>
    <m/>
  </r>
  <r>
    <s v="CONSERV"/>
    <x v="53"/>
    <x v="42"/>
    <x v="23"/>
    <s v="HAVANNA"/>
    <x v="17"/>
    <s v="CAMISETA MANGA LONGA MALHA 100% ALGODÃO"/>
    <s v="CAMISETA"/>
    <s v="LEVE"/>
    <n v="3"/>
    <n v="47.5"/>
    <n v="142.5"/>
    <n v="0"/>
    <d v="2024-11-29T00:00:00"/>
    <n v="48"/>
    <m/>
    <s v="ENTREGUE"/>
    <m/>
    <m/>
    <m/>
    <m/>
    <m/>
  </r>
  <r>
    <s v="CONSERV"/>
    <x v="53"/>
    <x v="42"/>
    <x v="23"/>
    <s v="HAVANNA"/>
    <x v="17"/>
    <s v="BLUSA DE MOLETOM "/>
    <s v="MOLETOM"/>
    <s v="LEVE"/>
    <n v="1"/>
    <n v="79.099999999999994"/>
    <n v="79.099999999999994"/>
    <n v="0"/>
    <d v="2024-11-29T00:00:00"/>
    <n v="48"/>
    <m/>
    <s v="ENTREGUE"/>
    <m/>
    <m/>
    <m/>
    <m/>
    <m/>
  </r>
  <r>
    <s v="CONSERV"/>
    <x v="53"/>
    <x v="42"/>
    <x v="23"/>
    <s v="HAVANNA"/>
    <x v="17"/>
    <s v="FAIXA DE CABELO"/>
    <s v="FAIXA"/>
    <s v="LEVE"/>
    <n v="5"/>
    <n v="21"/>
    <n v="105"/>
    <n v="0"/>
    <d v="2024-11-29T00:00:00"/>
    <n v="48"/>
    <m/>
    <s v="ENTREGUE"/>
    <m/>
    <m/>
    <m/>
    <m/>
    <m/>
  </r>
  <r>
    <s v="CONSERV"/>
    <x v="54"/>
    <x v="43"/>
    <x v="24"/>
    <s v="COSMÉTICO"/>
    <x v="37"/>
    <s v="KIMONO CETIM"/>
    <s v="KIMONO"/>
    <s v="PESADA"/>
    <n v="100"/>
    <m/>
    <m/>
    <n v="0"/>
    <d v="2025-01-06T00:00:00"/>
    <n v="2"/>
    <s v="OK"/>
    <s v="ENTREGUE"/>
    <n v="25"/>
    <n v="150"/>
    <n v="527"/>
    <n v="50"/>
    <n v="752"/>
  </r>
  <r>
    <s v="CONSERV"/>
    <x v="55"/>
    <x v="44"/>
    <x v="24"/>
    <s v="HAVANNA"/>
    <x v="4"/>
    <s v="CAMISETA MALHA 100% ALGODÃO BABY LOOK"/>
    <s v="CAMISETA"/>
    <s v="LEVE"/>
    <n v="4"/>
    <n v="36.75"/>
    <n v="147"/>
    <n v="0"/>
    <d v="2024-12-10T00:00:00"/>
    <n v="50"/>
    <m/>
    <s v="ENTREGUE"/>
    <m/>
    <m/>
    <m/>
    <m/>
    <m/>
  </r>
  <r>
    <s v="CONSERV"/>
    <x v="55"/>
    <x v="44"/>
    <x v="24"/>
    <s v="HAVANNA"/>
    <x v="4"/>
    <s v="CAMISETA MALHA 100% ALGODÃO"/>
    <s v="CAMISETA"/>
    <s v="LEVE"/>
    <n v="18"/>
    <n v="36.75"/>
    <n v="661.5"/>
    <n v="0"/>
    <d v="2024-12-10T00:00:00"/>
    <n v="50"/>
    <m/>
    <s v="ENTREGUE"/>
    <m/>
    <m/>
    <m/>
    <m/>
    <m/>
  </r>
  <r>
    <s v="CONSERV"/>
    <x v="55"/>
    <x v="44"/>
    <x v="24"/>
    <s v="HAVANNA"/>
    <x v="4"/>
    <s v="AVENTAL OXFORD MODELO PADRÃO"/>
    <s v="AVENTAL"/>
    <s v="LEVE"/>
    <n v="10"/>
    <n v="25"/>
    <n v="250"/>
    <n v="0"/>
    <d v="2024-12-10T00:00:00"/>
    <n v="50"/>
    <m/>
    <s v="ENTREGUE"/>
    <m/>
    <m/>
    <m/>
    <m/>
    <m/>
  </r>
  <r>
    <s v="CONSERV"/>
    <x v="55"/>
    <x v="44"/>
    <x v="24"/>
    <s v="HAVANNA"/>
    <x v="4"/>
    <s v="FAIXA DE CABELO"/>
    <s v="FAIXA"/>
    <s v="LEVE"/>
    <n v="4"/>
    <n v="21"/>
    <n v="84"/>
    <n v="0"/>
    <d v="2024-12-10T00:00:00"/>
    <n v="50"/>
    <m/>
    <s v="ENTREGUE"/>
    <m/>
    <m/>
    <m/>
    <m/>
    <m/>
  </r>
  <r>
    <s v="CONSERV"/>
    <x v="56"/>
    <x v="44"/>
    <x v="24"/>
    <s v="HAVANNA"/>
    <x v="3"/>
    <s v="AVENTAL OXFORD MODELO PADRÃO"/>
    <s v="AVENTAL"/>
    <s v="LEVE"/>
    <n v="40"/>
    <n v="25"/>
    <n v="1000"/>
    <n v="0"/>
    <d v="2025-01-02T00:00:00"/>
    <n v="1"/>
    <m/>
    <s v="ENTREGUE"/>
    <m/>
    <m/>
    <m/>
    <m/>
    <m/>
  </r>
  <r>
    <s v="CONSERV"/>
    <x v="56"/>
    <x v="44"/>
    <x v="24"/>
    <s v="HAVANNA"/>
    <x v="3"/>
    <s v="CAMISETA MALHA 100% ALGODÃO"/>
    <s v="CAMISETA"/>
    <s v="LEVE"/>
    <n v="75"/>
    <n v="36.75"/>
    <n v="2756.25"/>
    <n v="0"/>
    <d v="2025-01-02T00:00:00"/>
    <n v="1"/>
    <m/>
    <s v="ENTREGUE"/>
    <m/>
    <m/>
    <m/>
    <m/>
    <m/>
  </r>
  <r>
    <s v="CONSERV"/>
    <x v="56"/>
    <x v="44"/>
    <x v="24"/>
    <s v="HAVANNA"/>
    <x v="3"/>
    <s v="AVENTAL OXFORD MODELO PADRÃO"/>
    <s v="AVENTAL"/>
    <s v="LEVE"/>
    <n v="40"/>
    <n v="25"/>
    <n v="1000"/>
    <n v="0"/>
    <d v="2025-01-06T00:00:00"/>
    <n v="2"/>
    <s v="OK"/>
    <s v="ENTREGUE"/>
    <n v="10"/>
    <n v="28"/>
    <n v="60"/>
    <n v="20"/>
    <n v="118"/>
  </r>
  <r>
    <s v="CONSERV"/>
    <x v="56"/>
    <x v="44"/>
    <x v="24"/>
    <s v="HAVANNA"/>
    <x v="3"/>
    <s v="CAMISETA MALHA 100% ALGODÃO"/>
    <s v="CAMISETA"/>
    <s v="LEVE"/>
    <n v="75"/>
    <n v="36.75"/>
    <n v="2756.25"/>
    <n v="0"/>
    <d v="2025-01-06T00:00:00"/>
    <n v="2"/>
    <s v="OK"/>
    <s v="ENTREGUE"/>
    <n v="18.75"/>
    <n v="28.125"/>
    <n v="112.5"/>
    <n v="37.5"/>
    <n v="196.875"/>
  </r>
  <r>
    <s v="CONSERV"/>
    <x v="57"/>
    <x v="44"/>
    <x v="24"/>
    <s v="COSMÉTICO"/>
    <x v="38"/>
    <s v="NECESSAIRE NYLON 70 PHOTON LIZZE"/>
    <s v="NECESSAIRE"/>
    <s v="PESADA"/>
    <n v="2000"/>
    <m/>
    <m/>
    <n v="0"/>
    <d v="2025-01-10T00:00:00"/>
    <n v="2"/>
    <s v="OK"/>
    <s v="ENTREGUE"/>
    <n v="500"/>
    <n v="2000"/>
    <n v="3000"/>
    <n v="1000"/>
    <n v="6500"/>
  </r>
  <r>
    <s v="CONSERV"/>
    <x v="57"/>
    <x v="44"/>
    <x v="24"/>
    <s v="COSMÉTICO"/>
    <x v="38"/>
    <s v="NECESSAIRE NYLON 70 EXTREME "/>
    <s v="NECESSAIRE"/>
    <s v="PESADA"/>
    <n v="2000"/>
    <m/>
    <m/>
    <n v="0"/>
    <d v="2025-01-10T00:00:00"/>
    <n v="2"/>
    <s v="OK"/>
    <s v="ENTREGUE"/>
    <n v="500"/>
    <n v="2000"/>
    <n v="3000"/>
    <n v="1000"/>
    <n v="6500"/>
  </r>
  <r>
    <s v="CONSERV"/>
    <x v="58"/>
    <x v="45"/>
    <x v="25"/>
    <s v="HAVANNA"/>
    <x v="21"/>
    <s v="AVENTAL OXFORD MODELO PADRÃO"/>
    <s v="AVENTAL"/>
    <s v="LEVE"/>
    <n v="10"/>
    <n v="25"/>
    <n v="250"/>
    <n v="0"/>
    <d v="2025-01-08T00:00:00"/>
    <n v="2"/>
    <m/>
    <s v="ENTREGUE"/>
    <m/>
    <m/>
    <m/>
    <m/>
    <m/>
  </r>
  <r>
    <s v="CONSERV"/>
    <x v="58"/>
    <x v="45"/>
    <x v="25"/>
    <s v="HAVANNA"/>
    <x v="21"/>
    <s v="FAIXA DE CABELO"/>
    <s v="FAIXA"/>
    <s v="LEVE"/>
    <n v="10"/>
    <n v="21"/>
    <n v="210"/>
    <n v="0"/>
    <d v="2025-01-08T00:00:00"/>
    <n v="2"/>
    <m/>
    <s v="ENTREGUE"/>
    <m/>
    <m/>
    <m/>
    <m/>
    <m/>
  </r>
  <r>
    <s v="CONSERV"/>
    <x v="59"/>
    <x v="46"/>
    <x v="25"/>
    <s v="COSMÉTICO"/>
    <x v="37"/>
    <s v="AVENTAL NY 210"/>
    <s v="AVENTAL"/>
    <s v="LEVE"/>
    <n v="150"/>
    <m/>
    <m/>
    <n v="0"/>
    <d v="2025-01-06T00:00:00"/>
    <n v="2"/>
    <s v="OK"/>
    <s v="ENTREGUE"/>
    <n v="37.5"/>
    <n v="105"/>
    <n v="276"/>
    <n v="75"/>
    <n v="493.5"/>
  </r>
  <r>
    <s v="CONSERV"/>
    <x v="60"/>
    <x v="46"/>
    <x v="25"/>
    <s v="COMÉRCIO"/>
    <x v="39"/>
    <s v="SACO DE ALGODAO "/>
    <s v="SACO"/>
    <s v="LEVE "/>
    <n v="200"/>
    <m/>
    <m/>
    <n v="0"/>
    <d v="2025-01-07T00:00:00"/>
    <n v="2"/>
    <s v="OK"/>
    <s v="ENTREGUE"/>
    <n v="50"/>
    <n v="100"/>
    <n v="160"/>
    <n v="100"/>
    <n v="410"/>
  </r>
  <r>
    <s v="CONSERV"/>
    <x v="61"/>
    <x v="46"/>
    <x v="25"/>
    <s v="COMÉRCIO"/>
    <x v="40"/>
    <s v="NECESSAIRE NY PLASTIFICADO"/>
    <s v="NECESSAIRE"/>
    <s v="PESADA"/>
    <n v="300"/>
    <n v="23"/>
    <n v="6900"/>
    <n v="0"/>
    <d v="2025-01-13T00:00:00"/>
    <n v="3"/>
    <s v="OK"/>
    <s v="ENTREGUE"/>
    <n v="75"/>
    <n v="180"/>
    <n v="1500"/>
    <n v="150"/>
    <n v="1905"/>
  </r>
  <r>
    <s v="CONSERV"/>
    <x v="62"/>
    <x v="47"/>
    <x v="26"/>
    <s v="PET"/>
    <x v="41"/>
    <s v="JALECO BICOLOR TACTEL "/>
    <s v="JALECO"/>
    <s v="LEVE"/>
    <n v="50"/>
    <m/>
    <m/>
    <n v="0"/>
    <d v="2025-01-17T00:00:00"/>
    <n v="3"/>
    <s v="OK"/>
    <s v="ENTREGUE"/>
    <n v="12.5"/>
    <m/>
    <n v="500"/>
    <n v="25"/>
    <n v="537.5"/>
  </r>
  <r>
    <s v="CONSERV"/>
    <x v="63"/>
    <x v="48"/>
    <x v="26"/>
    <s v="COSMÉTICO"/>
    <x v="42"/>
    <s v="AVENTAL LONITA COM COURO"/>
    <s v="AVENTAL"/>
    <s v="PESADA"/>
    <n v="1100"/>
    <m/>
    <m/>
    <n v="0"/>
    <d v="2025-01-14T00:00:00"/>
    <n v="3"/>
    <s v="OK"/>
    <s v="ENTREGUE"/>
    <n v="275"/>
    <n v="1100"/>
    <n v="3300"/>
    <n v="550"/>
    <n v="5225"/>
  </r>
  <r>
    <s v="CONSERV"/>
    <x v="64"/>
    <x v="49"/>
    <x v="27"/>
    <s v="PET"/>
    <x v="43"/>
    <s v="SACOLA ALGODAO BRIM 40L X 45A"/>
    <s v="SACOLA"/>
    <s v="LEVE"/>
    <n v="250"/>
    <m/>
    <m/>
    <n v="0"/>
    <d v="2025-02-13T00:00:00"/>
    <n v="7"/>
    <s v="OK"/>
    <s v="ENTREGUE"/>
    <n v="62.5"/>
    <n v="150"/>
    <n v="250"/>
    <n v="125"/>
    <n v="587.5"/>
  </r>
  <r>
    <s v="CONSERV"/>
    <x v="64"/>
    <x v="49"/>
    <x v="27"/>
    <s v="PET"/>
    <x v="44"/>
    <s v="AVENTAL NY  EMBORRACHADO AZUL "/>
    <s v="AVENTAL"/>
    <s v="LEVE"/>
    <n v="1000"/>
    <m/>
    <m/>
    <n v="0"/>
    <d v="2025-01-07T00:00:00"/>
    <n v="2"/>
    <s v="OK"/>
    <s v="ENTREGUE"/>
    <n v="250"/>
    <n v="1000"/>
    <n v="1650"/>
    <n v="500"/>
    <n v="3400"/>
  </r>
  <r>
    <s v="LETICIA"/>
    <x v="65"/>
    <x v="49"/>
    <x v="27"/>
    <s v="PET"/>
    <x v="44"/>
    <s v="PASTA NOTEBOOK "/>
    <s v="PASTA"/>
    <s v="PESADA"/>
    <n v="270"/>
    <n v="40"/>
    <n v="0"/>
    <n v="0"/>
    <d v="2025-02-18T00:00:00"/>
    <n v="8"/>
    <m/>
    <s v="ENTREGUE"/>
    <n v="67.5"/>
    <n v="189"/>
    <n v="810"/>
    <n v="135"/>
    <n v="1201.5"/>
  </r>
  <r>
    <s v="CONSERV"/>
    <x v="66"/>
    <x v="50"/>
    <x v="0"/>
    <s v="COSMÉTICO"/>
    <x v="0"/>
    <s v="CAPA DE CORTE TACTEL 1,40X 1,50"/>
    <s v="CAPA"/>
    <s v="LEVE "/>
    <n v="200"/>
    <n v="24.5"/>
    <n v="4900"/>
    <n v="0"/>
    <d v="2025-01-20T00:00:00"/>
    <n v="4"/>
    <s v="OK"/>
    <s v="ENTREGUE"/>
    <n v="50"/>
    <n v="200"/>
    <n v="300"/>
    <n v="100"/>
    <n v="650"/>
  </r>
  <r>
    <s v="CONSERV"/>
    <x v="66"/>
    <x v="50"/>
    <x v="0"/>
    <s v="COSMÉTICO"/>
    <x v="45"/>
    <s v="SAQUINHO DE ALGODÃO "/>
    <s v="SAQUINHO"/>
    <s v="LEVE"/>
    <n v="600"/>
    <m/>
    <m/>
    <n v="0"/>
    <d v="2025-01-16T00:00:00"/>
    <n v="3"/>
    <s v="OK"/>
    <s v="ENTREGUE"/>
    <n v="150"/>
    <m/>
    <m/>
    <n v="300"/>
    <n v="450"/>
  </r>
  <r>
    <s v="CONSERV"/>
    <x v="67"/>
    <x v="51"/>
    <x v="28"/>
    <s v="HAVANNA"/>
    <x v="46"/>
    <s v="AVENTAL OXFORD MODELO PADRÃO"/>
    <s v="AVENTAL"/>
    <s v="LEVE"/>
    <n v="2"/>
    <n v="25"/>
    <n v="50"/>
    <n v="0"/>
    <d v="2025-02-05T00:00:00"/>
    <n v="6"/>
    <s v="OK"/>
    <s v="ENTREGUE"/>
    <n v="0.5"/>
    <n v="1.4"/>
    <n v="3"/>
    <n v="1"/>
    <n v="5.9"/>
  </r>
  <r>
    <s v="CONSERV"/>
    <x v="67"/>
    <x v="51"/>
    <x v="28"/>
    <s v="HAVANNA"/>
    <x v="46"/>
    <s v="FAIXA DE CABELO"/>
    <s v="FAIXA"/>
    <s v="LEVE"/>
    <n v="2"/>
    <n v="21"/>
    <n v="42"/>
    <n v="0"/>
    <d v="2025-02-05T00:00:00"/>
    <n v="6"/>
    <s v="OK"/>
    <s v="ENTREGUE"/>
    <n v="0.5"/>
    <n v="2"/>
    <n v="2.4"/>
    <n v="1"/>
    <n v="5.9"/>
  </r>
  <r>
    <s v="CONSERV"/>
    <x v="67"/>
    <x v="51"/>
    <x v="28"/>
    <s v="HAVANNA"/>
    <x v="46"/>
    <s v="CAMISETA MALHA 100% ALGODÃO"/>
    <s v="CAMISETA"/>
    <s v="LEVE"/>
    <n v="2"/>
    <n v="36.75"/>
    <n v="73.5"/>
    <n v="0"/>
    <d v="2025-02-05T00:00:00"/>
    <n v="6"/>
    <s v="OK"/>
    <s v="ENTREGUE"/>
    <n v="0.5"/>
    <n v="0.75"/>
    <n v="3"/>
    <n v="1"/>
    <n v="5.25"/>
  </r>
  <r>
    <s v="CONSERV"/>
    <x v="67"/>
    <x v="51"/>
    <x v="28"/>
    <s v="HAVANNA"/>
    <x v="46"/>
    <s v="BABY LOOK FEMININA MALHA 100% ALGODAO"/>
    <s v="BABY LOOK"/>
    <s v="LEVE"/>
    <n v="6"/>
    <n v="36.75"/>
    <n v="220.5"/>
    <n v="0"/>
    <d v="2025-02-05T00:00:00"/>
    <n v="6"/>
    <s v="OK"/>
    <s v="ENTREGUE"/>
    <n v="1.5"/>
    <n v="2.25"/>
    <n v="9"/>
    <n v="3"/>
    <n v="15.75"/>
  </r>
  <r>
    <s v="CONSERV"/>
    <x v="67"/>
    <x v="51"/>
    <x v="28"/>
    <s v="HAVANNA"/>
    <x v="46"/>
    <s v="CAMISETA MALHA 100% ALGODÃO"/>
    <s v="CAMISETA"/>
    <s v="LEVE"/>
    <n v="2"/>
    <n v="36.75"/>
    <n v="73.5"/>
    <n v="0"/>
    <d v="2025-02-05T00:00:00"/>
    <n v="6"/>
    <s v="OK"/>
    <s v="ENTREGUE"/>
    <n v="0.5"/>
    <n v="0.75"/>
    <n v="3"/>
    <n v="1"/>
    <n v="5.25"/>
  </r>
  <r>
    <s v="CONSERV"/>
    <x v="68"/>
    <x v="51"/>
    <x v="28"/>
    <s v="PET"/>
    <x v="41"/>
    <s v="AVENTAL NY EMBORRACHADO"/>
    <s v="AVENTAL"/>
    <s v="LEVE"/>
    <n v="250"/>
    <m/>
    <m/>
    <n v="0"/>
    <d v="2025-01-20T00:00:00"/>
    <n v="4"/>
    <m/>
    <s v="ENTREGUE"/>
    <n v="62.5"/>
    <n v="250"/>
    <n v="460"/>
    <n v="125"/>
    <n v="897.5"/>
  </r>
  <r>
    <s v="CONSERV"/>
    <x v="69"/>
    <x v="52"/>
    <x v="28"/>
    <s v="COMÉRCIO"/>
    <x v="47"/>
    <s v="CAPA DE CORTE TACTEL 1,40X 1,50"/>
    <s v="CAPA"/>
    <s v="LEVE"/>
    <n v="20"/>
    <m/>
    <m/>
    <n v="0"/>
    <d v="2025-02-07T00:00:00"/>
    <n v="6"/>
    <s v="OK"/>
    <s v="ENTREGUE"/>
    <n v="5"/>
    <n v="20"/>
    <n v="30"/>
    <n v="10"/>
    <n v="65"/>
  </r>
  <r>
    <s v="CONSERV"/>
    <x v="69"/>
    <x v="52"/>
    <x v="28"/>
    <s v="COMÉRCIO"/>
    <x v="47"/>
    <s v="POLO PIQUET "/>
    <s v="POLO"/>
    <s v="LEVE"/>
    <n v="12"/>
    <m/>
    <m/>
    <n v="0"/>
    <d v="2025-02-07T00:00:00"/>
    <n v="6"/>
    <s v="OK"/>
    <s v="ENTREGUE"/>
    <n v="3"/>
    <n v="12"/>
    <n v="36"/>
    <n v="6"/>
    <n v="57"/>
  </r>
  <r>
    <s v="CONSERV"/>
    <x v="69"/>
    <x v="52"/>
    <x v="28"/>
    <s v="COMÉRCIO"/>
    <x v="47"/>
    <s v="CAMISETA MALHA PV "/>
    <s v="CAMISETA"/>
    <s v="LEVE"/>
    <n v="12"/>
    <m/>
    <m/>
    <n v="0"/>
    <d v="2025-02-07T00:00:00"/>
    <n v="6"/>
    <s v="OK"/>
    <s v="ENTREGUE"/>
    <n v="3"/>
    <n v="4.5"/>
    <n v="18"/>
    <n v="6"/>
    <n v="31.5"/>
  </r>
  <r>
    <s v="CONSERV"/>
    <x v="70"/>
    <x v="53"/>
    <x v="28"/>
    <s v="COMÉRCIO"/>
    <x v="48"/>
    <s v="LENÇO SUBLIMADO "/>
    <s v="LENÇO"/>
    <s v="LEVE"/>
    <n v="1000"/>
    <m/>
    <m/>
    <n v="0"/>
    <d v="2025-01-31T00:00:00"/>
    <n v="5"/>
    <s v="OK"/>
    <s v="ENTREGUE"/>
    <n v="250"/>
    <m/>
    <n v="1500"/>
    <n v="500"/>
    <n v="2250"/>
  </r>
  <r>
    <s v="CONSERV"/>
    <x v="71"/>
    <x v="54"/>
    <x v="29"/>
    <s v="COMÉRCIO"/>
    <x v="49"/>
    <s v="SACOLA ALGODAO 30,5 X 37,5"/>
    <s v="SACOLA "/>
    <s v="LEVE "/>
    <n v="1000"/>
    <m/>
    <m/>
    <n v="0"/>
    <d v="2025-02-07T00:00:00"/>
    <n v="6"/>
    <s v="OK"/>
    <s v="ENTREGUE"/>
    <n v="250"/>
    <n v="600"/>
    <n v="1000"/>
    <n v="500"/>
    <n v="2350"/>
  </r>
  <r>
    <s v="CONSERV"/>
    <x v="72"/>
    <x v="54"/>
    <x v="29"/>
    <s v="PET"/>
    <x v="50"/>
    <s v="AVENTAL NY EMBORRACHADO"/>
    <s v="AVENTAL"/>
    <s v="LEVE "/>
    <n v="240"/>
    <n v="25"/>
    <n v="6000"/>
    <n v="0"/>
    <d v="2025-02-10T00:00:00"/>
    <n v="7"/>
    <m/>
    <s v="ENTREGUE"/>
    <n v="60"/>
    <n v="240"/>
    <n v="441.6"/>
    <n v="120"/>
    <n v="861.6"/>
  </r>
  <r>
    <s v="CONSERV"/>
    <x v="73"/>
    <x v="55"/>
    <x v="29"/>
    <s v="COMÉRCIO"/>
    <x v="51"/>
    <s v="CAMISETA MALHA 100% ALGODÃO "/>
    <s v="CAMISETA"/>
    <s v="LEVE"/>
    <n v="20"/>
    <m/>
    <m/>
    <n v="0"/>
    <d v="2025-02-12T00:00:00"/>
    <n v="7"/>
    <m/>
    <s v="ENTREGUE"/>
    <n v="5"/>
    <n v="7.5"/>
    <n v="30"/>
    <n v="10"/>
    <n v="52.5"/>
  </r>
  <r>
    <s v="LETICIA"/>
    <x v="74"/>
    <x v="56"/>
    <x v="29"/>
    <s v="COSMÉTICO"/>
    <x v="52"/>
    <s v="AVENTAL NY 210"/>
    <s v="AVENTAL"/>
    <s v="LEVE"/>
    <n v="1000"/>
    <n v="18"/>
    <n v="18000"/>
    <n v="0"/>
    <d v="2025-02-17T00:00:00"/>
    <n v="8"/>
    <m/>
    <s v="ENTREGUE"/>
    <n v="250"/>
    <n v="700"/>
    <n v="1840"/>
    <n v="500"/>
    <n v="3290"/>
  </r>
  <r>
    <s v="LETICIA"/>
    <x v="74"/>
    <x v="56"/>
    <x v="29"/>
    <s v="COSMÉTICO"/>
    <x v="52"/>
    <s v="CAPA DE CORTE TACTEL 1,40X 1,50"/>
    <s v="CAPA"/>
    <s v="LEVE "/>
    <n v="1000"/>
    <n v="24.5"/>
    <n v="24500"/>
    <n v="0"/>
    <d v="2025-02-17T00:00:00"/>
    <n v="8"/>
    <m/>
    <s v="ENTREGUE"/>
    <n v="250"/>
    <n v="1000"/>
    <n v="1500"/>
    <n v="500"/>
    <n v="3250"/>
  </r>
  <r>
    <s v="CONSERV"/>
    <x v="75"/>
    <x v="56"/>
    <x v="29"/>
    <s v="PET"/>
    <x v="41"/>
    <s v="AVENTAL NY EMBORRACHADO"/>
    <s v="AVENTAL"/>
    <s v="LEVE"/>
    <n v="250"/>
    <m/>
    <m/>
    <n v="0"/>
    <d v="2025-02-13T00:00:00"/>
    <n v="7"/>
    <m/>
    <s v="ENTREGUE"/>
    <n v="62.5"/>
    <n v="250"/>
    <n v="460"/>
    <n v="125"/>
    <n v="897.5"/>
  </r>
  <r>
    <s v="CONSERV"/>
    <x v="76"/>
    <x v="57"/>
    <x v="29"/>
    <s v="COSMÉTICO"/>
    <x v="53"/>
    <s v="AVENTAL BARBEIRO COURO SINTETICO "/>
    <s v="AVENTAL"/>
    <s v="PESADA"/>
    <n v="100"/>
    <n v="67"/>
    <n v="6700"/>
    <n v="0"/>
    <d v="2025-02-10T00:00:00"/>
    <n v="7"/>
    <m/>
    <s v="ENTREGUE"/>
    <n v="25"/>
    <n v="100"/>
    <n v="300"/>
    <n v="50"/>
    <n v="475"/>
  </r>
  <r>
    <s v="CONSERV"/>
    <x v="77"/>
    <x v="57"/>
    <x v="29"/>
    <s v="PET"/>
    <x v="43"/>
    <s v="SACOLA NYLON 600 35X 40 X 18"/>
    <s v="SACOLA "/>
    <s v="PESADA"/>
    <n v="300"/>
    <m/>
    <m/>
    <n v="0"/>
    <d v="2025-01-18T00:00:00"/>
    <n v="3"/>
    <m/>
    <s v="ENTREGUE"/>
    <n v="75"/>
    <n v="180"/>
    <n v="450"/>
    <n v="150"/>
    <n v="855"/>
  </r>
  <r>
    <s v="CONSERV"/>
    <x v="78"/>
    <x v="57"/>
    <x v="29"/>
    <s v="PET"/>
    <x v="43"/>
    <s v="CAMISETA GOLA CARECA "/>
    <s v="CAMISETA"/>
    <s v="LEVE"/>
    <n v="275"/>
    <n v="21"/>
    <n v="5775"/>
    <n v="0"/>
    <d v="2025-02-28T00:00:00"/>
    <n v="9"/>
    <m/>
    <s v="ENTREGUE"/>
    <n v="68.75"/>
    <n v="103.125"/>
    <n v="412.5"/>
    <n v="137.5"/>
    <n v="721.875"/>
  </r>
  <r>
    <s v="CONSERV"/>
    <x v="78"/>
    <x v="57"/>
    <x v="29"/>
    <s v="PET"/>
    <x v="43"/>
    <s v="CAMISETA GOLA CARECA "/>
    <s v="CAMISETA"/>
    <s v="LEVE"/>
    <n v="300"/>
    <n v="21"/>
    <n v="6300"/>
    <n v="0"/>
    <d v="2025-02-28T00:00:00"/>
    <n v="9"/>
    <m/>
    <s v="ENTREGUE"/>
    <n v="75"/>
    <n v="112.5"/>
    <n v="450"/>
    <n v="150"/>
    <n v="787.5"/>
  </r>
  <r>
    <s v="CONSERV"/>
    <x v="79"/>
    <x v="57"/>
    <x v="29"/>
    <s v="PET"/>
    <x v="43"/>
    <s v="CAPA DE CADEIRA HELANCA 40X40 "/>
    <s v="CAPA"/>
    <s v="LEVE"/>
    <n v="250"/>
    <m/>
    <m/>
    <n v="0"/>
    <d v="2025-02-14T00:00:00"/>
    <n v="7"/>
    <m/>
    <s v="ENTREGUE"/>
    <n v="62.5"/>
    <m/>
    <n v="250"/>
    <n v="125"/>
    <n v="437.5"/>
  </r>
  <r>
    <s v="CONSERV"/>
    <x v="79"/>
    <x v="57"/>
    <x v="29"/>
    <s v="PET"/>
    <x v="43"/>
    <s v="CAPA DE CADEIRA HELANCA 40X40 "/>
    <s v="CAPA"/>
    <s v="LEVE"/>
    <n v="500"/>
    <n v="11.5"/>
    <n v="5750"/>
    <n v="0"/>
    <d v="2025-02-14T00:00:00"/>
    <n v="7"/>
    <m/>
    <s v="ENTREGUE"/>
    <n v="125"/>
    <m/>
    <n v="500"/>
    <n v="250"/>
    <n v="875"/>
  </r>
  <r>
    <s v="CONSERV"/>
    <x v="80"/>
    <x v="58"/>
    <x v="30"/>
    <s v="HAVANNA"/>
    <x v="54"/>
    <s v="CAMISETA MALHA 100% ALGODÃO"/>
    <s v="CAMISETA"/>
    <s v="LEVE "/>
    <n v="5"/>
    <n v="36.75"/>
    <n v="183.75"/>
    <n v="0"/>
    <d v="2025-02-23T00:00:00"/>
    <n v="9"/>
    <m/>
    <s v="ENTREGUE"/>
    <n v="1.25"/>
    <n v="1.875"/>
    <n v="7.5"/>
    <n v="2.5"/>
    <n v="13.125"/>
  </r>
  <r>
    <s v="CONSERV"/>
    <x v="80"/>
    <x v="58"/>
    <x v="30"/>
    <s v="HAVANNA"/>
    <x v="54"/>
    <s v="CAMISETA MALHA 100% ALGODÃO"/>
    <s v="CAMISETA"/>
    <s v="LEVE "/>
    <n v="4"/>
    <n v="36.75"/>
    <n v="147"/>
    <n v="0"/>
    <d v="2025-02-23T00:00:00"/>
    <n v="9"/>
    <m/>
    <s v="ENTREGUE"/>
    <n v="1"/>
    <n v="1.5"/>
    <n v="6"/>
    <n v="2"/>
    <n v="10.5"/>
  </r>
  <r>
    <s v="CONSERV"/>
    <x v="80"/>
    <x v="58"/>
    <x v="30"/>
    <s v="HAVANNA"/>
    <x v="54"/>
    <s v="BLUSA DE MOLETOM "/>
    <s v="MOLETOM"/>
    <s v="LEVE "/>
    <n v="4"/>
    <n v="85"/>
    <n v="340"/>
    <n v="0"/>
    <d v="2025-02-23T00:00:00"/>
    <n v="9"/>
    <m/>
    <s v="ENTREGUE"/>
    <n v="1"/>
    <n v="6"/>
    <n v="6"/>
    <n v="2"/>
    <n v="15"/>
  </r>
  <r>
    <s v="CONSERV"/>
    <x v="80"/>
    <x v="58"/>
    <x v="30"/>
    <s v="HAVANNA"/>
    <x v="54"/>
    <s v="FAIXA DE CABELO"/>
    <s v="FAIXA"/>
    <s v="LEVE "/>
    <n v="2"/>
    <n v="21"/>
    <n v="42"/>
    <n v="0"/>
    <d v="2025-02-23T00:00:00"/>
    <n v="9"/>
    <m/>
    <s v="ENTREGUE"/>
    <n v="0.5"/>
    <n v="2"/>
    <n v="2.4"/>
    <n v="1"/>
    <n v="5.9"/>
  </r>
  <r>
    <s v="LETICIA"/>
    <x v="81"/>
    <x v="59"/>
    <x v="30"/>
    <s v="COMÉRCIO"/>
    <x v="55"/>
    <s v="AVENTAL OXFORD MODELO PADRÃO"/>
    <s v="AVENTAL"/>
    <s v="LEVE "/>
    <n v="100"/>
    <n v="18.5"/>
    <n v="1850"/>
    <n v="0"/>
    <d v="2025-03-06T00:00:00"/>
    <n v="10"/>
    <m/>
    <s v="ENTREGUE"/>
    <n v="25"/>
    <n v="70"/>
    <n v="184"/>
    <n v="50"/>
    <n v="329"/>
  </r>
  <r>
    <s v="LETICIA"/>
    <x v="82"/>
    <x v="59"/>
    <x v="30"/>
    <s v="PET"/>
    <x v="1"/>
    <s v="AVENTAL NYLON EMBORRACHADO CA 45305"/>
    <s v="AVENTAL"/>
    <s v="LEVE"/>
    <n v="2500"/>
    <n v="23.5"/>
    <n v="58750"/>
    <n v="0"/>
    <d v="2025-03-17T00:00:00"/>
    <n v="12"/>
    <m/>
    <s v="ENTREGUE"/>
    <n v="625"/>
    <n v="2500"/>
    <n v="4125"/>
    <n v="1250"/>
    <n v="8500"/>
  </r>
  <r>
    <s v="CONSERV"/>
    <x v="83"/>
    <x v="59"/>
    <x v="30"/>
    <s v="COMÉRCIO"/>
    <x v="56"/>
    <s v="SACOLA BAGUN SUBLIMADA "/>
    <s v="SACOLA "/>
    <s v="PESADA"/>
    <n v="301"/>
    <m/>
    <m/>
    <n v="0"/>
    <d v="2025-02-19T00:00:00"/>
    <n v="8"/>
    <m/>
    <s v="ENTREGUE"/>
    <n v="75.25"/>
    <m/>
    <m/>
    <n v="150.5"/>
    <n v="225.75"/>
  </r>
  <r>
    <s v="CONSERV"/>
    <x v="84"/>
    <x v="60"/>
    <x v="30"/>
    <s v="PET"/>
    <x v="57"/>
    <s v="AVENTAL NY EMBORRACHADO"/>
    <s v="AVENTAL"/>
    <s v="AMBAS"/>
    <n v="250"/>
    <m/>
    <n v="0"/>
    <n v="0"/>
    <d v="2025-02-20T00:00:00"/>
    <n v="8"/>
    <m/>
    <s v="ENTREGUE"/>
    <n v="62.5"/>
    <n v="250"/>
    <n v="460"/>
    <n v="125"/>
    <n v="897.5"/>
  </r>
  <r>
    <s v="LETICIA"/>
    <x v="85"/>
    <x v="60"/>
    <x v="30"/>
    <s v="COSMÉTICO"/>
    <x v="42"/>
    <s v="AVENTAL TACTEL REGULAVEL "/>
    <s v="AVENTAL"/>
    <s v="LEVE "/>
    <n v="300"/>
    <n v="15"/>
    <n v="4500"/>
    <n v="0"/>
    <d v="2025-02-20T00:00:00"/>
    <n v="8"/>
    <m/>
    <s v="ENTREGUE"/>
    <n v="75"/>
    <n v="240"/>
    <n v="600"/>
    <n v="150"/>
    <n v="1065"/>
  </r>
  <r>
    <s v="CONSERV"/>
    <x v="86"/>
    <x v="61"/>
    <x v="31"/>
    <s v="HAVANNA"/>
    <x v="4"/>
    <s v="BABY LOOK FEMININA MALHA 100% ALGODAO"/>
    <s v="BABY LOOK"/>
    <s v="LEVE"/>
    <n v="2"/>
    <n v="36.75"/>
    <n v="73.5"/>
    <n v="0"/>
    <d v="2025-02-14T00:00:00"/>
    <n v="7"/>
    <m/>
    <s v="ENTREGUE"/>
    <n v="0.5"/>
    <n v="0.75"/>
    <n v="3"/>
    <n v="1"/>
    <n v="5.25"/>
  </r>
  <r>
    <s v="CONSERV"/>
    <x v="86"/>
    <x v="62"/>
    <x v="31"/>
    <s v="HAVANNA"/>
    <x v="4"/>
    <s v="CALÇA LEGGING"/>
    <s v="CALÇA "/>
    <s v="LEVE "/>
    <n v="8"/>
    <n v="75"/>
    <n v="600"/>
    <n v="0"/>
    <d v="2025-02-14T00:00:00"/>
    <n v="7"/>
    <m/>
    <s v="ENTREGUE"/>
    <n v="2"/>
    <m/>
    <n v="24"/>
    <n v="4"/>
    <n v="30"/>
  </r>
  <r>
    <s v="LETICIA"/>
    <x v="87"/>
    <x v="62"/>
    <x v="31"/>
    <s v="COMÉRCIO"/>
    <x v="58"/>
    <s v="SACO DE ALGODAO "/>
    <s v="SACO"/>
    <s v="LEVE"/>
    <n v="1000"/>
    <n v="16.2"/>
    <n v="16200"/>
    <n v="0"/>
    <d v="2025-02-27T00:00:00"/>
    <n v="9"/>
    <m/>
    <s v="ENTREGUE"/>
    <n v="250"/>
    <n v="500"/>
    <n v="800"/>
    <n v="500"/>
    <n v="2050"/>
  </r>
  <r>
    <s v="CONSERV"/>
    <x v="86"/>
    <x v="63"/>
    <x v="31"/>
    <s v="HAVANNA"/>
    <x v="4"/>
    <s v="BABY LOOK FEMININA MALHA 100% ALGODAO"/>
    <s v="BABY LOOK"/>
    <s v="LEVE "/>
    <n v="2"/>
    <n v="36.75"/>
    <n v="73.5"/>
    <n v="0"/>
    <d v="2025-02-14T00:00:00"/>
    <n v="7"/>
    <m/>
    <s v="ENTREGUE"/>
    <n v="0.5"/>
    <n v="0.75"/>
    <n v="3"/>
    <n v="1"/>
    <n v="5.25"/>
  </r>
  <r>
    <s v="CONSERV"/>
    <x v="88"/>
    <x v="63"/>
    <x v="31"/>
    <s v="COSMÉTICO"/>
    <x v="59"/>
    <s v="AVENTAL OXFORD MODELO PADRÃO"/>
    <s v="AVENTAL"/>
    <s v="LEVE "/>
    <n v="100"/>
    <m/>
    <m/>
    <n v="0"/>
    <d v="2025-02-25T00:00:00"/>
    <n v="9"/>
    <m/>
    <s v="ENTREGUE"/>
    <n v="25"/>
    <n v="70"/>
    <n v="150"/>
    <n v="50"/>
    <n v="295"/>
  </r>
  <r>
    <s v="CONSERV"/>
    <x v="88"/>
    <x v="63"/>
    <x v="31"/>
    <s v="COSMÉTICO"/>
    <x v="59"/>
    <s v="KIMONO CETIM"/>
    <s v="KIMONO"/>
    <s v="PESADA"/>
    <n v="10"/>
    <m/>
    <m/>
    <n v="0"/>
    <d v="2025-02-25T00:00:00"/>
    <n v="9"/>
    <m/>
    <s v="ENTREGUE"/>
    <n v="2.5"/>
    <n v="15"/>
    <n v="52.699999999999996"/>
    <n v="5"/>
    <n v="75.199999999999989"/>
  </r>
  <r>
    <s v="LETICIA"/>
    <x v="89"/>
    <x v="63"/>
    <x v="31"/>
    <s v="COSMÉTICO"/>
    <x v="60"/>
    <s v="BABY LOOK FEMININA MALHA 100% ALGODAO"/>
    <s v="BABY LOOK"/>
    <s v="LEVE"/>
    <n v="70"/>
    <n v="28"/>
    <n v="1960"/>
    <n v="0"/>
    <d v="2025-02-26T00:00:00"/>
    <n v="9"/>
    <m/>
    <s v="ENTREGUE"/>
    <n v="17.5"/>
    <n v="105"/>
    <n v="105"/>
    <n v="35"/>
    <n v="262.5"/>
  </r>
  <r>
    <s v="LETICIA"/>
    <x v="89"/>
    <x v="63"/>
    <x v="31"/>
    <s v="COSMÉTICO"/>
    <x v="60"/>
    <s v="CAMISETA MALHA 100% ALGODÃO"/>
    <s v="CAMISETA"/>
    <s v="LEVE "/>
    <n v="30"/>
    <n v="28"/>
    <n v="840"/>
    <n v="0"/>
    <d v="2025-02-26T00:00:00"/>
    <n v="9"/>
    <m/>
    <s v="ENTREGUE"/>
    <n v="7.5"/>
    <n v="11.25"/>
    <n v="45"/>
    <n v="15"/>
    <n v="78.75"/>
  </r>
  <r>
    <s v="LETICIA"/>
    <x v="90"/>
    <x v="63"/>
    <x v="31"/>
    <s v="COSMÉTICO"/>
    <x v="61"/>
    <s v="SACOLA LONITA ALGODÃO"/>
    <s v="SACOLA"/>
    <s v="LEVE "/>
    <n v="200"/>
    <n v="19.5"/>
    <n v="3900"/>
    <n v="0"/>
    <d v="2025-02-18T00:00:00"/>
    <n v="8"/>
    <m/>
    <s v="ENTREGUE"/>
    <n v="50"/>
    <n v="200"/>
    <n v="260"/>
    <n v="100"/>
    <n v="610"/>
  </r>
  <r>
    <s v="CONSERV"/>
    <x v="86"/>
    <x v="64"/>
    <x v="31"/>
    <s v="HAVANNA"/>
    <x v="4"/>
    <s v="BABY LOOK FEMININA MALHA 100% ALGODAO"/>
    <s v="BABY LOOK"/>
    <s v="LEVE "/>
    <n v="2"/>
    <n v="36.75"/>
    <n v="73.5"/>
    <n v="0"/>
    <d v="2025-02-14T00:00:00"/>
    <n v="7"/>
    <m/>
    <s v="ENTREGUE"/>
    <n v="0.5"/>
    <n v="0.75"/>
    <n v="3"/>
    <n v="1"/>
    <n v="5.25"/>
  </r>
  <r>
    <s v="LETICIA"/>
    <x v="91"/>
    <x v="64"/>
    <x v="31"/>
    <s v="PET"/>
    <x v="50"/>
    <s v="JALECO GROOMER TAFETA - MODELO PET SPA "/>
    <s v="JALECO"/>
    <s v="LEVE"/>
    <n v="200"/>
    <n v="55"/>
    <n v="11000"/>
    <n v="0"/>
    <d v="2025-02-27T00:00:00"/>
    <n v="9"/>
    <m/>
    <s v="ENTREGUE"/>
    <n v="50"/>
    <n v="0"/>
    <n v="2000"/>
    <n v="100"/>
    <n v="2150"/>
  </r>
  <r>
    <s v="CONSERV"/>
    <x v="86"/>
    <x v="65"/>
    <x v="31"/>
    <s v="HAVANNA"/>
    <x v="4"/>
    <s v="BABY LOOK FEMININA MALHA 100% ALGODAO"/>
    <s v="BABY LOOK"/>
    <s v="LEVE "/>
    <n v="2"/>
    <n v="36.75"/>
    <n v="73.5"/>
    <n v="0"/>
    <d v="2025-02-14T00:00:00"/>
    <n v="7"/>
    <m/>
    <s v="ENTREGUE"/>
    <n v="0.5"/>
    <n v="0.75"/>
    <n v="3"/>
    <n v="1"/>
    <n v="5.25"/>
  </r>
  <r>
    <s v="LETICIA"/>
    <x v="92"/>
    <x v="65"/>
    <x v="31"/>
    <s v="COMÉRCIO"/>
    <x v="62"/>
    <s v="SACOCHILA NYLON EMBORRACHADO 30L X 40"/>
    <s v="SACOCHILA "/>
    <s v="LEVE"/>
    <n v="150"/>
    <n v="15"/>
    <n v="2250"/>
    <n v="0"/>
    <d v="2025-03-02T00:00:00"/>
    <n v="10"/>
    <m/>
    <s v="ENTREGUE"/>
    <n v="37.5"/>
    <n v="90"/>
    <n v="120"/>
    <n v="75"/>
    <n v="322.5"/>
  </r>
  <r>
    <s v="CONSERV"/>
    <x v="93"/>
    <x v="65"/>
    <x v="31"/>
    <s v="COMÉRCIO"/>
    <x v="39"/>
    <s v="SACO DE ALGODAO "/>
    <s v="SACO"/>
    <s v="LEVE"/>
    <n v="200"/>
    <n v="16.5"/>
    <n v="3300"/>
    <n v="0"/>
    <d v="2025-02-28T00:00:00"/>
    <n v="9"/>
    <m/>
    <s v="ENTREGUE"/>
    <n v="50"/>
    <n v="100"/>
    <n v="160"/>
    <n v="100"/>
    <n v="410"/>
  </r>
  <r>
    <s v="CONSERV"/>
    <x v="94"/>
    <x v="65"/>
    <x v="31"/>
    <s v="COMÉRCIO"/>
    <x v="40"/>
    <s v="NECESSAIRE NY PLASTIFICADO"/>
    <s v="NECESSAIRE"/>
    <s v="PESADA"/>
    <n v="300"/>
    <n v="23"/>
    <n v="6900"/>
    <n v="0"/>
    <d v="2025-02-28T00:00:00"/>
    <n v="9"/>
    <m/>
    <s v="ENTREGUE"/>
    <n v="75"/>
    <n v="180"/>
    <n v="1500"/>
    <n v="150"/>
    <n v="1905"/>
  </r>
  <r>
    <s v="CONSERV"/>
    <x v="86"/>
    <x v="66"/>
    <x v="31"/>
    <s v="HAVANNA"/>
    <x v="4"/>
    <s v="CAMISETA MALHA 100% ALGODÃO"/>
    <s v="CAMISETA"/>
    <s v="LEVE "/>
    <n v="2"/>
    <n v="36.75"/>
    <n v="73.5"/>
    <n v="0"/>
    <d v="2025-02-14T00:00:00"/>
    <n v="7"/>
    <m/>
    <s v="ENTREGUE"/>
    <n v="0.5"/>
    <n v="0.75"/>
    <n v="3"/>
    <n v="1"/>
    <n v="5.25"/>
  </r>
  <r>
    <s v="CONSERV"/>
    <x v="86"/>
    <x v="67"/>
    <x v="32"/>
    <s v="HAVANNA"/>
    <x v="4"/>
    <s v="CALÇA BRIM"/>
    <s v="CALÇA "/>
    <s v="PESADA"/>
    <n v="2"/>
    <n v="75"/>
    <n v="150"/>
    <n v="0"/>
    <d v="2025-02-14T00:00:00"/>
    <n v="7"/>
    <m/>
    <s v="ENTREGUE"/>
    <n v="100"/>
    <m/>
    <n v="6"/>
    <n v="1"/>
    <n v="107"/>
  </r>
  <r>
    <s v="LETICIA"/>
    <x v="95"/>
    <x v="68"/>
    <x v="32"/>
    <s v="COSMÉTICO"/>
    <x v="63"/>
    <s v="CAPA DE CORTE SUBLIMADA "/>
    <s v="CAPA"/>
    <s v="LEVE"/>
    <n v="290"/>
    <n v="25.5"/>
    <n v="7395"/>
    <n v="0"/>
    <d v="2025-03-03T00:00:00"/>
    <n v="10"/>
    <m/>
    <s v="ENTREGUE"/>
    <n v="72.5"/>
    <n v="290"/>
    <n v="203"/>
    <n v="145"/>
    <n v="710.5"/>
  </r>
  <r>
    <s v="LETICIA"/>
    <x v="95"/>
    <x v="68"/>
    <x v="32"/>
    <s v="COSMÉTICO"/>
    <x v="63"/>
    <s v="AVENTAL SUBLIMANO COM 4 BOLSOS "/>
    <s v="AVENTAL"/>
    <s v="LEVE"/>
    <n v="1080"/>
    <n v="19.5"/>
    <n v="21060"/>
    <n v="0"/>
    <d v="2025-03-03T00:00:00"/>
    <n v="10"/>
    <m/>
    <s v="ENTREGUE"/>
    <n v="270"/>
    <n v="1404"/>
    <n v="540"/>
    <n v="540"/>
    <n v="2754"/>
  </r>
  <r>
    <s v="LETICIA"/>
    <x v="96"/>
    <x v="68"/>
    <x v="32"/>
    <s v="HAVANNA"/>
    <x v="13"/>
    <s v="AVENTAL OXFORD MODELO PADRÃO"/>
    <s v="AVENTAL"/>
    <s v="LEVE"/>
    <n v="4"/>
    <n v="25"/>
    <n v="100"/>
    <n v="0"/>
    <d v="2025-03-05T00:00:00"/>
    <n v="10"/>
    <m/>
    <s v="ENTREGUE"/>
    <n v="1"/>
    <n v="2.8"/>
    <n v="7.36"/>
    <n v="2"/>
    <n v="13.16"/>
  </r>
  <r>
    <s v="LETICIA"/>
    <x v="96"/>
    <x v="68"/>
    <x v="32"/>
    <s v="HAVANNA"/>
    <x v="13"/>
    <s v="CAMISETA GOLA CARECA 100% ALGODÃO "/>
    <s v="CAMISETA"/>
    <s v="LEVE "/>
    <n v="14"/>
    <n v="36.75"/>
    <n v="514.5"/>
    <n v="0"/>
    <d v="2025-03-05T00:00:00"/>
    <n v="10"/>
    <m/>
    <s v="ENTREGUE"/>
    <n v="3.5"/>
    <n v="21"/>
    <n v="3"/>
    <n v="7"/>
    <n v="34.5"/>
  </r>
  <r>
    <s v="LETICIA"/>
    <x v="97"/>
    <x v="68"/>
    <x v="32"/>
    <s v="COSMÉTICO"/>
    <x v="64"/>
    <s v="CAPA DE CORTE TACTEL 1,40X 1,50"/>
    <s v="CAPA"/>
    <s v="LEVE"/>
    <n v="100"/>
    <n v="28"/>
    <n v="2800"/>
    <n v="0"/>
    <d v="2025-03-15T00:00:00"/>
    <n v="11"/>
    <m/>
    <s v="ENTREGUE"/>
    <n v="25"/>
    <n v="100"/>
    <n v="150"/>
    <n v="50"/>
    <n v="325"/>
  </r>
  <r>
    <s v="LETICIA"/>
    <x v="97"/>
    <x v="68"/>
    <x v="32"/>
    <s v="COSMÉTICO"/>
    <x v="64"/>
    <s v="CAPA DE CORTE TACTEL 1,40X 1,50"/>
    <s v="CAPA"/>
    <s v="LEVE"/>
    <n v="100"/>
    <n v="28"/>
    <n v="2800"/>
    <n v="0"/>
    <d v="2025-03-15T00:00:00"/>
    <n v="11"/>
    <m/>
    <s v="ENTREGUE"/>
    <n v="25"/>
    <n v="100"/>
    <n v="150"/>
    <n v="50"/>
    <n v="325"/>
  </r>
  <r>
    <s v="LETICIA"/>
    <x v="97"/>
    <x v="68"/>
    <x v="32"/>
    <s v="COSMÉTICO"/>
    <x v="64"/>
    <s v="AVENTAL NY EMBORRACHADO"/>
    <s v="AVENTAL"/>
    <s v="LEVE"/>
    <n v="100"/>
    <n v="25"/>
    <n v="2500"/>
    <n v="0"/>
    <d v="2025-03-15T00:00:00"/>
    <n v="11"/>
    <m/>
    <s v="ENTREGUE"/>
    <n v="25"/>
    <n v="100"/>
    <n v="160"/>
    <n v="50"/>
    <n v="335"/>
  </r>
  <r>
    <s v="SANDY"/>
    <x v="98"/>
    <x v="69"/>
    <x v="32"/>
    <s v="PET"/>
    <x v="65"/>
    <s v="AVENTAL NY EMBORRACHADO"/>
    <s v="AVENTAL"/>
    <s v="LEVE "/>
    <n v="100"/>
    <n v="25"/>
    <n v="2500"/>
    <n v="0"/>
    <d v="2025-03-04T00:00:00"/>
    <n v="10"/>
    <m/>
    <s v="ENTREGUE"/>
    <n v="25"/>
    <n v="70"/>
    <n v="184"/>
    <n v="50"/>
    <n v="329"/>
  </r>
  <r>
    <s v="LETICIA"/>
    <x v="99"/>
    <x v="70"/>
    <x v="32"/>
    <s v="COMÉRCIO"/>
    <x v="66"/>
    <s v="AVENTAL NY 210"/>
    <s v="AVENTAL"/>
    <s v="LEVE "/>
    <n v="50"/>
    <n v="25"/>
    <n v="1250"/>
    <n v="0"/>
    <d v="2025-03-05T00:00:00"/>
    <n v="10"/>
    <m/>
    <s v="ENTREGUE"/>
    <n v="12.5"/>
    <n v="35"/>
    <n v="92"/>
    <n v="25"/>
    <n v="164.5"/>
  </r>
  <r>
    <s v="LETICIA"/>
    <x v="100"/>
    <x v="71"/>
    <x v="32"/>
    <s v="HAVANNA"/>
    <x v="21"/>
    <s v="CAMISETA POLO PIQUET"/>
    <s v="POLO"/>
    <s v="LEVE"/>
    <n v="19"/>
    <n v="65"/>
    <n v="1235"/>
    <n v="0"/>
    <d v="2025-03-09T00:00:00"/>
    <n v="11"/>
    <m/>
    <s v="ENTREGUE"/>
    <n v="4.75"/>
    <m/>
    <n v="57"/>
    <n v="9.5"/>
    <n v="71.25"/>
  </r>
  <r>
    <s v="LETICIA"/>
    <x v="101"/>
    <x v="71"/>
    <x v="32"/>
    <s v="PET"/>
    <x v="67"/>
    <s v="AVENTAL NY EMBORRACHADO"/>
    <s v="AVENTAL"/>
    <s v="LEVE "/>
    <n v="100"/>
    <n v="27.5"/>
    <n v="2750"/>
    <n v="0"/>
    <d v="2025-03-09T00:00:00"/>
    <n v="11"/>
    <m/>
    <s v="ENTREGUE"/>
    <n v="25"/>
    <n v="70"/>
    <n v="184"/>
    <n v="50"/>
    <n v="329"/>
  </r>
  <r>
    <s v="LETICIA"/>
    <x v="102"/>
    <x v="72"/>
    <x v="33"/>
    <s v="COSMÉTICO"/>
    <x v="68"/>
    <s v="AVENTAL OXFORD MODELO PADRÃO"/>
    <s v="AVENTAL"/>
    <s v="LEVE"/>
    <n v="80"/>
    <n v="17"/>
    <n v="1360"/>
    <n v="0"/>
    <d v="2025-03-12T00:00:00"/>
    <n v="11"/>
    <m/>
    <s v="ENTREGUE"/>
    <n v="20"/>
    <n v="56"/>
    <n v="147.20000000000002"/>
    <n v="40"/>
    <n v="263.20000000000005"/>
  </r>
  <r>
    <s v="LETICIA"/>
    <x v="102"/>
    <x v="72"/>
    <x v="33"/>
    <s v="COSMÉTICO"/>
    <x v="68"/>
    <s v="AVENTAL NY 210"/>
    <s v="AVENTAL"/>
    <s v="LEVE"/>
    <n v="20"/>
    <n v="19.5"/>
    <n v="390"/>
    <n v="0"/>
    <d v="2025-03-12T00:00:00"/>
    <n v="11"/>
    <m/>
    <s v="ENTREGUE"/>
    <n v="5"/>
    <n v="14"/>
    <n v="36.800000000000004"/>
    <n v="10"/>
    <n v="65.800000000000011"/>
  </r>
  <r>
    <s v="CONSERV"/>
    <x v="103"/>
    <x v="72"/>
    <x v="33"/>
    <s v="HAVANNA"/>
    <x v="2"/>
    <s v="CALÇA BRIM"/>
    <s v="CALÇA"/>
    <s v="PESADA"/>
    <n v="1"/>
    <n v="75"/>
    <n v="75"/>
    <n v="0"/>
    <d v="2025-03-12T00:00:00"/>
    <n v="11"/>
    <m/>
    <s v="ENTREGUE"/>
    <n v="0.25"/>
    <n v="0.25"/>
    <n v="1.5"/>
    <n v="1.5"/>
    <n v="0.5"/>
  </r>
  <r>
    <s v="CONSERV"/>
    <x v="103"/>
    <x v="72"/>
    <x v="33"/>
    <s v="HAVANNA"/>
    <x v="2"/>
    <s v="AVENTAL OXFORD MODELO PADRÃO"/>
    <s v="AVENTAL"/>
    <s v="LEVE"/>
    <n v="4"/>
    <n v="25"/>
    <n v="100"/>
    <n v="0"/>
    <d v="2025-03-12T00:00:00"/>
    <n v="11"/>
    <m/>
    <s v="ENTREGUE"/>
    <n v="1"/>
    <n v="1"/>
    <n v="6"/>
    <n v="6"/>
    <n v="2"/>
  </r>
  <r>
    <s v="CONSERV"/>
    <x v="103"/>
    <x v="72"/>
    <x v="33"/>
    <s v="HAVANNA"/>
    <x v="2"/>
    <s v="CAMISETA MALHA 100% ALGODÃO"/>
    <s v="CAMISETA"/>
    <s v="LEVE"/>
    <n v="3"/>
    <n v="36.75"/>
    <n v="110.25"/>
    <n v="0"/>
    <d v="2025-03-12T00:00:00"/>
    <n v="11"/>
    <m/>
    <s v="ENTREGUE"/>
    <n v="0.75"/>
    <n v="0.75"/>
    <n v="4.5"/>
    <n v="4.5"/>
    <n v="1.5"/>
  </r>
  <r>
    <s v="CONSERV"/>
    <x v="103"/>
    <x v="72"/>
    <x v="33"/>
    <s v="HAVANNA"/>
    <x v="2"/>
    <s v="CAMISETA MALHA 100% ALGODÃO"/>
    <s v="CAMISETA"/>
    <s v="LEVE"/>
    <n v="3"/>
    <n v="28"/>
    <n v="84"/>
    <n v="0"/>
    <d v="2025-03-12T00:00:00"/>
    <n v="11"/>
    <m/>
    <s v="ENTREGUE"/>
    <n v="0.75"/>
    <n v="0.75"/>
    <n v="4.5"/>
    <n v="4.5"/>
    <n v="1.5"/>
  </r>
  <r>
    <s v="CONSERV"/>
    <x v="103"/>
    <x v="72"/>
    <x v="33"/>
    <s v="HAVANNA"/>
    <x v="2"/>
    <s v="FAIXA DE CABELO"/>
    <s v="FAIXA"/>
    <s v="LEVE"/>
    <n v="1"/>
    <n v="16"/>
    <n v="16"/>
    <n v="0"/>
    <d v="2025-03-12T00:00:00"/>
    <n v="11"/>
    <m/>
    <s v="ENTREGUE"/>
    <n v="0.25"/>
    <n v="0.25"/>
    <n v="1.5"/>
    <n v="1.5"/>
    <n v="0.5"/>
  </r>
  <r>
    <s v="CONSERV"/>
    <x v="103"/>
    <x v="72"/>
    <x v="33"/>
    <s v="HAVANNA"/>
    <x v="2"/>
    <s v="CALÇA BRIM"/>
    <s v="CALÇA"/>
    <s v="PESADA"/>
    <n v="1"/>
    <n v="65"/>
    <n v="65"/>
    <n v="0"/>
    <d v="2025-03-12T00:00:00"/>
    <n v="11"/>
    <m/>
    <s v="ENTREGUE"/>
    <n v="0.25"/>
    <n v="0.25"/>
    <n v="1.5"/>
    <n v="1.5"/>
    <n v="0.5"/>
  </r>
  <r>
    <s v="LETICIA"/>
    <x v="104"/>
    <x v="73"/>
    <x v="33"/>
    <s v="COSMÉTICO"/>
    <x v="69"/>
    <s v="CAMISETA MALHA 100% POLIESTER "/>
    <s v="CAMISETA"/>
    <s v="LEVE "/>
    <n v="123"/>
    <n v="22.5"/>
    <n v="2767.5"/>
    <n v="0"/>
    <d v="2025-03-20T00:00:00"/>
    <n v="12"/>
    <m/>
    <s v="ENTREGUE"/>
    <n v="30.75"/>
    <n v="184.5"/>
    <n v="184.5"/>
    <n v="61.5"/>
    <n v="461.25"/>
  </r>
  <r>
    <s v="CONSERV"/>
    <x v="105"/>
    <x v="74"/>
    <x v="33"/>
    <s v="COMÉRCIO"/>
    <x v="70"/>
    <s v="CAMISETA MALHA 100% ALGODÃO "/>
    <s v="CAMISETA"/>
    <s v="LEVE "/>
    <n v="134"/>
    <n v="27.5"/>
    <n v="3685"/>
    <n v="0"/>
    <d v="2025-02-24T00:00:00"/>
    <n v="9"/>
    <m/>
    <s v="ENTREGUE"/>
    <n v="33.5"/>
    <n v="201"/>
    <n v="201"/>
    <n v="67"/>
    <n v="502.5"/>
  </r>
  <r>
    <s v="LETICIA"/>
    <x v="106"/>
    <x v="75"/>
    <x v="33"/>
    <s v="PET"/>
    <x v="57"/>
    <s v="AVENTAL NY EMBORRACHADO"/>
    <s v="AVENTAL"/>
    <s v="LEVE "/>
    <n v="250"/>
    <n v="24.5"/>
    <n v="6125"/>
    <n v="0"/>
    <d v="2025-03-14T00:00:00"/>
    <n v="11"/>
    <m/>
    <s v="ENTREGUE"/>
    <n v="62.5"/>
    <n v="175"/>
    <n v="460"/>
    <n v="125"/>
    <n v="822.5"/>
  </r>
  <r>
    <s v="LETICIA"/>
    <x v="107"/>
    <x v="75"/>
    <x v="33"/>
    <s v="PET"/>
    <x v="41"/>
    <s v="AVENTAL NY EMBORRACHADO"/>
    <s v="AVENTAL"/>
    <s v="LEVE "/>
    <n v="250"/>
    <n v="23.5"/>
    <n v="5875"/>
    <n v="0"/>
    <d v="2025-03-07T00:00:00"/>
    <n v="10"/>
    <m/>
    <s v="ENTREGUE"/>
    <n v="62.5"/>
    <n v="250"/>
    <n v="460"/>
    <n v="125"/>
    <n v="897.5"/>
  </r>
  <r>
    <s v="LETICIA"/>
    <x v="108"/>
    <x v="75"/>
    <x v="33"/>
    <s v="COSMÉTICO"/>
    <x v="71"/>
    <s v="CAMISETA MALHA PV "/>
    <s v="CAMISETA"/>
    <s v="LEVE"/>
    <n v="180"/>
    <n v="24.5"/>
    <n v="4410"/>
    <n v="0"/>
    <d v="2025-03-13T00:00:00"/>
    <n v="11"/>
    <m/>
    <s v="ENTREGUE"/>
    <n v="45"/>
    <n v="270"/>
    <n v="375"/>
    <n v="90"/>
    <n v="780"/>
  </r>
  <r>
    <s v="LETICIA"/>
    <x v="109"/>
    <x v="75"/>
    <x v="33"/>
    <s v="COSMÉTICO"/>
    <x v="37"/>
    <s v="AVENTAL NY 210"/>
    <s v="AVENTAL"/>
    <s v="LEVE "/>
    <n v="100"/>
    <n v="17.600000000000001"/>
    <n v="1760.0000000000002"/>
    <n v="0"/>
    <d v="2025-03-14T00:00:00"/>
    <n v="11"/>
    <m/>
    <s v="ENTREGUE"/>
    <n v="25"/>
    <n v="70"/>
    <n v="184"/>
    <n v="50"/>
    <n v="329"/>
  </r>
  <r>
    <s v="LETICIA"/>
    <x v="109"/>
    <x v="75"/>
    <x v="33"/>
    <s v="COSMÉTICO"/>
    <x v="37"/>
    <s v="CAPA DE CETIM - COR PINK "/>
    <s v="CAPA"/>
    <s v="LEVE "/>
    <n v="100"/>
    <n v="17.600000000000001"/>
    <n v="1760.0000000000002"/>
    <n v="0"/>
    <d v="2025-03-14T00:00:00"/>
    <n v="11"/>
    <m/>
    <s v="ENTREGUE"/>
    <n v="25"/>
    <n v="100"/>
    <n v="100"/>
    <n v="50"/>
    <n v="275"/>
  </r>
  <r>
    <s v="LETICIA"/>
    <x v="109"/>
    <x v="75"/>
    <x v="33"/>
    <s v="COSMÉTICO"/>
    <x v="37"/>
    <s v="CAPA DE CETIM - COR PRETA"/>
    <s v="CAPA"/>
    <s v="LEVE "/>
    <n v="200"/>
    <n v="17.600000000000001"/>
    <n v="3520.0000000000005"/>
    <n v="0"/>
    <d v="2025-03-14T00:00:00"/>
    <n v="11"/>
    <m/>
    <s v="ENTREGUE"/>
    <n v="50"/>
    <n v="200"/>
    <n v="200"/>
    <n v="100"/>
    <n v="550"/>
  </r>
  <r>
    <s v="LETICIA"/>
    <x v="109"/>
    <x v="75"/>
    <x v="33"/>
    <s v="COSMÉTICO"/>
    <x v="37"/>
    <s v="CAPA DE CETIM - COR ROSA SALMÃO "/>
    <s v="CAPA"/>
    <s v="LEVE "/>
    <n v="100"/>
    <n v="17.600000000000001"/>
    <n v="1760.0000000000002"/>
    <n v="0"/>
    <d v="2025-03-14T00:00:00"/>
    <n v="11"/>
    <m/>
    <s v="ENTREGUE"/>
    <n v="25"/>
    <n v="100"/>
    <n v="100"/>
    <n v="50"/>
    <n v="275"/>
  </r>
  <r>
    <s v="LETICIA"/>
    <x v="110"/>
    <x v="75"/>
    <x v="33"/>
    <s v="COSMÉTICO"/>
    <x v="37"/>
    <s v="AVENTAL NY 210"/>
    <s v="AVENTAL"/>
    <s v="LEVE "/>
    <n v="100"/>
    <n v="17.600000000000001"/>
    <n v="1760.0000000000002"/>
    <n v="0"/>
    <d v="2025-03-14T00:00:00"/>
    <n v="11"/>
    <m/>
    <s v="ENTREGUE"/>
    <n v="25"/>
    <n v="70"/>
    <n v="184"/>
    <n v="50"/>
    <n v="329"/>
  </r>
  <r>
    <s v="LETICIA"/>
    <x v="111"/>
    <x v="76"/>
    <x v="34"/>
    <s v="COSMÉTICO"/>
    <x v="63"/>
    <s v="CAPA DE CORTE SUBLIMADA "/>
    <s v="CAPA"/>
    <s v="LEVE"/>
    <n v="1686"/>
    <n v="25"/>
    <n v="42150"/>
    <n v="0"/>
    <d v="2025-02-19T00:00:00"/>
    <n v="8"/>
    <m/>
    <s v="ENTREGUE"/>
    <n v="421.5"/>
    <n v="1686"/>
    <n v="1686"/>
    <n v="843"/>
    <n v="4636.5"/>
  </r>
  <r>
    <s v="LETICIA"/>
    <x v="112"/>
    <x v="76"/>
    <x v="34"/>
    <s v="COSMÉTICO"/>
    <x v="71"/>
    <s v="KIMONO CETIM"/>
    <s v="KIMONO"/>
    <s v="PESADA"/>
    <n v="100"/>
    <n v="26.5"/>
    <n v="2650"/>
    <n v="0"/>
    <d v="2025-03-13T00:00:00"/>
    <n v="11"/>
    <m/>
    <s v="ENTREGUE"/>
    <n v="25"/>
    <n v="150"/>
    <n v="1000"/>
    <n v="50"/>
    <n v="1225"/>
  </r>
  <r>
    <s v="LETICIA"/>
    <x v="113"/>
    <x v="77"/>
    <x v="34"/>
    <s v="COSMÉTICO"/>
    <x v="72"/>
    <s v="CAMISETA GOLA CARECA MALHA PV"/>
    <s v="CAMISETA"/>
    <s v="LEVE"/>
    <n v="80"/>
    <n v="26.5"/>
    <n v="2120"/>
    <n v="0"/>
    <d v="2025-03-17T00:00:00"/>
    <n v="12"/>
    <m/>
    <s v="ENTREGUE"/>
    <n v="20"/>
    <n v="120"/>
    <n v="120"/>
    <n v="40"/>
    <n v="300"/>
  </r>
  <r>
    <s v="LETICIA"/>
    <x v="113"/>
    <x v="77"/>
    <x v="34"/>
    <s v="COSMÉTICO"/>
    <x v="72"/>
    <s v="CAMISETA GOLA CARECA MALHA PV "/>
    <s v="CAMISETA"/>
    <s v="LEVE"/>
    <n v="30"/>
    <n v="26.5"/>
    <n v="795"/>
    <n v="0"/>
    <d v="2025-03-17T00:00:00"/>
    <n v="12"/>
    <m/>
    <s v="ENTREGUE"/>
    <n v="7.5"/>
    <n v="30"/>
    <n v="45"/>
    <n v="15"/>
    <n v="97.5"/>
  </r>
  <r>
    <s v="LETICIA"/>
    <x v="114"/>
    <x v="78"/>
    <x v="34"/>
    <s v="COMÉRCIO"/>
    <x v="45"/>
    <s v="SAQUINHO DE ALGODÃO "/>
    <s v="SACO"/>
    <s v="LEVE"/>
    <n v="1000"/>
    <n v="3.15"/>
    <n v="3150"/>
    <n v="0"/>
    <d v="2025-03-07T00:00:00"/>
    <n v="10"/>
    <m/>
    <s v="ENTREGUE"/>
    <n v="250"/>
    <n v="700"/>
    <n v="500"/>
    <n v="500"/>
    <n v="1950"/>
  </r>
  <r>
    <s v="LETICIA"/>
    <x v="115"/>
    <x v="78"/>
    <x v="34"/>
    <s v="PET"/>
    <x v="73"/>
    <s v="AVENTAL NY EMBORRACHADO"/>
    <s v="AVENTAL"/>
    <s v="LEVE"/>
    <n v="150"/>
    <n v="22.5"/>
    <n v="3375"/>
    <n v="0"/>
    <d v="2025-03-20T00:00:00"/>
    <n v="12"/>
    <m/>
    <s v="ENTREGUE"/>
    <n v="37.5"/>
    <n v="150"/>
    <n v="276"/>
    <n v="75"/>
    <n v="538.5"/>
  </r>
  <r>
    <s v="LETICIA"/>
    <x v="116"/>
    <x v="79"/>
    <x v="34"/>
    <s v="COSMÉTICO"/>
    <x v="74"/>
    <s v="CAPA DE CETIM 0,85 X 1,40"/>
    <s v="CAPA"/>
    <s v="LEVE"/>
    <n v="97"/>
    <n v="17.5"/>
    <n v="1697.5"/>
    <n v="0"/>
    <d v="2025-03-18T00:00:00"/>
    <n v="12"/>
    <m/>
    <s v="ENTREGUE"/>
    <n v="24.25"/>
    <n v="97"/>
    <n v="97"/>
    <n v="48.5"/>
    <n v="266.75"/>
  </r>
  <r>
    <s v="LETICIA"/>
    <x v="116"/>
    <x v="79"/>
    <x v="34"/>
    <s v="COSMÉTICO"/>
    <x v="74"/>
    <s v="AVENTAL OXFORD MODELO PADRÃO"/>
    <s v="AVENTAL"/>
    <s v="LEVE"/>
    <n v="96"/>
    <n v="18"/>
    <n v="1728"/>
    <n v="0"/>
    <d v="2025-03-18T00:00:00"/>
    <n v="12"/>
    <m/>
    <s v="ENTREGUE"/>
    <n v="24"/>
    <n v="96"/>
    <n v="144"/>
    <n v="48"/>
    <n v="312"/>
  </r>
  <r>
    <s v="CONSERV"/>
    <x v="117"/>
    <x v="80"/>
    <x v="34"/>
    <s v="COSMÉTICO"/>
    <x v="42"/>
    <s v="NECESSAIRE POLIESTER LOGO EM BAIXO RELEVO"/>
    <s v="NECESSAIRE"/>
    <s v="PESADA"/>
    <n v="20"/>
    <m/>
    <m/>
    <n v="0"/>
    <d v="2025-02-13T00:00:00"/>
    <n v="7"/>
    <m/>
    <s v="ENTREGUE"/>
    <n v="5"/>
    <m/>
    <m/>
    <n v="10"/>
    <n v="15"/>
  </r>
  <r>
    <s v="CONSERV"/>
    <x v="117"/>
    <x v="80"/>
    <x v="34"/>
    <s v="COSMÉTICO"/>
    <x v="42"/>
    <s v="NECESSAIRE POLIESTER LOGO EM BAIXO RELEVO"/>
    <s v="NECESSAIRE"/>
    <s v="PESADA"/>
    <n v="20"/>
    <m/>
    <m/>
    <n v="0"/>
    <d v="2025-02-13T00:00:00"/>
    <n v="7"/>
    <m/>
    <s v="ENTREGUE"/>
    <n v="5"/>
    <m/>
    <m/>
    <n v="10"/>
    <n v="15"/>
  </r>
  <r>
    <s v="LETICIA"/>
    <x v="118"/>
    <x v="81"/>
    <x v="35"/>
    <s v="BRINDES"/>
    <x v="56"/>
    <s v="SACOLA DE ALGODÃO"/>
    <s v="SACOLA "/>
    <s v="LEVE "/>
    <n v="350"/>
    <n v="15.35"/>
    <n v="5372.5"/>
    <n v="0"/>
    <d v="2025-03-15T00:00:00"/>
    <n v="11"/>
    <m/>
    <s v="ENTREGUE"/>
    <n v="87.5"/>
    <n v="350"/>
    <n v="350"/>
    <n v="175"/>
    <n v="962.5"/>
  </r>
  <r>
    <s v="LETICIA"/>
    <x v="119"/>
    <x v="81"/>
    <x v="35"/>
    <s v="COMÉRCIO"/>
    <x v="40"/>
    <s v="NECESSAIRE NY PLASTIFICADO"/>
    <s v="NECESSAIRE"/>
    <s v="PESADA"/>
    <n v="300"/>
    <n v="23"/>
    <n v="6900"/>
    <n v="0"/>
    <d v="2025-03-24T00:00:00"/>
    <n v="13"/>
    <m/>
    <s v="ENTREGUE"/>
    <n v="75"/>
    <n v="180"/>
    <n v="1500"/>
    <n v="150"/>
    <n v="1905"/>
  </r>
  <r>
    <s v="RAFAEL"/>
    <x v="120"/>
    <x v="82"/>
    <x v="35"/>
    <s v="COSMÉTICO"/>
    <x v="75"/>
    <s v="AVENTAL NY 210"/>
    <s v="AVENTAL"/>
    <s v="LEVE"/>
    <n v="100"/>
    <n v="19.899999999999999"/>
    <n v="1989.9999999999998"/>
    <n v="0"/>
    <d v="2025-03-27T00:00:00"/>
    <n v="13"/>
    <m/>
    <s v="ENTREGUE"/>
    <n v="25"/>
    <n v="100"/>
    <n v="184"/>
    <n v="50"/>
    <n v="359"/>
  </r>
  <r>
    <s v="RAFAEL"/>
    <x v="121"/>
    <x v="83"/>
    <x v="35"/>
    <s v="COSMÉTICO"/>
    <x v="76"/>
    <s v="AVENTAL TACTEL REGULAVEL "/>
    <s v="AVENTAL"/>
    <s v="LEVE"/>
    <n v="50"/>
    <n v="20"/>
    <n v="1000"/>
    <n v="0"/>
    <d v="2025-03-29T00:00:00"/>
    <n v="13"/>
    <m/>
    <s v="ENTREGUE"/>
    <n v="12.5"/>
    <n v="50"/>
    <n v="100"/>
    <n v="25"/>
    <n v="187.5"/>
  </r>
  <r>
    <s v="RAFAEL"/>
    <x v="121"/>
    <x v="83"/>
    <x v="35"/>
    <s v="COSMÉTICO"/>
    <x v="76"/>
    <s v="AVENTAL VINTAGE "/>
    <s v="AVENTAL"/>
    <s v="PESADA"/>
    <n v="5"/>
    <n v="90"/>
    <n v="450"/>
    <n v="0"/>
    <d v="2025-03-29T00:00:00"/>
    <n v="13"/>
    <m/>
    <s v="ENTREGUE"/>
    <n v="1.25"/>
    <n v="5"/>
    <n v="25"/>
    <n v="2.5"/>
    <n v="33.75"/>
  </r>
  <r>
    <s v="RAFAEL"/>
    <x v="122"/>
    <x v="84"/>
    <x v="36"/>
    <s v="COSMÉTICO"/>
    <x v="77"/>
    <s v="AVENTAL OXFORD MODELO PADRÃO"/>
    <s v="AVENTAL"/>
    <s v="LEVE"/>
    <n v="100"/>
    <n v="16.5"/>
    <n v="1650"/>
    <n v="0"/>
    <d v="2025-04-11T00:00:00"/>
    <n v="15"/>
    <m/>
    <s v="ENTREGUE"/>
    <n v="25"/>
    <n v="100"/>
    <n v="150"/>
    <n v="50"/>
    <n v="325"/>
  </r>
  <r>
    <s v="LETICIA"/>
    <x v="123"/>
    <x v="84"/>
    <x v="36"/>
    <s v="PET"/>
    <x v="1"/>
    <s v="AVENTAL NYLON EMBORRACHADO CA 45305"/>
    <s v="AVENTAL"/>
    <s v="LEVE"/>
    <n v="2500"/>
    <n v="23.5"/>
    <n v="58750"/>
    <n v="0"/>
    <d v="2025-04-15T00:00:00"/>
    <n v="16"/>
    <m/>
    <s v="ENTREGUE"/>
    <n v="625"/>
    <n v="2500"/>
    <n v="4125"/>
    <n v="1250"/>
    <n v="8500"/>
  </r>
  <r>
    <s v="CONSERV"/>
    <x v="124"/>
    <x v="84"/>
    <x v="36"/>
    <s v="HAVANNA"/>
    <x v="21"/>
    <s v="FAIXA DE CABELO"/>
    <s v="FAIXA"/>
    <s v="LEVE"/>
    <n v="10"/>
    <n v="21"/>
    <n v="210"/>
    <n v="0"/>
    <d v="2025-03-10T00:00:00"/>
    <n v="11"/>
    <m/>
    <s v="ENTREGUE"/>
    <m/>
    <m/>
    <m/>
    <m/>
    <m/>
  </r>
  <r>
    <s v="CONSERV"/>
    <x v="124"/>
    <x v="84"/>
    <x v="36"/>
    <s v="HAVANNA"/>
    <x v="21"/>
    <s v="AVENTAL OXFORD MODELO PADRÃO"/>
    <s v="AVENTAL"/>
    <s v="LEVE"/>
    <n v="15"/>
    <n v="25"/>
    <n v="375"/>
    <n v="0"/>
    <d v="2025-03-10T00:00:00"/>
    <n v="11"/>
    <m/>
    <s v="ENTREGUE"/>
    <m/>
    <m/>
    <m/>
    <m/>
    <m/>
  </r>
  <r>
    <s v="CONSERV"/>
    <x v="124"/>
    <x v="84"/>
    <x v="36"/>
    <s v="HAVANNA"/>
    <x v="21"/>
    <s v="CAMISETA MALHA 100% ALGODÃO"/>
    <s v="CAMISETA"/>
    <s v="LEVE"/>
    <n v="25"/>
    <n v="36.75"/>
    <n v="918.75"/>
    <n v="0"/>
    <d v="2025-03-10T00:00:00"/>
    <n v="11"/>
    <m/>
    <s v="ENTREGUE"/>
    <m/>
    <m/>
    <m/>
    <m/>
    <m/>
  </r>
  <r>
    <s v="LETICIA"/>
    <x v="125"/>
    <x v="84"/>
    <x v="36"/>
    <s v="EDITORA"/>
    <x v="78"/>
    <s v="SACOLA DE NYLON"/>
    <s v="SACOLA"/>
    <s v="LEVE"/>
    <n v="1000"/>
    <n v="11"/>
    <n v="0"/>
    <n v="0"/>
    <d v="2025-03-31T00:00:00"/>
    <n v="14"/>
    <m/>
    <s v="ENTREGUE"/>
    <n v="250"/>
    <n v="2600"/>
    <n v="1200"/>
    <n v="500"/>
    <n v="4550"/>
  </r>
  <r>
    <s v="LETICIA"/>
    <x v="126"/>
    <x v="84"/>
    <x v="36"/>
    <s v="COSMÉTICO"/>
    <x v="0"/>
    <s v="AVENTAL OXFORD MODELO PADRÃO"/>
    <s v="AVENTAL"/>
    <s v="LEVE"/>
    <n v="300"/>
    <n v="14"/>
    <n v="4200"/>
    <n v="0"/>
    <d v="2025-04-03T00:00:00"/>
    <n v="14"/>
    <m/>
    <s v="ENTREGUE"/>
    <n v="75"/>
    <n v="300"/>
    <n v="450"/>
    <n v="150"/>
    <n v="975"/>
  </r>
  <r>
    <s v="LETICIA"/>
    <x v="126"/>
    <x v="84"/>
    <x v="36"/>
    <s v="COSMÉTICO"/>
    <x v="0"/>
    <s v="KIMONO TACTEL TAM ÚNICO"/>
    <s v="KIMONO"/>
    <s v="LEVE"/>
    <n v="300"/>
    <n v="24.5"/>
    <n v="7350"/>
    <n v="0"/>
    <d v="2025-04-03T00:00:00"/>
    <n v="14"/>
    <m/>
    <s v="ENTREGUE"/>
    <n v="75"/>
    <n v="300"/>
    <n v="1580.9999999999998"/>
    <n v="150"/>
    <n v="2106"/>
  </r>
  <r>
    <s v="SANDY"/>
    <x v="127"/>
    <x v="85"/>
    <x v="37"/>
    <s v="HAVANNA"/>
    <x v="79"/>
    <s v="BABY LOOK FEMININA MALHA 100% ALGODAO"/>
    <s v="BABY LOOK"/>
    <s v="LEVE"/>
    <n v="18"/>
    <n v="36.75"/>
    <n v="661.5"/>
    <n v="0"/>
    <d v="2025-04-09T00:00:00"/>
    <n v="15"/>
    <m/>
    <s v="ENTREGUE"/>
    <n v="4.5"/>
    <n v="18"/>
    <n v="27"/>
    <n v="9"/>
    <n v="58.5"/>
  </r>
  <r>
    <s v="SANDY"/>
    <x v="127"/>
    <x v="85"/>
    <x v="37"/>
    <s v="HAVANNA"/>
    <x v="79"/>
    <s v="CAMISETA MALHA 100% ALGODÃO"/>
    <s v="CAMISETA"/>
    <s v="LEVE"/>
    <n v="12"/>
    <n v="36.75"/>
    <n v="441"/>
    <n v="0"/>
    <d v="2025-04-09T00:00:00"/>
    <n v="15"/>
    <m/>
    <s v="ENTREGUE"/>
    <n v="12"/>
    <n v="18"/>
    <n v="18"/>
    <n v="12"/>
    <n v="60"/>
  </r>
  <r>
    <s v="SANDY"/>
    <x v="128"/>
    <x v="85"/>
    <x v="37"/>
    <s v="HAVANNA"/>
    <x v="79"/>
    <s v="BABY LOOK FEMININA MALHA 100% ALGODAO"/>
    <s v="BABY LOOK"/>
    <s v="LEVE"/>
    <n v="10"/>
    <n v="36.75"/>
    <n v="367.5"/>
    <n v="0"/>
    <d v="2025-04-09T00:00:00"/>
    <n v="15"/>
    <m/>
    <s v="ENTREGUE"/>
    <n v="2.5"/>
    <n v="10"/>
    <n v="15"/>
    <n v="5"/>
    <n v="32.5"/>
  </r>
  <r>
    <s v="SANDY"/>
    <x v="128"/>
    <x v="85"/>
    <x v="37"/>
    <s v="HAVANNA"/>
    <x v="79"/>
    <s v="CAMISETA MALHA 100% ALGODÃO"/>
    <s v="CAMISETA"/>
    <s v="LEVE"/>
    <n v="4"/>
    <n v="36.75"/>
    <n v="147"/>
    <n v="0"/>
    <d v="2025-04-09T00:00:00"/>
    <n v="15"/>
    <m/>
    <s v="ENTREGUE"/>
    <n v="4"/>
    <n v="6"/>
    <n v="6"/>
    <n v="4"/>
    <n v="20"/>
  </r>
  <r>
    <s v="SANDY"/>
    <x v="129"/>
    <x v="85"/>
    <x v="37"/>
    <s v="HAVANNA"/>
    <x v="80"/>
    <s v="AVENTAL OXFORD MODELO PADRÃO"/>
    <s v="AVENTAL"/>
    <s v="LEVE"/>
    <n v="5"/>
    <n v="25"/>
    <n v="125"/>
    <n v="0"/>
    <d v="2025-04-09T00:00:00"/>
    <n v="15"/>
    <m/>
    <s v="ENTREGUE"/>
    <n v="1.25"/>
    <n v="5"/>
    <n v="7.5"/>
    <n v="2.5"/>
    <n v="16.25"/>
  </r>
  <r>
    <s v="SANDY"/>
    <x v="129"/>
    <x v="85"/>
    <x v="37"/>
    <s v="HAVANNA"/>
    <x v="80"/>
    <s v="FAIXA DE CABELO"/>
    <s v="FAIXA"/>
    <s v="LEVE"/>
    <n v="5"/>
    <n v="21"/>
    <n v="105"/>
    <n v="0"/>
    <d v="2025-04-09T00:00:00"/>
    <n v="15"/>
    <m/>
    <s v="ENTREGUE"/>
    <n v="1.25"/>
    <n v="5"/>
    <n v="6"/>
    <n v="2.5"/>
    <n v="14.75"/>
  </r>
  <r>
    <s v="SANDY"/>
    <x v="129"/>
    <x v="85"/>
    <x v="37"/>
    <s v="HAVANNA"/>
    <x v="80"/>
    <s v="BABY LOOK FEMININA MALHA 100% ALGODAO"/>
    <s v="BABY LOOK"/>
    <s v="LEVE"/>
    <n v="5"/>
    <n v="36.75"/>
    <n v="183.75"/>
    <n v="0"/>
    <d v="2025-04-09T00:00:00"/>
    <n v="15"/>
    <m/>
    <s v="ENTREGUE"/>
    <n v="1.25"/>
    <n v="5"/>
    <n v="7.5"/>
    <n v="2.5"/>
    <n v="16.25"/>
  </r>
  <r>
    <s v="SANDY"/>
    <x v="129"/>
    <x v="85"/>
    <x v="37"/>
    <s v="HAVANNA"/>
    <x v="80"/>
    <s v="CAMISETA MALHA 100% ALGODÃO"/>
    <s v="CAMISETA"/>
    <s v="LEVE"/>
    <n v="2"/>
    <n v="36.75"/>
    <n v="73.5"/>
    <n v="0"/>
    <d v="2025-04-09T00:00:00"/>
    <n v="15"/>
    <m/>
    <s v="ENTREGUE"/>
    <n v="0.5"/>
    <n v="2"/>
    <n v="3"/>
    <n v="1"/>
    <n v="6.5"/>
  </r>
  <r>
    <s v="SANDY"/>
    <x v="129"/>
    <x v="85"/>
    <x v="37"/>
    <s v="HAVANNA"/>
    <x v="80"/>
    <s v="CAMISETA MALHA 100% ALGODÃO"/>
    <s v="CAMISETA"/>
    <s v="LEVE"/>
    <n v="5"/>
    <n v="36.75"/>
    <n v="183.75"/>
    <n v="0"/>
    <d v="2025-04-09T00:00:00"/>
    <n v="15"/>
    <m/>
    <s v="ENTREGUE"/>
    <n v="1.25"/>
    <n v="5"/>
    <n v="7.5"/>
    <n v="2.5"/>
    <n v="16.25"/>
  </r>
  <r>
    <s v="SANDY"/>
    <x v="129"/>
    <x v="85"/>
    <x v="37"/>
    <s v="HAVANNA"/>
    <x v="80"/>
    <s v="CAMISETA MALHA 100% ALGODÃO"/>
    <s v="CAMISETA"/>
    <s v="LEVE"/>
    <n v="2"/>
    <n v="36.75"/>
    <n v="73.5"/>
    <n v="0"/>
    <d v="2025-04-09T00:00:00"/>
    <n v="15"/>
    <m/>
    <s v="ENTREGUE"/>
    <n v="0.5"/>
    <n v="2"/>
    <n v="3"/>
    <n v="1"/>
    <n v="6.5"/>
  </r>
  <r>
    <s v="SANDY"/>
    <x v="129"/>
    <x v="85"/>
    <x v="37"/>
    <s v="HAVANNA"/>
    <x v="80"/>
    <s v="BLUSA DE MOLETOM "/>
    <s v="MOLETOM"/>
    <s v="LEVE"/>
    <n v="1"/>
    <n v="85"/>
    <n v="85"/>
    <n v="0"/>
    <d v="2025-04-09T00:00:00"/>
    <n v="15"/>
    <m/>
    <s v="ENTREGUE"/>
    <n v="0.25"/>
    <n v="1.5"/>
    <n v="1.5"/>
    <n v="0.5"/>
    <n v="3.75"/>
  </r>
  <r>
    <s v="LETICIA"/>
    <x v="130"/>
    <x v="85"/>
    <x v="37"/>
    <s v="COSMÉTICO"/>
    <x v="70"/>
    <s v="CAMISETA MALHA 100% ALGODÃO "/>
    <s v="CAMISETA"/>
    <s v="LEVE"/>
    <n v="5"/>
    <n v="45"/>
    <n v="225"/>
    <n v="0"/>
    <d v="2025-03-31T00:00:00"/>
    <n v="14"/>
    <m/>
    <s v="ENTREGUE"/>
    <n v="1.25"/>
    <n v="3.5"/>
    <n v="7.5"/>
    <n v="2.5"/>
    <n v="14.75"/>
  </r>
  <r>
    <s v="RAFAEL"/>
    <x v="131"/>
    <x v="86"/>
    <x v="37"/>
    <s v="COSMÉTICO"/>
    <x v="81"/>
    <s v="AVENTAL NY 210"/>
    <s v="AVENTAL"/>
    <s v="LEVE"/>
    <n v="100"/>
    <n v="19.899999999999999"/>
    <n v="1989.9999999999998"/>
    <n v="0"/>
    <d v="2025-04-10T00:00:00"/>
    <n v="15"/>
    <m/>
    <s v="ENTREGUE"/>
    <n v="25"/>
    <n v="100"/>
    <n v="184"/>
    <n v="50"/>
    <n v="359"/>
  </r>
  <r>
    <s v="RAFAEL"/>
    <x v="131"/>
    <x v="86"/>
    <x v="37"/>
    <s v="COSMÉTICO"/>
    <x v="81"/>
    <s v="CAPA DE CORTE "/>
    <s v="CAPA"/>
    <s v="LEVE"/>
    <n v="100"/>
    <n v="18.5"/>
    <n v="1850"/>
    <n v="0"/>
    <d v="2025-04-10T00:00:00"/>
    <n v="15"/>
    <m/>
    <s v="ENTREGUE"/>
    <n v="25"/>
    <n v="100"/>
    <n v="120"/>
    <n v="50"/>
    <n v="295"/>
  </r>
  <r>
    <s v="RAFAEL"/>
    <x v="131"/>
    <x v="86"/>
    <x v="37"/>
    <s v="COSMÉTICO"/>
    <x v="81"/>
    <s v="CAMISETA GOLA CARECA MALHA PV "/>
    <s v="CAMISETA"/>
    <s v="LEVE"/>
    <n v="100"/>
    <n v="34"/>
    <n v="3400"/>
    <n v="0"/>
    <d v="2025-04-10T00:00:00"/>
    <n v="15"/>
    <m/>
    <s v="ENTREGUE"/>
    <n v="25"/>
    <n v="100"/>
    <n v="150"/>
    <n v="50"/>
    <n v="325"/>
  </r>
  <r>
    <s v="RAFAEL"/>
    <x v="131"/>
    <x v="86"/>
    <x v="37"/>
    <s v="COSMÉTICO"/>
    <x v="81"/>
    <s v="AVENTAL BARBEIRO COURO SINTETICO "/>
    <s v="AVENTAL"/>
    <s v="PESADA"/>
    <n v="30"/>
    <n v="85"/>
    <n v="2550"/>
    <n v="0"/>
    <d v="2025-04-10T00:00:00"/>
    <n v="15"/>
    <m/>
    <s v="ENTREGUE"/>
    <n v="7.5"/>
    <n v="30"/>
    <n v="90"/>
    <n v="15"/>
    <n v="142.5"/>
  </r>
  <r>
    <s v="RAFAEL"/>
    <x v="131"/>
    <x v="86"/>
    <x v="37"/>
    <s v="COSMÉTICO"/>
    <x v="81"/>
    <s v="CAMISETA POLO PIQUET"/>
    <s v="POLO"/>
    <s v="LEVE"/>
    <n v="27"/>
    <n v="80"/>
    <n v="2160"/>
    <n v="0"/>
    <d v="2025-04-10T00:00:00"/>
    <n v="15"/>
    <m/>
    <s v="ENTREGUE"/>
    <n v="6.75"/>
    <n v="27"/>
    <n v="40.5"/>
    <n v="13.5"/>
    <n v="87.75"/>
  </r>
  <r>
    <s v="LETICIA"/>
    <x v="132"/>
    <x v="86"/>
    <x v="37"/>
    <s v="COSMÉTICO"/>
    <x v="82"/>
    <s v="AVENTAL OXFORD MODELO PADRÃO"/>
    <s v="AVENTAL"/>
    <s v="LEVE"/>
    <n v="50"/>
    <n v="20"/>
    <n v="1000"/>
    <n v="0"/>
    <d v="2025-04-08T00:00:00"/>
    <n v="15"/>
    <m/>
    <s v="ENTREGUE"/>
    <n v="12.5"/>
    <n v="35"/>
    <n v="75"/>
    <n v="25"/>
    <n v="147.5"/>
  </r>
  <r>
    <s v="LETICIA"/>
    <x v="132"/>
    <x v="86"/>
    <x v="37"/>
    <s v="COSMÉTICO"/>
    <x v="82"/>
    <s v="CAPA DE CORTE CETIM "/>
    <s v="CAPA"/>
    <s v="LEVE "/>
    <n v="50"/>
    <n v="20"/>
    <n v="1000"/>
    <n v="0"/>
    <d v="2025-04-08T00:00:00"/>
    <n v="15"/>
    <m/>
    <s v="ENTREGUE"/>
    <n v="12.5"/>
    <n v="35"/>
    <n v="50"/>
    <n v="25"/>
    <n v="122.5"/>
  </r>
  <r>
    <s v="RAFAEL"/>
    <x v="133"/>
    <x v="87"/>
    <x v="37"/>
    <s v="PET"/>
    <x v="83"/>
    <s v="JALECO GROOMER TAFETA - COM ZUPER E BOLSO"/>
    <s v="JALECO"/>
    <s v="LEVE"/>
    <n v="100"/>
    <n v="67"/>
    <n v="6700"/>
    <n v="0"/>
    <d v="2025-04-11T00:00:00"/>
    <n v="15"/>
    <m/>
    <s v="ENTREGUE"/>
    <n v="25"/>
    <n v="100"/>
    <n v="1000"/>
    <n v="50"/>
    <n v="1175"/>
  </r>
  <r>
    <s v="RAFAEL"/>
    <x v="134"/>
    <x v="87"/>
    <x v="37"/>
    <s v="COSMÉTICO"/>
    <x v="84"/>
    <s v="CAPA DE CORTE TACTEL 0,85 X 1,40"/>
    <s v="CAPA"/>
    <s v="LEVE"/>
    <n v="50"/>
    <n v="21"/>
    <n v="1050"/>
    <n v="0"/>
    <d v="2025-04-15T00:00:00"/>
    <n v="16"/>
    <m/>
    <s v="ENTREGUE"/>
    <n v="12.5"/>
    <n v="50"/>
    <n v="75"/>
    <n v="25"/>
    <n v="162.5"/>
  </r>
  <r>
    <s v="RAFAEL"/>
    <x v="134"/>
    <x v="87"/>
    <x v="37"/>
    <s v="COSMÉTICO"/>
    <x v="84"/>
    <s v="KIMONO CETIM - TAM ÚNICO"/>
    <s v="KIMONO"/>
    <s v="PESADA"/>
    <n v="20"/>
    <n v="45"/>
    <n v="900"/>
    <n v="0"/>
    <d v="2025-04-15T00:00:00"/>
    <n v="16"/>
    <m/>
    <s v="ENTREGUE"/>
    <n v="5"/>
    <n v="30"/>
    <n v="105.39999999999999"/>
    <n v="10"/>
    <n v="150.39999999999998"/>
  </r>
  <r>
    <s v="RAFAEL"/>
    <x v="134"/>
    <x v="87"/>
    <x v="37"/>
    <s v="COSMÉTICO"/>
    <x v="84"/>
    <s v="CAMISETA GOLA CARECA MALHA PV"/>
    <s v="CAMISETA"/>
    <s v="LEVE"/>
    <n v="50"/>
    <n v="35"/>
    <n v="1750"/>
    <n v="0"/>
    <d v="2025-04-15T00:00:00"/>
    <n v="16"/>
    <m/>
    <s v="ENTREGUE"/>
    <n v="12.5"/>
    <n v="50"/>
    <n v="75"/>
    <n v="25"/>
    <n v="162.5"/>
  </r>
  <r>
    <s v="LETICIA"/>
    <x v="135"/>
    <x v="87"/>
    <x v="37"/>
    <s v="HAVANNA"/>
    <x v="85"/>
    <s v="CAMISETA GOLA CARECA 100% ALGODÃO "/>
    <s v="CAMISETA"/>
    <s v="LEVE"/>
    <n v="6"/>
    <n v="36.75"/>
    <n v="220.5"/>
    <n v="0"/>
    <d v="2025-04-12T00:00:00"/>
    <n v="15"/>
    <m/>
    <s v="ENTREGUE"/>
    <n v="1.5"/>
    <n v="6"/>
    <n v="9"/>
    <n v="3"/>
    <n v="19.5"/>
  </r>
  <r>
    <s v="LETICIA"/>
    <x v="135"/>
    <x v="87"/>
    <x v="37"/>
    <s v="HAVANNA"/>
    <x v="85"/>
    <s v="AVENTAL OXFORD MODELO PADRÃO"/>
    <s v="AVENTAL"/>
    <s v="LEVE"/>
    <n v="4"/>
    <n v="25"/>
    <n v="100"/>
    <n v="0"/>
    <d v="2025-04-12T00:00:00"/>
    <n v="15"/>
    <m/>
    <s v="ENTREGUE"/>
    <n v="1"/>
    <n v="4"/>
    <n v="6"/>
    <n v="2"/>
    <n v="13"/>
  </r>
  <r>
    <s v="LETICIA"/>
    <x v="135"/>
    <x v="87"/>
    <x v="37"/>
    <s v="HAVANNA"/>
    <x v="85"/>
    <s v="FAIXA DE CABELO"/>
    <s v="FAIXA"/>
    <s v="LEVE"/>
    <n v="4"/>
    <n v="21"/>
    <n v="84"/>
    <n v="0"/>
    <d v="2025-04-12T00:00:00"/>
    <n v="15"/>
    <m/>
    <s v="ENTREGUE"/>
    <n v="1"/>
    <n v="4"/>
    <n v="4.8"/>
    <n v="2"/>
    <n v="11.8"/>
  </r>
  <r>
    <s v="CONSERV"/>
    <x v="136"/>
    <x v="87"/>
    <x v="37"/>
    <s v="COSMÉTICO"/>
    <x v="86"/>
    <s v="AVENTAL VINTAGE "/>
    <s v="AVENTAL"/>
    <s v="PESADA"/>
    <n v="3"/>
    <m/>
    <m/>
    <n v="0"/>
    <d v="2025-02-14T00:00:00"/>
    <n v="7"/>
    <s v="OK"/>
    <s v="ENTREGUE"/>
    <n v="0.75"/>
    <n v="3"/>
    <n v="9"/>
    <n v="1.5"/>
    <n v="14.25"/>
  </r>
  <r>
    <s v="CONSERV"/>
    <x v="136"/>
    <x v="87"/>
    <x v="37"/>
    <s v="COSMÉTICO"/>
    <x v="86"/>
    <s v="AVENTAL OXFORD MODELO PADRÃO"/>
    <s v="AVENTAL"/>
    <s v="LEVE"/>
    <n v="100"/>
    <m/>
    <m/>
    <n v="0"/>
    <d v="2025-02-14T00:00:00"/>
    <n v="7"/>
    <s v="OK"/>
    <s v="ENTREGUE"/>
    <n v="25"/>
    <n v="70"/>
    <n v="150"/>
    <n v="50"/>
    <n v="295"/>
  </r>
  <r>
    <s v="LETICIA"/>
    <x v="137"/>
    <x v="87"/>
    <x v="37"/>
    <s v="COSMÉTICO"/>
    <x v="87"/>
    <s v="AVENTAL BARBEIRO COURO SINTETICO "/>
    <s v="AVENTAL"/>
    <s v="PESADA"/>
    <n v="600"/>
    <n v="65"/>
    <n v="39000"/>
    <n v="0"/>
    <d v="2025-04-15T00:00:00"/>
    <n v="16"/>
    <m/>
    <s v="ENTREGUE"/>
    <n v="600"/>
    <n v="600"/>
    <n v="1800"/>
    <n v="1200"/>
    <n v="4200"/>
  </r>
  <r>
    <s v="LETICIA"/>
    <x v="138"/>
    <x v="87"/>
    <x v="37"/>
    <s v="COSMÉTICO"/>
    <x v="88"/>
    <s v="CAMISETA MALHA PV GOLA CARECA"/>
    <s v="CAMISETA"/>
    <s v="LEVE"/>
    <n v="110"/>
    <n v="25"/>
    <n v="2750"/>
    <n v="0"/>
    <d v="2025-04-11T00:00:00"/>
    <n v="15"/>
    <m/>
    <s v="ENTREGUE"/>
    <n v="27.5"/>
    <n v="110"/>
    <n v="165"/>
    <n v="55"/>
    <n v="357.5"/>
  </r>
  <r>
    <s v="RAFAEL"/>
    <x v="139"/>
    <x v="88"/>
    <x v="37"/>
    <s v="COSMÉTICO"/>
    <x v="89"/>
    <s v="NECESSAIRE CRISTAL 18X22X8 - BRASILIZ"/>
    <s v="NECESSAIRE"/>
    <s v="PESADA"/>
    <n v="1000"/>
    <n v="11.5"/>
    <n v="11500"/>
    <n v="0"/>
    <d v="2025-04-14T00:00:00"/>
    <n v="16"/>
    <m/>
    <s v="ENTREGUE"/>
    <n v="250"/>
    <n v="1000"/>
    <n v="1750"/>
    <n v="500"/>
    <n v="3500"/>
  </r>
  <r>
    <s v="RAFAEL"/>
    <x v="140"/>
    <x v="88"/>
    <x v="37"/>
    <s v="COSMÉTICO"/>
    <x v="90"/>
    <s v="CAMISETA GOLA CARECA MALHA PV"/>
    <s v="CAMISETA"/>
    <s v="LEVE"/>
    <n v="50"/>
    <n v="26"/>
    <n v="1300"/>
    <n v="0"/>
    <d v="2025-04-12T00:00:00"/>
    <n v="15"/>
    <m/>
    <s v="ENTREGUE"/>
    <n v="12.5"/>
    <n v="50"/>
    <n v="75"/>
    <n v="25"/>
    <n v="162.5"/>
  </r>
  <r>
    <s v="RAFAEL"/>
    <x v="140"/>
    <x v="88"/>
    <x v="37"/>
    <s v="COSMÉTICO"/>
    <x v="90"/>
    <s v="BABY LOOK FEMININA MALHA PV"/>
    <s v="BABY LOOK"/>
    <s v="LEVE"/>
    <n v="100"/>
    <n v="26"/>
    <n v="2600"/>
    <n v="0"/>
    <d v="2025-04-12T00:00:00"/>
    <n v="15"/>
    <m/>
    <s v="ENTREGUE"/>
    <n v="25"/>
    <n v="229.99999999999997"/>
    <n v="150"/>
    <n v="50"/>
    <n v="455"/>
  </r>
  <r>
    <s v="RAFAEL"/>
    <x v="141"/>
    <x v="89"/>
    <x v="37"/>
    <s v="COSMÉTICO"/>
    <x v="91"/>
    <s v="CALÇA BRIM"/>
    <s v="CALÇA "/>
    <s v="PESADA"/>
    <n v="50"/>
    <n v="75"/>
    <n v="3750"/>
    <n v="0"/>
    <d v="2025-04-13T00:00:00"/>
    <n v="16"/>
    <m/>
    <s v="ENTREGUE"/>
    <n v="100"/>
    <n v="0"/>
    <n v="150"/>
    <n v="50"/>
    <n v="300"/>
  </r>
  <r>
    <s v="RAFAEL"/>
    <x v="141"/>
    <x v="89"/>
    <x v="37"/>
    <s v="COSMÉTICO"/>
    <x v="91"/>
    <s v="CAMISETA GOLA CARECA MALHA PV"/>
    <s v="CAMISETA"/>
    <s v="LEVE"/>
    <n v="100"/>
    <n v="26"/>
    <n v="2600"/>
    <n v="0"/>
    <d v="2025-04-13T00:00:00"/>
    <n v="16"/>
    <m/>
    <s v="ENTREGUE"/>
    <n v="100"/>
    <n v="229.99999999999997"/>
    <n v="150"/>
    <n v="100"/>
    <n v="580"/>
  </r>
  <r>
    <s v="RAFAEL"/>
    <x v="142"/>
    <x v="89"/>
    <x v="37"/>
    <s v="PET"/>
    <x v="92"/>
    <s v="JALECO GROOMER"/>
    <s v="JALECO"/>
    <s v="LEVE"/>
    <n v="60"/>
    <n v="48"/>
    <n v="2880"/>
    <n v="0"/>
    <d v="2025-04-13T00:00:00"/>
    <n v="16"/>
    <m/>
    <s v="ENTREGUE"/>
    <n v="30"/>
    <n v="42"/>
    <n v="600"/>
    <n v="30"/>
    <n v="702"/>
  </r>
  <r>
    <s v="MICHEL"/>
    <x v="143"/>
    <x v="90"/>
    <x v="38"/>
    <s v="PET"/>
    <x v="93"/>
    <s v="SACOLA ALGODAO CRU 50L X 40A"/>
    <s v="SACOLA"/>
    <s v="LEVE"/>
    <n v="300"/>
    <n v="9.9"/>
    <n v="2970"/>
    <n v="0"/>
    <d v="2025-04-15T00:00:00"/>
    <n v="16"/>
    <m/>
    <s v="ENTREGUE"/>
    <n v="300"/>
    <n v="300"/>
    <n v="300"/>
    <n v="300"/>
    <n v="1200"/>
  </r>
  <r>
    <s v="RAFAEL"/>
    <x v="144"/>
    <x v="91"/>
    <x v="38"/>
    <s v="COSMÉTICO"/>
    <x v="71"/>
    <s v="AVENTAL NY EMBORRACHADO"/>
    <s v="AVENTAL"/>
    <s v="LEVE"/>
    <n v="100"/>
    <n v="23.5"/>
    <n v="2350"/>
    <n v="0"/>
    <d v="2025-04-16T00:00:00"/>
    <n v="16"/>
    <m/>
    <s v="ENTREGUE"/>
    <n v="25"/>
    <n v="100"/>
    <n v="160"/>
    <n v="50"/>
    <n v="335"/>
  </r>
  <r>
    <s v="RAFAEL"/>
    <x v="144"/>
    <x v="91"/>
    <x v="38"/>
    <s v="COSMÉTICO"/>
    <x v="71"/>
    <s v="CAPA DE CORTE CETIM 1,40X1,50"/>
    <s v="CAPA"/>
    <s v="LEVE"/>
    <n v="100"/>
    <n v="24.5"/>
    <n v="2450"/>
    <n v="0"/>
    <d v="2025-04-16T00:00:00"/>
    <n v="16"/>
    <m/>
    <s v="ENTREGUE"/>
    <n v="25"/>
    <n v="70"/>
    <n v="100"/>
    <n v="50"/>
    <n v="245"/>
  </r>
  <r>
    <s v="LETICIA"/>
    <x v="145"/>
    <x v="92"/>
    <x v="38"/>
    <s v="PET"/>
    <x v="41"/>
    <s v="JALECO GROOMER"/>
    <s v="JALECO"/>
    <s v="LEVE"/>
    <n v="60"/>
    <n v="40"/>
    <n v="2400"/>
    <n v="0"/>
    <d v="2025-04-16T00:00:00"/>
    <n v="16"/>
    <m/>
    <s v="ENTREGUE"/>
    <n v="30"/>
    <n v="60"/>
    <n v="600"/>
    <n v="30"/>
    <n v="720"/>
  </r>
  <r>
    <s v="RAFAEL"/>
    <x v="146"/>
    <x v="92"/>
    <x v="38"/>
    <s v="COSMÉTICO"/>
    <x v="94"/>
    <s v="AVENTAL VINTAGE"/>
    <s v="AVENTAL"/>
    <s v="PESADA"/>
    <n v="100"/>
    <n v="60"/>
    <n v="6000"/>
    <n v="0"/>
    <d v="2025-04-16T00:00:00"/>
    <n v="16"/>
    <m/>
    <s v="ENTREGUE"/>
    <n v="100"/>
    <n v="200"/>
    <n v="500"/>
    <n v="100"/>
    <n v="900"/>
  </r>
  <r>
    <s v="RAFAEL"/>
    <x v="146"/>
    <x v="92"/>
    <x v="38"/>
    <s v="COSMÉTICO"/>
    <x v="94"/>
    <s v="AVENTAL NY 210"/>
    <s v="AVENTAL"/>
    <s v="LEVE"/>
    <n v="200"/>
    <n v="19.5"/>
    <n v="3900"/>
    <n v="0"/>
    <d v="2025-04-16T00:00:00"/>
    <n v="16"/>
    <m/>
    <s v="ENTREGUE"/>
    <n v="50"/>
    <n v="200"/>
    <n v="368"/>
    <n v="100"/>
    <n v="718"/>
  </r>
  <r>
    <s v="RAFAEL"/>
    <x v="146"/>
    <x v="92"/>
    <x v="38"/>
    <s v="COSMÉTICO"/>
    <x v="94"/>
    <s v="CAPA DE CORTE IMPERMEAVEL"/>
    <s v="CAPA"/>
    <s v="LEVE"/>
    <n v="200"/>
    <n v="26.5"/>
    <n v="5300"/>
    <n v="0"/>
    <d v="2025-04-16T00:00:00"/>
    <n v="16"/>
    <m/>
    <s v="ENTREGUE"/>
    <n v="200"/>
    <n v="200"/>
    <n v="200"/>
    <n v="200"/>
    <n v="800"/>
  </r>
  <r>
    <s v="SANDY"/>
    <x v="147"/>
    <x v="92"/>
    <x v="38"/>
    <s v="HAVANNA"/>
    <x v="95"/>
    <s v="CALÇA BRIM"/>
    <s v="CALÇA "/>
    <s v="PESADA"/>
    <n v="2"/>
    <n v="75"/>
    <n v="150"/>
    <n v="0"/>
    <d v="2025-03-21T00:00:00"/>
    <n v="12"/>
    <m/>
    <s v="ENTREGUE"/>
    <n v="0.5"/>
    <n v="0"/>
    <n v="6"/>
    <n v="1"/>
    <n v="7.5"/>
  </r>
  <r>
    <s v="SANDY"/>
    <x v="147"/>
    <x v="92"/>
    <x v="38"/>
    <s v="HAVANNA"/>
    <x v="95"/>
    <s v="CALÇA LEGGING"/>
    <s v="CALÇA "/>
    <s v="LEVE"/>
    <n v="6"/>
    <n v="85"/>
    <n v="510"/>
    <n v="0"/>
    <d v="2025-03-21T00:00:00"/>
    <n v="12"/>
    <m/>
    <s v="ENTREGUE"/>
    <n v="1.5"/>
    <n v="0"/>
    <n v="18"/>
    <n v="3"/>
    <n v="22.5"/>
  </r>
  <r>
    <s v="SANDY"/>
    <x v="147"/>
    <x v="92"/>
    <x v="38"/>
    <s v="HAVANNA"/>
    <x v="95"/>
    <s v="FAIXA DE CABELO"/>
    <s v="FAIXA"/>
    <s v="LEVE"/>
    <n v="5"/>
    <n v="21"/>
    <n v="105"/>
    <n v="0"/>
    <d v="2025-03-21T00:00:00"/>
    <n v="12"/>
    <m/>
    <s v="ENTREGUE"/>
    <n v="1.25"/>
    <n v="5"/>
    <n v="6"/>
    <n v="2.5"/>
    <n v="14.75"/>
  </r>
  <r>
    <s v="SANDY"/>
    <x v="147"/>
    <x v="92"/>
    <x v="38"/>
    <s v="HAVANNA"/>
    <x v="95"/>
    <s v="AVENTAL OXFORD MODELO PADRÃO"/>
    <s v="AVENTAL"/>
    <s v="LEVE"/>
    <n v="7"/>
    <n v="25"/>
    <n v="175"/>
    <n v="0"/>
    <d v="2025-03-21T00:00:00"/>
    <n v="12"/>
    <m/>
    <s v="ENTREGUE"/>
    <n v="1.75"/>
    <n v="4.8999999999999995"/>
    <n v="12.88"/>
    <n v="3.5"/>
    <n v="23.03"/>
  </r>
  <r>
    <s v="SANDY"/>
    <x v="147"/>
    <x v="92"/>
    <x v="38"/>
    <s v="HAVANNA"/>
    <x v="95"/>
    <s v="CAMISETA MALHA 100% ALGODÃO"/>
    <s v="CAMISETA"/>
    <s v="LEVE"/>
    <n v="16"/>
    <n v="36.75"/>
    <n v="588"/>
    <n v="0"/>
    <d v="2025-03-21T00:00:00"/>
    <n v="12"/>
    <m/>
    <s v="ENTREGUE"/>
    <n v="4"/>
    <n v="24"/>
    <n v="24"/>
    <n v="8"/>
    <n v="60"/>
  </r>
  <r>
    <s v="RAFAEL"/>
    <x v="148"/>
    <x v="92"/>
    <x v="38"/>
    <s v="COSMÉTICO"/>
    <x v="96"/>
    <s v="AVENTAL VINTAGE OFF WHITE"/>
    <s v="AVENTAL"/>
    <s v="PESADA"/>
    <n v="100"/>
    <n v="67"/>
    <n v="6700"/>
    <n v="0"/>
    <d v="2025-04-16T00:00:00"/>
    <n v="16"/>
    <m/>
    <s v="ENTREGUE"/>
    <n v="100"/>
    <n v="200"/>
    <n v="500"/>
    <n v="100"/>
    <n v="900"/>
  </r>
  <r>
    <s v="RAFAEL"/>
    <x v="149"/>
    <x v="93"/>
    <x v="38"/>
    <s v="COSMÉTICO"/>
    <x v="97"/>
    <s v="AVENTAL SUBLIMADO COM BOLSO "/>
    <s v="AVENTAL"/>
    <s v="LEVE"/>
    <n v="1410"/>
    <n v="20.5"/>
    <n v="28905"/>
    <n v="0"/>
    <d v="2025-04-16T00:00:00"/>
    <n v="16"/>
    <m/>
    <s v="ENTREGUE"/>
    <n v="1410"/>
    <n v="705"/>
    <n v="1833"/>
    <n v="1410"/>
    <n v="5358"/>
  </r>
  <r>
    <s v="RAFAEL"/>
    <x v="149"/>
    <x v="93"/>
    <x v="38"/>
    <s v="COSMÉTICO"/>
    <x v="97"/>
    <s v="CAPA DE CORTE TACTEL"/>
    <s v="CAPA"/>
    <s v="LEVE"/>
    <n v="630"/>
    <n v="25.5"/>
    <n v="16065"/>
    <n v="0"/>
    <d v="2025-04-16T00:00:00"/>
    <n v="16"/>
    <m/>
    <s v="ENTREGUE"/>
    <n v="157.5"/>
    <n v="630"/>
    <n v="945"/>
    <n v="315"/>
    <n v="2047.5"/>
  </r>
  <r>
    <s v="RAFAEL"/>
    <x v="149"/>
    <x v="93"/>
    <x v="38"/>
    <s v="COSMÉTICO"/>
    <x v="97"/>
    <s v="CAPA DE CORTE TACTEL BIG"/>
    <s v="CAPA"/>
    <s v="LEVE"/>
    <n v="6"/>
    <n v="80"/>
    <n v="480"/>
    <n v="0"/>
    <d v="2025-04-16T00:00:00"/>
    <n v="16"/>
    <m/>
    <s v="ENTREGUE"/>
    <n v="1.5"/>
    <n v="6"/>
    <n v="9"/>
    <n v="3"/>
    <n v="19.5"/>
  </r>
  <r>
    <s v="RAFAEL"/>
    <x v="150"/>
    <x v="93"/>
    <x v="38"/>
    <s v="COSMÉTICO"/>
    <x v="98"/>
    <s v="CAPA DE CORTE  CETIM"/>
    <s v="CAPA"/>
    <s v="LEVE"/>
    <n v="50"/>
    <n v="20"/>
    <n v="1000"/>
    <n v="0"/>
    <d v="2025-04-16T00:00:00"/>
    <n v="16"/>
    <m/>
    <s v="ENTREGUE"/>
    <n v="12.5"/>
    <n v="35"/>
    <n v="50"/>
    <n v="25"/>
    <n v="122.5"/>
  </r>
  <r>
    <s v="RAFAEL"/>
    <x v="150"/>
    <x v="93"/>
    <x v="38"/>
    <s v="COSMÉTICO"/>
    <x v="98"/>
    <s v="AVENTAL OXFORD MODELO PADRÃO"/>
    <s v="AVENTAL"/>
    <s v="LEVE"/>
    <n v="50"/>
    <n v="20"/>
    <n v="1000"/>
    <n v="0"/>
    <d v="2025-04-16T00:00:00"/>
    <n v="16"/>
    <m/>
    <s v="ENTREGUE"/>
    <n v="12.5"/>
    <n v="50"/>
    <n v="75"/>
    <n v="25"/>
    <n v="162.5"/>
  </r>
  <r>
    <s v="LETICIA"/>
    <x v="151"/>
    <x v="93"/>
    <x v="38"/>
    <s v="PET"/>
    <x v="73"/>
    <s v="AVENTAL NY EMBORRACHADO"/>
    <s v="AVENTAL"/>
    <s v="LEVE"/>
    <n v="300"/>
    <n v="22.5"/>
    <n v="6750"/>
    <n v="0"/>
    <d v="2025-04-17T00:00:00"/>
    <n v="16"/>
    <m/>
    <s v="ENTREGUE"/>
    <n v="75"/>
    <n v="300"/>
    <n v="552"/>
    <n v="150"/>
    <n v="1077"/>
  </r>
  <r>
    <s v="RAFAEL"/>
    <x v="152"/>
    <x v="94"/>
    <x v="38"/>
    <s v="COSMÉTICO"/>
    <x v="99"/>
    <s v="SACOLA TNT 60G 65L X 70A"/>
    <s v="SACOLA"/>
    <s v="LEVE"/>
    <n v="50"/>
    <n v="15"/>
    <n v="750"/>
    <n v="0"/>
    <d v="2025-04-16T00:00:00"/>
    <n v="16"/>
    <m/>
    <s v="ENTREGUE"/>
    <n v="12.5"/>
    <n v="35"/>
    <n v="50"/>
    <n v="25"/>
    <n v="122.5"/>
  </r>
  <r>
    <s v="RAFAEL"/>
    <x v="153"/>
    <x v="95"/>
    <x v="39"/>
    <s v="COSMÉTICO"/>
    <x v="100"/>
    <s v="AVENTAL VINTAGE OFF WHITE"/>
    <s v="AVENTAL"/>
    <s v="PESADA"/>
    <n v="150"/>
    <n v="52"/>
    <n v="7800"/>
    <n v="0"/>
    <d v="2025-04-20T00:00:00"/>
    <n v="17"/>
    <m/>
    <s v="ENTREGUE"/>
    <n v="150"/>
    <n v="300"/>
    <n v="750"/>
    <n v="150"/>
    <n v="1350"/>
  </r>
  <r>
    <s v="RAFAEL"/>
    <x v="153"/>
    <x v="95"/>
    <x v="39"/>
    <s v="COSMÉTICO"/>
    <x v="100"/>
    <s v="AVENTAL OXFORD MODELO PADRÃO"/>
    <s v="AVENTAL"/>
    <s v="LEVE"/>
    <n v="100"/>
    <n v="15.5"/>
    <n v="1550"/>
    <n v="0"/>
    <d v="2025-04-20T00:00:00"/>
    <n v="17"/>
    <m/>
    <s v="ENTREGUE"/>
    <n v="25"/>
    <n v="100"/>
    <n v="150"/>
    <n v="50"/>
    <n v="325"/>
  </r>
  <r>
    <s v="LETICIA"/>
    <x v="154"/>
    <x v="96"/>
    <x v="39"/>
    <s v="COSMÉTICO"/>
    <x v="101"/>
    <s v="AVENTAL GABARNI"/>
    <s v="AVENTAL"/>
    <s v="PESADA"/>
    <n v="50"/>
    <n v="45"/>
    <n v="2250"/>
    <n v="0"/>
    <d v="2025-04-15T00:00:00"/>
    <n v="16"/>
    <m/>
    <s v="ENTREGUE"/>
    <n v="50"/>
    <n v="50"/>
    <n v="150"/>
    <n v="50"/>
    <n v="300"/>
  </r>
  <r>
    <s v="RAFAEL"/>
    <x v="155"/>
    <x v="96"/>
    <x v="39"/>
    <s v="PET"/>
    <x v="102"/>
    <s v="AVENTAL NY EMBORRACHADO"/>
    <s v="AVENTAL"/>
    <s v="LEVE"/>
    <n v="100"/>
    <n v="25"/>
    <n v="2500"/>
    <n v="0"/>
    <d v="2025-04-22T00:00:00"/>
    <n v="17"/>
    <m/>
    <s v="ENTREGUE"/>
    <n v="25"/>
    <n v="100"/>
    <n v="184"/>
    <n v="50"/>
    <n v="359"/>
  </r>
  <r>
    <s v="LETICIA"/>
    <x v="156"/>
    <x v="96"/>
    <x v="39"/>
    <s v="COSMÉTICO"/>
    <x v="87"/>
    <s v="AVENTAL BARBEIRO COURO SINTETICO "/>
    <s v="AVENTAL"/>
    <s v="PESADA"/>
    <n v="110"/>
    <n v="65"/>
    <n v="7150"/>
    <n v="0"/>
    <d v="2025-04-25T00:00:00"/>
    <n v="17"/>
    <m/>
    <s v="ENTREGUE"/>
    <n v="110"/>
    <n v="110"/>
    <n v="330"/>
    <n v="220"/>
    <n v="770"/>
  </r>
  <r>
    <s v="LETICIA"/>
    <x v="157"/>
    <x v="96"/>
    <x v="39"/>
    <s v="COMÉRCIO"/>
    <x v="39"/>
    <s v="SACO ALGODÃO CRU"/>
    <s v="SACO"/>
    <s v="LEVE"/>
    <n v="200"/>
    <n v="16.5"/>
    <n v="3300"/>
    <n v="0"/>
    <d v="2025-04-25T00:00:00"/>
    <n v="17"/>
    <m/>
    <s v="ENTREGUE"/>
    <n v="50"/>
    <n v="100"/>
    <n v="160"/>
    <n v="100"/>
    <n v="410"/>
  </r>
  <r>
    <s v="RAFAEL"/>
    <x v="158"/>
    <x v="96"/>
    <x v="39"/>
    <s v="PET"/>
    <x v="103"/>
    <s v="AVENTAL NY EMBORRACHADO"/>
    <s v="AVENTAL"/>
    <s v="LEVE"/>
    <n v="100"/>
    <n v="25"/>
    <n v="2500"/>
    <n v="0"/>
    <d v="2025-04-22T00:00:00"/>
    <n v="17"/>
    <m/>
    <s v="ENTREGUE"/>
    <n v="25"/>
    <n v="100"/>
    <n v="184"/>
    <n v="50"/>
    <n v="359"/>
  </r>
  <r>
    <s v="RAFAEL"/>
    <x v="159"/>
    <x v="97"/>
    <x v="39"/>
    <s v="COSMÉTICO"/>
    <x v="97"/>
    <s v="AVENTAL POLIESTER COM BOLSO"/>
    <s v="AVENTAL"/>
    <s v="PESADA"/>
    <n v="220"/>
    <n v="20.5"/>
    <n v="4510"/>
    <n v="0"/>
    <d v="2025-04-25T00:00:00"/>
    <n v="17"/>
    <m/>
    <s v="ENTREGUE"/>
    <n v="55"/>
    <n v="154"/>
    <n v="286"/>
    <n v="110"/>
    <n v="605"/>
  </r>
  <r>
    <s v="RAFAEL"/>
    <x v="160"/>
    <x v="97"/>
    <x v="39"/>
    <s v="COSMÉTICO"/>
    <x v="104"/>
    <s v="AVENTAL NY 210"/>
    <s v="AVENTAL"/>
    <s v="LEVE"/>
    <n v="100"/>
    <n v="19"/>
    <n v="1900"/>
    <n v="0"/>
    <d v="2025-04-24T00:00:00"/>
    <n v="17"/>
    <m/>
    <s v="ENTREGUE"/>
    <n v="25"/>
    <n v="100"/>
    <n v="184"/>
    <n v="50"/>
    <n v="359"/>
  </r>
  <r>
    <s v="RAFAEL"/>
    <x v="161"/>
    <x v="98"/>
    <x v="39"/>
    <s v="COSMÉTICO"/>
    <x v="105"/>
    <s v="AVENTAL NY 210"/>
    <s v="AVENTAL"/>
    <s v="LEVE"/>
    <n v="100"/>
    <n v="19.899999999999999"/>
    <n v="1989.9999999999998"/>
    <n v="0"/>
    <d v="2025-03-28T00:00:00"/>
    <n v="13"/>
    <m/>
    <s v="ENTREGUE"/>
    <n v="25"/>
    <n v="100"/>
    <n v="184"/>
    <n v="50"/>
    <n v="359"/>
  </r>
  <r>
    <s v="RAFAEL"/>
    <x v="162"/>
    <x v="98"/>
    <x v="39"/>
    <s v="COSMÉTICO"/>
    <x v="106"/>
    <s v="CAMISA DRYFIT GOLA CARECA"/>
    <s v="CAMISETA"/>
    <s v="LEVE"/>
    <n v="92"/>
    <n v="35"/>
    <n v="3220"/>
    <n v="0"/>
    <d v="2025-03-31T00:00:00"/>
    <n v="14"/>
    <m/>
    <s v="ENTREGUE"/>
    <n v="23"/>
    <n v="64.399999999999991"/>
    <n v="92"/>
    <n v="46"/>
    <n v="225.39999999999998"/>
  </r>
  <r>
    <s v="LETICIA"/>
    <x v="163"/>
    <x v="99"/>
    <x v="40"/>
    <s v="COSMÉTICO"/>
    <x v="107"/>
    <s v="AVENTAL NY 210"/>
    <s v="AVENTAL"/>
    <s v="LEVE"/>
    <n v="100"/>
    <n v="19.5"/>
    <n v="1950"/>
    <n v="0"/>
    <d v="2025-04-30T00:00:00"/>
    <n v="18"/>
    <m/>
    <s v="ENTREGUE"/>
    <n v="25"/>
    <n v="100"/>
    <n v="184"/>
    <n v="50"/>
    <n v="359"/>
  </r>
  <r>
    <s v="LETICIA"/>
    <x v="163"/>
    <x v="99"/>
    <x v="40"/>
    <s v="COSMÉTICO"/>
    <x v="107"/>
    <s v="CAMISETA MALHA PV"/>
    <s v="CAMISETA"/>
    <s v="LEVE"/>
    <n v="30"/>
    <n v="35"/>
    <n v="1050"/>
    <n v="0"/>
    <d v="2025-04-30T00:00:00"/>
    <n v="18"/>
    <m/>
    <s v="ENTREGUE"/>
    <n v="7.5"/>
    <n v="30"/>
    <n v="45"/>
    <n v="15"/>
    <n v="97.5"/>
  </r>
  <r>
    <s v="LETICIA"/>
    <x v="163"/>
    <x v="99"/>
    <x v="40"/>
    <s v="COSMÉTICO"/>
    <x v="107"/>
    <s v="BABY LOOK FEMININA MALHA PV"/>
    <s v="BABY LOOK"/>
    <s v="LEVE"/>
    <n v="11"/>
    <n v="35"/>
    <n v="385"/>
    <n v="0"/>
    <d v="2025-04-30T00:00:00"/>
    <n v="18"/>
    <m/>
    <s v="ENTREGUE"/>
    <n v="2.75"/>
    <n v="25.299999999999997"/>
    <n v="16.5"/>
    <n v="5.5"/>
    <n v="50.05"/>
  </r>
  <r>
    <s v="RAFAEL"/>
    <x v="164"/>
    <x v="100"/>
    <x v="40"/>
    <s v="INDUSTRIA"/>
    <x v="108"/>
    <s v="BLUSA DE MOLETOM "/>
    <s v="MOLETOM"/>
    <s v="LEVE"/>
    <n v="335"/>
    <n v="80"/>
    <n v="26800"/>
    <n v="0"/>
    <d v="2025-05-02T00:00:00"/>
    <n v="18"/>
    <m/>
    <s v="ENTREGUE"/>
    <n v="83.75"/>
    <n v="502.5"/>
    <n v="502.5"/>
    <n v="167.5"/>
    <n v="1256.25"/>
  </r>
  <r>
    <s v="LETICIA"/>
    <x v="165"/>
    <x v="100"/>
    <x v="40"/>
    <s v="COSMÉTICO"/>
    <x v="37"/>
    <s v="CAPA DE CORTE CETIM PRETA"/>
    <s v="CAPA"/>
    <s v="LEVE"/>
    <n v="100"/>
    <n v="17"/>
    <n v="1700"/>
    <n v="0"/>
    <d v="2025-05-01T00:00:00"/>
    <n v="18"/>
    <m/>
    <s v="ENTREGUE"/>
    <n v="25"/>
    <n v="70"/>
    <n v="100"/>
    <n v="50"/>
    <n v="245"/>
  </r>
  <r>
    <s v="SANDY"/>
    <x v="166"/>
    <x v="101"/>
    <x v="40"/>
    <s v="HAVANNA"/>
    <x v="27"/>
    <s v="CAMISETA MALHA 100% ALGODÃO"/>
    <s v="CAMISETA"/>
    <s v="LEVE"/>
    <n v="9"/>
    <n v="36.75"/>
    <n v="330.75"/>
    <n v="0"/>
    <d v="2025-04-11T00:00:00"/>
    <n v="15"/>
    <m/>
    <s v="ENTREGUE"/>
    <n v="2.25"/>
    <n v="9"/>
    <n v="13.5"/>
    <n v="4.5"/>
    <n v="29.25"/>
  </r>
  <r>
    <s v="SANDY"/>
    <x v="167"/>
    <x v="101"/>
    <x v="40"/>
    <s v="HAVANNA"/>
    <x v="109"/>
    <s v="AVENTAL OXFORD MODELO PADRÃO"/>
    <s v="AVENTAL"/>
    <s v="LEVE"/>
    <n v="15"/>
    <n v="25"/>
    <n v="375"/>
    <n v="0"/>
    <d v="2025-05-02T00:00:00"/>
    <n v="18"/>
    <m/>
    <s v="ENTREGUE"/>
    <n v="3.75"/>
    <n v="15"/>
    <n v="22.5"/>
    <n v="7.5"/>
    <n v="48.75"/>
  </r>
  <r>
    <s v="SANDY"/>
    <x v="167"/>
    <x v="101"/>
    <x v="40"/>
    <s v="HAVANNA"/>
    <x v="109"/>
    <s v="BABY LOOK FEMININA MALHA 100% ALGODAO"/>
    <s v="BABY LOOK"/>
    <s v="LEVE"/>
    <n v="6"/>
    <n v="36.75"/>
    <n v="220.5"/>
    <n v="0"/>
    <d v="2025-05-02T00:00:00"/>
    <n v="18"/>
    <m/>
    <s v="ENTREGUE"/>
    <n v="1.5"/>
    <n v="6"/>
    <n v="9"/>
    <n v="3"/>
    <n v="19.5"/>
  </r>
  <r>
    <s v="SANDY"/>
    <x v="167"/>
    <x v="101"/>
    <x v="40"/>
    <s v="HAVANNA"/>
    <x v="109"/>
    <s v="CAMISETA MANGA LONGA 100% ALGODÃO"/>
    <s v="CAMISETA"/>
    <s v="LEVE"/>
    <n v="12"/>
    <n v="47.5"/>
    <n v="570"/>
    <n v="0"/>
    <d v="2025-05-02T00:00:00"/>
    <n v="18"/>
    <m/>
    <s v="ENTREGUE"/>
    <n v="12"/>
    <n v="18"/>
    <n v="18"/>
    <n v="12"/>
    <n v="60"/>
  </r>
  <r>
    <s v="SANDY"/>
    <x v="168"/>
    <x v="102"/>
    <x v="40"/>
    <s v="HAVANNA"/>
    <x v="110"/>
    <s v="CAMISETA POLO PIQUET"/>
    <s v="POLO"/>
    <s v="LEVE"/>
    <n v="1"/>
    <n v="65"/>
    <n v="65"/>
    <n v="0"/>
    <d v="2025-04-15T00:00:00"/>
    <n v="16"/>
    <m/>
    <s v="ENTREGUE"/>
    <n v="0.25"/>
    <n v="1"/>
    <n v="1.5"/>
    <n v="0.5"/>
    <n v="3.25"/>
  </r>
  <r>
    <s v="SANDY"/>
    <x v="168"/>
    <x v="102"/>
    <x v="40"/>
    <s v="HAVANNA"/>
    <x v="110"/>
    <s v="AVENTAL OXFORD MODELO PADRÃO"/>
    <s v="AVENTAL"/>
    <s v="LEVE"/>
    <n v="3"/>
    <n v="25"/>
    <n v="75"/>
    <n v="0"/>
    <d v="2025-04-15T00:00:00"/>
    <n v="16"/>
    <m/>
    <s v="ENTREGUE"/>
    <n v="0.75"/>
    <n v="3"/>
    <n v="4.5"/>
    <n v="1.5"/>
    <n v="9.75"/>
  </r>
  <r>
    <s v="SANDY"/>
    <x v="168"/>
    <x v="102"/>
    <x v="40"/>
    <s v="HAVANNA"/>
    <x v="110"/>
    <s v="BABY LOOK FEMININA MALHA 100% ALGODAO"/>
    <s v="BABY LOOK"/>
    <s v="LEVE"/>
    <n v="2"/>
    <n v="36.75"/>
    <n v="73.5"/>
    <n v="0"/>
    <d v="2025-04-15T00:00:00"/>
    <n v="16"/>
    <m/>
    <s v="ENTREGUE"/>
    <n v="0.5"/>
    <n v="2"/>
    <n v="3"/>
    <n v="1"/>
    <n v="6.5"/>
  </r>
  <r>
    <s v="LETICIA"/>
    <x v="169"/>
    <x v="102"/>
    <x v="40"/>
    <s v="PET"/>
    <x v="41"/>
    <s v="AVENTAL NY EMBORRACHADO"/>
    <s v="AVENTAL"/>
    <s v="LEVE"/>
    <n v="250"/>
    <n v="23.5"/>
    <n v="5875"/>
    <n v="0"/>
    <d v="2025-05-05T00:00:00"/>
    <n v="19"/>
    <m/>
    <s v="ENTREGUE"/>
    <n v="62.5"/>
    <n v="250"/>
    <n v="250"/>
    <n v="125"/>
    <n v="687.5"/>
  </r>
  <r>
    <s v="LETICIA"/>
    <x v="170"/>
    <x v="103"/>
    <x v="41"/>
    <s v="PET"/>
    <x v="1"/>
    <s v="AVENTAL NYLON EMBORRACHADO CA 45305"/>
    <s v="AVENTAL"/>
    <s v="LEVE"/>
    <n v="2500"/>
    <n v="23.5"/>
    <n v="58750"/>
    <n v="0"/>
    <d v="2025-05-07T00:00:00"/>
    <n v="19"/>
    <m/>
    <s v="ENTREGUE"/>
    <n v="625"/>
    <n v="2500"/>
    <n v="2500"/>
    <n v="1250"/>
    <n v="6875"/>
  </r>
  <r>
    <s v="SANDY"/>
    <x v="171"/>
    <x v="103"/>
    <x v="41"/>
    <s v="HAVANNA"/>
    <x v="5"/>
    <s v="CAMISETA MALHA 100% ALGODÃO"/>
    <s v="CAMISETA"/>
    <s v="LEVE"/>
    <n v="34"/>
    <n v="36.75"/>
    <n v="1249.5"/>
    <n v="0"/>
    <d v="2025-05-01T00:00:00"/>
    <n v="18"/>
    <m/>
    <s v="ENTREGUE"/>
    <n v="34"/>
    <n v="51"/>
    <n v="51"/>
    <n v="34"/>
    <n v="170"/>
  </r>
  <r>
    <s v="SANDY"/>
    <x v="171"/>
    <x v="103"/>
    <x v="41"/>
    <s v="HAVANNA"/>
    <x v="5"/>
    <s v="AVENTAL OXFORD MODELO PADRÃO"/>
    <s v="AVENTAL"/>
    <s v="LEVE"/>
    <n v="16"/>
    <n v="25"/>
    <n v="400"/>
    <n v="0"/>
    <d v="2025-05-01T00:00:00"/>
    <n v="18"/>
    <m/>
    <s v="ENTREGUE"/>
    <n v="4"/>
    <n v="16"/>
    <n v="24"/>
    <n v="8"/>
    <n v="52"/>
  </r>
  <r>
    <s v="SANDY"/>
    <x v="171"/>
    <x v="103"/>
    <x v="41"/>
    <s v="HAVANNA"/>
    <x v="5"/>
    <s v="CAMISETA POLO PIQUET"/>
    <s v="POLO"/>
    <s v="LEVE"/>
    <n v="4"/>
    <n v="65"/>
    <n v="260"/>
    <n v="0"/>
    <d v="2025-05-01T00:00:00"/>
    <n v="18"/>
    <m/>
    <s v="ENTREGUE"/>
    <n v="1"/>
    <n v="4"/>
    <n v="6"/>
    <n v="2"/>
    <n v="13"/>
  </r>
  <r>
    <s v="SANDY"/>
    <x v="171"/>
    <x v="103"/>
    <x v="41"/>
    <s v="HAVANNA"/>
    <x v="5"/>
    <s v="FAIXA DE CABELO"/>
    <s v="FAIXA"/>
    <s v="LEVE"/>
    <n v="20"/>
    <n v="21"/>
    <n v="420"/>
    <n v="0"/>
    <d v="2025-05-01T00:00:00"/>
    <n v="18"/>
    <m/>
    <s v="ENTREGUE"/>
    <n v="5"/>
    <n v="20"/>
    <n v="24"/>
    <n v="10"/>
    <n v="59"/>
  </r>
  <r>
    <s v="LETICIA"/>
    <x v="172"/>
    <x v="104"/>
    <x v="41"/>
    <s v="COSMÉTICO"/>
    <x v="74"/>
    <s v="CAPA DE CORTE CETIM 0,85X1,4"/>
    <s v="CAPA"/>
    <s v="LEVE"/>
    <n v="200"/>
    <n v="17"/>
    <n v="3400"/>
    <n v="0"/>
    <d v="2025-05-09T00:00:00"/>
    <n v="19"/>
    <m/>
    <s v="ENTREGUE"/>
    <n v="50"/>
    <n v="140"/>
    <n v="200"/>
    <n v="100"/>
    <n v="490"/>
  </r>
  <r>
    <s v="LETICIA"/>
    <x v="172"/>
    <x v="104"/>
    <x v="41"/>
    <s v="COSMÉTICO"/>
    <x v="74"/>
    <s v="AVENTAL OXFORD MODELO PADRÃO"/>
    <s v="AVENTAL"/>
    <s v="LEVE"/>
    <n v="200"/>
    <n v="17.5"/>
    <n v="3500"/>
    <n v="0"/>
    <d v="2025-05-09T00:00:00"/>
    <n v="19"/>
    <m/>
    <s v="ENTREGUE"/>
    <n v="50"/>
    <n v="200"/>
    <n v="300"/>
    <n v="100"/>
    <n v="650"/>
  </r>
  <r>
    <s v="LETICIA"/>
    <x v="173"/>
    <x v="104"/>
    <x v="41"/>
    <s v="COMÉRCIO"/>
    <x v="111"/>
    <s v="SACO ALGODÃO COM VISOR"/>
    <s v="SACO "/>
    <s v="LEVE"/>
    <n v="400"/>
    <n v="8.5"/>
    <n v="3400"/>
    <n v="0"/>
    <d v="2025-05-09T00:00:00"/>
    <n v="19"/>
    <m/>
    <s v="ENTREGUE"/>
    <n v="100"/>
    <n v="280"/>
    <n v="240"/>
    <n v="200"/>
    <n v="820"/>
  </r>
  <r>
    <s v="LETICIA"/>
    <x v="174"/>
    <x v="104"/>
    <x v="41"/>
    <s v="COSMÉTICO"/>
    <x v="112"/>
    <s v="AVENTAL OXFORD MODELO PADRÃO"/>
    <s v="AVENTAL"/>
    <s v="LEVE"/>
    <n v="50"/>
    <n v="20"/>
    <n v="1000"/>
    <n v="0"/>
    <d v="2025-05-08T00:00:00"/>
    <n v="19"/>
    <m/>
    <s v="ENTREGUE"/>
    <n v="12.5"/>
    <n v="35"/>
    <n v="75"/>
    <n v="25"/>
    <n v="147.5"/>
  </r>
  <r>
    <s v="LETICIA"/>
    <x v="175"/>
    <x v="104"/>
    <x v="41"/>
    <s v="COSMÉTICO"/>
    <x v="37"/>
    <s v="CAPA DE CORTE CETIM PRETA"/>
    <s v="CAPA"/>
    <s v="LEVE"/>
    <n v="200"/>
    <n v="17"/>
    <n v="3400"/>
    <n v="0"/>
    <d v="2025-05-09T00:00:00"/>
    <n v="19"/>
    <m/>
    <s v="ENTREGUE"/>
    <n v="50"/>
    <n v="140"/>
    <n v="200"/>
    <n v="100"/>
    <n v="490"/>
  </r>
  <r>
    <s v="LETICIA"/>
    <x v="175"/>
    <x v="104"/>
    <x v="41"/>
    <s v="COSMÉTICO"/>
    <x v="37"/>
    <s v="CAPA DE CORTE CETIM AZUL"/>
    <s v="CAPA"/>
    <s v="LEVE"/>
    <n v="150"/>
    <n v="17"/>
    <n v="2550"/>
    <n v="0"/>
    <d v="2025-05-09T00:00:00"/>
    <n v="19"/>
    <m/>
    <s v="ENTREGUE"/>
    <n v="37.5"/>
    <n v="105"/>
    <n v="150"/>
    <n v="75"/>
    <n v="367.5"/>
  </r>
  <r>
    <s v="LETICIA"/>
    <x v="175"/>
    <x v="104"/>
    <x v="41"/>
    <s v="COSMÉTICO"/>
    <x v="37"/>
    <s v="AVENTAL NY 210"/>
    <s v="AVENTAL"/>
    <s v="LEVE"/>
    <n v="200"/>
    <n v="19.5"/>
    <n v="3900"/>
    <n v="0"/>
    <d v="2025-05-09T00:00:00"/>
    <n v="19"/>
    <m/>
    <s v="ENTREGUE"/>
    <n v="50"/>
    <n v="200"/>
    <n v="368"/>
    <n v="100"/>
    <n v="718"/>
  </r>
  <r>
    <s v="RAFAEL"/>
    <x v="176"/>
    <x v="105"/>
    <x v="41"/>
    <s v="PET"/>
    <x v="113"/>
    <s v="NECESAIRE CRISTAL COM VIES"/>
    <s v="NECESSAIRE"/>
    <s v="PESADA"/>
    <n v="1000"/>
    <n v="7.2"/>
    <n v="7200"/>
    <n v="0"/>
    <d v="2025-05-12T00:00:00"/>
    <n v="20"/>
    <m/>
    <s v="ENTREGUE"/>
    <n v="250"/>
    <n v="700"/>
    <n v="1500"/>
    <n v="1000"/>
    <n v="3450"/>
  </r>
  <r>
    <s v="LETICIA"/>
    <x v="177"/>
    <x v="105"/>
    <x v="41"/>
    <s v="PET"/>
    <x v="57"/>
    <s v="AVENTAL NY EMBORRACHADO"/>
    <s v="AVENTAL"/>
    <s v="LEVE"/>
    <n v="250"/>
    <n v="24.5"/>
    <n v="6125"/>
    <n v="0"/>
    <d v="2025-05-09T00:00:00"/>
    <n v="19"/>
    <m/>
    <s v="ENTREGUE"/>
    <n v="62.5"/>
    <n v="250"/>
    <n v="460"/>
    <n v="125"/>
    <n v="897.5"/>
  </r>
  <r>
    <s v="SANDY"/>
    <x v="178"/>
    <x v="105"/>
    <x v="41"/>
    <s v="HAVANNA"/>
    <x v="114"/>
    <s v="AVENTAL OXFORD MODELO PADRÃO"/>
    <s v="AVENTAL"/>
    <s v="LEVE"/>
    <n v="8"/>
    <n v="25"/>
    <n v="200"/>
    <n v="0"/>
    <d v="2025-04-23T00:00:00"/>
    <n v="17"/>
    <m/>
    <s v="ENTREGUE"/>
    <n v="2"/>
    <n v="8"/>
    <n v="12"/>
    <n v="4"/>
    <n v="26"/>
  </r>
  <r>
    <s v="SANDY"/>
    <x v="178"/>
    <x v="105"/>
    <x v="41"/>
    <s v="HAVANNA"/>
    <x v="114"/>
    <s v="CAMISETA MALHA 100% ALGODÃO"/>
    <s v="CAMISETA"/>
    <s v="LEVE"/>
    <n v="6"/>
    <n v="36.75"/>
    <n v="220.5"/>
    <n v="0"/>
    <d v="2025-04-23T00:00:00"/>
    <n v="17"/>
    <m/>
    <s v="ENTREGUE"/>
    <n v="6"/>
    <n v="9"/>
    <n v="9"/>
    <n v="6"/>
    <n v="30"/>
  </r>
  <r>
    <s v="SANDY"/>
    <x v="178"/>
    <x v="105"/>
    <x v="41"/>
    <s v="HAVANNA"/>
    <x v="114"/>
    <s v="BABY LOOK FEMININA MALHA 100% ALGODAO"/>
    <s v="BABY LOOK"/>
    <s v="LEVE"/>
    <n v="6"/>
    <n v="36.75"/>
    <n v="220.5"/>
    <n v="0"/>
    <d v="2025-04-23T00:00:00"/>
    <n v="17"/>
    <m/>
    <s v="ENTREGUE"/>
    <n v="1.5"/>
    <n v="6"/>
    <n v="9"/>
    <n v="3"/>
    <n v="19.5"/>
  </r>
  <r>
    <s v="SANDY"/>
    <x v="178"/>
    <x v="105"/>
    <x v="41"/>
    <s v="HAVANNA"/>
    <x v="114"/>
    <s v="FAIXA DE CABELO"/>
    <s v="FAIXA"/>
    <s v="LEVE"/>
    <n v="4"/>
    <n v="21"/>
    <n v="84"/>
    <n v="0"/>
    <d v="2025-04-23T00:00:00"/>
    <n v="17"/>
    <m/>
    <s v="ENTREGUE"/>
    <n v="1"/>
    <n v="4"/>
    <n v="4.8"/>
    <n v="2"/>
    <n v="11.8"/>
  </r>
  <r>
    <s v="SANDY"/>
    <x v="179"/>
    <x v="105"/>
    <x v="41"/>
    <s v="HAVANNA"/>
    <x v="115"/>
    <s v="BABY LOOK FEMININA MALHA 100% ALGODAO"/>
    <s v="BABY LOOK"/>
    <s v="LEVE"/>
    <n v="2"/>
    <n v="36.75"/>
    <n v="73.5"/>
    <n v="0"/>
    <d v="2025-04-14T00:00:00"/>
    <n v="16"/>
    <m/>
    <s v="ENTREGUE"/>
    <n v="0.5"/>
    <n v="2"/>
    <n v="3"/>
    <n v="1"/>
    <n v="6.5"/>
  </r>
  <r>
    <s v="SANDY"/>
    <x v="179"/>
    <x v="105"/>
    <x v="41"/>
    <s v="HAVANNA"/>
    <x v="115"/>
    <s v="CAMISETA GOLA CARECA 100% ALGODÃO "/>
    <s v="CAMISETA"/>
    <s v="LEVE"/>
    <n v="1"/>
    <n v="36.75"/>
    <n v="36.75"/>
    <n v="0"/>
    <d v="2025-04-14T00:00:00"/>
    <n v="16"/>
    <m/>
    <s v="ENTREGUE"/>
    <n v="1"/>
    <n v="1.5"/>
    <n v="1.5"/>
    <n v="1"/>
    <n v="5"/>
  </r>
  <r>
    <s v="SANDY"/>
    <x v="179"/>
    <x v="105"/>
    <x v="41"/>
    <s v="HAVANNA"/>
    <x v="115"/>
    <s v="CALÇA LEGGING"/>
    <s v="CALÇA "/>
    <s v="LEVE"/>
    <n v="2"/>
    <n v="85"/>
    <n v="170"/>
    <n v="0"/>
    <d v="2025-04-14T00:00:00"/>
    <n v="16"/>
    <m/>
    <s v="ENTREGUE"/>
    <n v="2"/>
    <n v="0"/>
    <n v="6"/>
    <n v="2"/>
    <n v="10"/>
  </r>
  <r>
    <s v="SANDY"/>
    <x v="179"/>
    <x v="105"/>
    <x v="41"/>
    <s v="HAVANNA"/>
    <x v="115"/>
    <s v="AVENTAL OXFORD MODELO PADRÃO"/>
    <s v="AVENTAL"/>
    <s v="LEVE"/>
    <n v="5"/>
    <n v="25"/>
    <n v="125"/>
    <n v="0"/>
    <d v="2025-04-14T00:00:00"/>
    <n v="16"/>
    <m/>
    <s v="ENTREGUE"/>
    <n v="1.25"/>
    <n v="5"/>
    <n v="7.5"/>
    <n v="2.5"/>
    <n v="16.25"/>
  </r>
  <r>
    <s v="SANDY"/>
    <x v="179"/>
    <x v="105"/>
    <x v="41"/>
    <s v="HAVANNA"/>
    <x v="115"/>
    <s v="FAIXA DE CABELO"/>
    <s v="FAIXA"/>
    <s v="LEVE"/>
    <n v="3"/>
    <n v="21"/>
    <n v="63"/>
    <n v="0"/>
    <d v="2025-04-14T00:00:00"/>
    <n v="16"/>
    <m/>
    <s v="ENTREGUE"/>
    <n v="0.75"/>
    <n v="3"/>
    <n v="3.5999999999999996"/>
    <n v="1.5"/>
    <n v="8.85"/>
  </r>
  <r>
    <s v="SANDY"/>
    <x v="179"/>
    <x v="105"/>
    <x v="41"/>
    <s v="HAVANNA"/>
    <x v="115"/>
    <s v="CALÇA BRIM"/>
    <s v="CALÇA "/>
    <s v="PESADA"/>
    <n v="5"/>
    <n v="75"/>
    <n v="375"/>
    <n v="0"/>
    <d v="2025-04-14T00:00:00"/>
    <n v="16"/>
    <m/>
    <s v="ENTREGUE"/>
    <n v="10"/>
    <n v="0"/>
    <n v="15"/>
    <n v="5"/>
    <n v="30"/>
  </r>
  <r>
    <s v="SANDY"/>
    <x v="180"/>
    <x v="106"/>
    <x v="41"/>
    <s v="HAVANNA"/>
    <x v="85"/>
    <s v="CAMISETA POLO PIQUET"/>
    <s v="POLO"/>
    <s v="LEVE"/>
    <n v="4"/>
    <n v="65"/>
    <n v="260"/>
    <n v="0"/>
    <d v="2025-05-11T00:00:00"/>
    <n v="20"/>
    <m/>
    <s v="ENTREGUE"/>
    <n v="1"/>
    <n v="4"/>
    <n v="6"/>
    <n v="2"/>
    <n v="13"/>
  </r>
  <r>
    <s v="SANDY"/>
    <x v="181"/>
    <x v="106"/>
    <x v="41"/>
    <s v="HAVANNA"/>
    <x v="85"/>
    <s v="AVENTAL OXFORD MODELO PADRÃO"/>
    <s v="AVENTAL"/>
    <s v="LEVE"/>
    <n v="6"/>
    <n v="25"/>
    <n v="150"/>
    <n v="0"/>
    <d v="2025-05-11T00:00:00"/>
    <n v="20"/>
    <m/>
    <s v="ENTREGUE"/>
    <n v="1.5"/>
    <n v="6"/>
    <n v="9"/>
    <n v="3"/>
    <n v="19.5"/>
  </r>
  <r>
    <s v="SANDY"/>
    <x v="181"/>
    <x v="106"/>
    <x v="41"/>
    <s v="HAVANNA"/>
    <x v="85"/>
    <s v="CAMISETA GOLA CARECA 100% ALGODÃO "/>
    <s v="CAMISETA"/>
    <s v="LEVE"/>
    <n v="12"/>
    <n v="36.75"/>
    <n v="441"/>
    <n v="0"/>
    <d v="2025-05-11T00:00:00"/>
    <n v="20"/>
    <m/>
    <s v="ENTREGUE"/>
    <n v="12"/>
    <n v="18"/>
    <n v="18"/>
    <n v="12"/>
    <n v="60"/>
  </r>
  <r>
    <s v="SANDY"/>
    <x v="181"/>
    <x v="106"/>
    <x v="41"/>
    <s v="HAVANNA"/>
    <x v="85"/>
    <s v="BABY LOOK FEMININA MALHA 100% ALGODAO"/>
    <s v="BABY LOOK"/>
    <s v="LEVE"/>
    <n v="1"/>
    <n v="36.75"/>
    <n v="36.75"/>
    <n v="0"/>
    <d v="2025-05-11T00:00:00"/>
    <n v="20"/>
    <m/>
    <s v="ENTREGUE"/>
    <n v="0.25"/>
    <n v="1"/>
    <n v="1.5"/>
    <n v="0.5"/>
    <n v="3.25"/>
  </r>
  <r>
    <s v="RAFAEL"/>
    <x v="182"/>
    <x v="106"/>
    <x v="41"/>
    <s v="COSMÉTICO"/>
    <x v="116"/>
    <s v="AVENTAL NY 210"/>
    <s v="AVENTAL"/>
    <s v="LEVE"/>
    <n v="300"/>
    <n v="16.899999999999999"/>
    <n v="5070"/>
    <n v="0"/>
    <d v="2025-05-13T00:00:00"/>
    <n v="20"/>
    <m/>
    <s v="ENTREGUE"/>
    <n v="75"/>
    <n v="300"/>
    <n v="552"/>
    <n v="150"/>
    <n v="1077"/>
  </r>
  <r>
    <s v="LETICIA"/>
    <x v="183"/>
    <x v="107"/>
    <x v="42"/>
    <s v="COSMÉTICO"/>
    <x v="38"/>
    <s v="NECESSAIRE NY PLASTIFICADO 25X20X9"/>
    <s v="NECESSAIRE"/>
    <s v="PESADA"/>
    <n v="2000"/>
    <n v="12.65"/>
    <n v="25300"/>
    <n v="0"/>
    <d v="2025-05-16T00:00:00"/>
    <n v="20"/>
    <m/>
    <s v="ENTREGUE"/>
    <n v="500"/>
    <n v="2000"/>
    <n v="3000"/>
    <n v="1000"/>
    <n v="6500"/>
  </r>
  <r>
    <s v="LETICIA"/>
    <x v="184"/>
    <x v="107"/>
    <x v="42"/>
    <s v="COSMÉTICO"/>
    <x v="94"/>
    <s v="AVENTAL NY 210"/>
    <s v="AVENTAL"/>
    <s v="LEVE"/>
    <n v="200"/>
    <n v="19.5"/>
    <n v="3900"/>
    <n v="0"/>
    <d v="2025-05-19T00:00:00"/>
    <n v="21"/>
    <n v="368"/>
    <s v="ENTREGUE"/>
    <n v="50"/>
    <n v="200"/>
    <n v="368"/>
    <n v="100"/>
    <n v="718"/>
  </r>
  <r>
    <s v="LETICIA"/>
    <x v="184"/>
    <x v="107"/>
    <x v="42"/>
    <s v="COSMÉTICO"/>
    <x v="94"/>
    <s v="CAPA DE CORTE IMPERMEAVEL 0,85X1,40"/>
    <s v="CAPA"/>
    <s v="LEVE"/>
    <n v="200"/>
    <n v="26.5"/>
    <n v="5300"/>
    <n v="0"/>
    <d v="2025-05-19T00:00:00"/>
    <n v="21"/>
    <n v="200"/>
    <s v="ENTREGUE"/>
    <n v="50"/>
    <n v="140"/>
    <n v="200"/>
    <n v="100"/>
    <n v="490"/>
  </r>
  <r>
    <s v="RAFAEL"/>
    <x v="185"/>
    <x v="107"/>
    <x v="42"/>
    <s v="COSMÉTICO"/>
    <x v="117"/>
    <s v="AVENTAL NY 210"/>
    <s v="AVENTAL"/>
    <s v="LEVE"/>
    <n v="50"/>
    <n v="20"/>
    <n v="1000"/>
    <n v="0"/>
    <d v="2025-05-19T00:00:00"/>
    <n v="21"/>
    <m/>
    <s v="ENTREGUE"/>
    <n v="12.5"/>
    <n v="50"/>
    <n v="92"/>
    <n v="25"/>
    <n v="179.5"/>
  </r>
  <r>
    <s v="RAFAEL"/>
    <x v="185"/>
    <x v="107"/>
    <x v="42"/>
    <s v="COSMÉTICO"/>
    <x v="117"/>
    <s v="KIMONO TACTEL TAM ÚNICO"/>
    <s v="KIMONO"/>
    <s v="LEVE"/>
    <n v="60"/>
    <n v="26.5"/>
    <n v="1590"/>
    <n v="0"/>
    <d v="2025-05-19T00:00:00"/>
    <n v="21"/>
    <m/>
    <s v="ENTREGUE"/>
    <n v="15"/>
    <n v="90"/>
    <n v="316.2"/>
    <n v="30"/>
    <n v="451.2"/>
  </r>
  <r>
    <s v="LETICIA"/>
    <x v="186"/>
    <x v="107"/>
    <x v="42"/>
    <s v="COSMÉTICO"/>
    <x v="82"/>
    <s v="CAPA DE CORTE CETIM 0,85X1,4"/>
    <s v="CAPA"/>
    <s v="LEVE"/>
    <n v="110"/>
    <n v="18"/>
    <n v="1980"/>
    <n v="0"/>
    <d v="2025-05-14T00:00:00"/>
    <n v="20"/>
    <m/>
    <s v="ENTREGUE"/>
    <n v="27.5"/>
    <n v="77"/>
    <n v="110"/>
    <n v="55"/>
    <n v="269.5"/>
  </r>
  <r>
    <s v="RAFAEL"/>
    <x v="187"/>
    <x v="107"/>
    <x v="42"/>
    <s v="COSMÉTICO"/>
    <x v="118"/>
    <s v="AVENTAL OXFORD MODELO PADRÃO"/>
    <s v="AVENTAL"/>
    <s v="LEVE"/>
    <n v="100"/>
    <n v="18"/>
    <n v="1800"/>
    <n v="0"/>
    <d v="2025-05-15T00:00:00"/>
    <n v="20"/>
    <m/>
    <s v="ENTREGUE"/>
    <n v="25"/>
    <n v="100"/>
    <n v="150"/>
    <n v="50"/>
    <n v="325"/>
  </r>
  <r>
    <s v="RAFAEL"/>
    <x v="187"/>
    <x v="107"/>
    <x v="42"/>
    <s v="COSMÉTICO"/>
    <x v="118"/>
    <s v="CAPA DE CORTE CETIM 1X1,40"/>
    <s v="CAPA"/>
    <s v="LEVE"/>
    <n v="50"/>
    <n v="18.5"/>
    <n v="925"/>
    <n v="0"/>
    <d v="2025-05-15T00:00:00"/>
    <n v="20"/>
    <m/>
    <s v="ENTREGUE"/>
    <n v="12.5"/>
    <n v="35"/>
    <n v="50"/>
    <n v="25"/>
    <n v="122.5"/>
  </r>
  <r>
    <s v="LETICIA"/>
    <x v="188"/>
    <x v="108"/>
    <x v="42"/>
    <s v="COSMÉTICO"/>
    <x v="119"/>
    <s v="AVENTAL NY EMBORRACHADO"/>
    <s v="AVENTAL"/>
    <s v="LEVE"/>
    <n v="150"/>
    <n v="23"/>
    <n v="3450"/>
    <n v="0"/>
    <d v="2025-05-16T00:00:00"/>
    <n v="20"/>
    <m/>
    <s v="ENTREGUE"/>
    <n v="37.5"/>
    <n v="150"/>
    <n v="240"/>
    <n v="75"/>
    <n v="502.5"/>
  </r>
  <r>
    <s v="RAFAEL"/>
    <x v="189"/>
    <x v="108"/>
    <x v="42"/>
    <s v="COSMÉTICO"/>
    <x v="100"/>
    <s v="SACOLA TNT LAMINADO"/>
    <s v="SACOLA"/>
    <s v="LEVE"/>
    <n v="200"/>
    <n v="12.9"/>
    <n v="2580"/>
    <n v="0"/>
    <d v="2025-05-20T00:00:00"/>
    <n v="21"/>
    <m/>
    <s v="ENTREGUE"/>
    <n v="200"/>
    <n v="100"/>
    <n v="140"/>
    <n v="100"/>
    <n v="540"/>
  </r>
  <r>
    <s v="RAFAEL"/>
    <x v="189"/>
    <x v="108"/>
    <x v="42"/>
    <s v="COSMÉTICO"/>
    <x v="100"/>
    <s v="AVENTAL OXFORD MODELO PADRÃO"/>
    <s v="AVENTAL"/>
    <s v="LEVE"/>
    <n v="100"/>
    <n v="15.5"/>
    <n v="1550"/>
    <n v="0"/>
    <d v="2025-05-20T00:00:00"/>
    <n v="21"/>
    <m/>
    <s v="ENTREGUE"/>
    <n v="25"/>
    <n v="100"/>
    <n v="150"/>
    <n v="50"/>
    <n v="325"/>
  </r>
  <r>
    <s v="RAFAEL"/>
    <x v="189"/>
    <x v="108"/>
    <x v="42"/>
    <s v="COSMÉTICO"/>
    <x v="100"/>
    <s v="CAPA DE CORTE TACTEL"/>
    <s v="CAPA"/>
    <s v="LEVE"/>
    <n v="50"/>
    <n v="17"/>
    <n v="850"/>
    <n v="0"/>
    <d v="2025-05-20T00:00:00"/>
    <n v="21"/>
    <m/>
    <s v="ENTREGUE"/>
    <n v="12.5"/>
    <n v="50"/>
    <n v="75"/>
    <n v="25"/>
    <n v="162.5"/>
  </r>
  <r>
    <s v="RAFAEL"/>
    <x v="190"/>
    <x v="108"/>
    <x v="42"/>
    <s v="COSMÉTICO"/>
    <x v="120"/>
    <s v="NECESSAIRE MALETA MAKE"/>
    <s v="NECESSAIRE"/>
    <s v="PESADA"/>
    <n v="200"/>
    <n v="25"/>
    <n v="5000"/>
    <n v="0"/>
    <d v="2025-05-18T00:00:00"/>
    <n v="21"/>
    <m/>
    <s v="ENTREGUE"/>
    <n v="200"/>
    <n v="500"/>
    <n v="100"/>
    <n v="200"/>
    <n v="1000"/>
  </r>
  <r>
    <s v="SANDY"/>
    <x v="191"/>
    <x v="108"/>
    <x v="42"/>
    <s v="HAVANNA"/>
    <x v="115"/>
    <s v="CALÇA LEGGING"/>
    <s v="CALÇA "/>
    <s v="LEVE"/>
    <n v="4"/>
    <n v="85"/>
    <n v="340"/>
    <n v="0"/>
    <d v="2025-05-15T00:00:00"/>
    <n v="20"/>
    <m/>
    <s v="ENTREGUE"/>
    <n v="4"/>
    <n v="0"/>
    <n v="12"/>
    <n v="4"/>
    <n v="20"/>
  </r>
  <r>
    <s v="SANDY"/>
    <x v="191"/>
    <x v="108"/>
    <x v="42"/>
    <s v="HAVANNA"/>
    <x v="115"/>
    <s v="CAMISETA POLO PIQUET"/>
    <s v="POLO"/>
    <s v="LEVE"/>
    <n v="4"/>
    <n v="65"/>
    <n v="260"/>
    <n v="0"/>
    <d v="2025-05-15T00:00:00"/>
    <n v="20"/>
    <m/>
    <s v="ENTREGUE"/>
    <n v="0"/>
    <n v="4"/>
    <n v="0"/>
    <n v="2"/>
    <n v="6"/>
  </r>
  <r>
    <s v="SANDY"/>
    <x v="191"/>
    <x v="108"/>
    <x v="42"/>
    <s v="HAVANNA"/>
    <x v="115"/>
    <s v="CAMISETA GOLA CARECA 100% ALGODÃO "/>
    <s v="CAMISETA"/>
    <s v="LEVE"/>
    <n v="2"/>
    <n v="36.75"/>
    <n v="73.5"/>
    <n v="0"/>
    <d v="2025-05-15T00:00:00"/>
    <n v="20"/>
    <m/>
    <s v="ENTREGUE"/>
    <n v="2"/>
    <n v="3"/>
    <n v="3"/>
    <n v="2"/>
    <n v="10"/>
  </r>
  <r>
    <s v="SANDY"/>
    <x v="191"/>
    <x v="108"/>
    <x v="42"/>
    <s v="HAVANNA"/>
    <x v="115"/>
    <s v="BABY LOOK FEMININA MALHA 100% ALGODAO"/>
    <s v="BABY LOOK"/>
    <s v="LEVE"/>
    <n v="2"/>
    <n v="36.75"/>
    <n v="73.5"/>
    <n v="0"/>
    <d v="2025-05-15T00:00:00"/>
    <n v="20"/>
    <m/>
    <s v="ENTREGUE"/>
    <n v="0.5"/>
    <n v="2"/>
    <n v="3"/>
    <n v="1"/>
    <n v="6.5"/>
  </r>
  <r>
    <s v="LETICIA"/>
    <x v="192"/>
    <x v="109"/>
    <x v="42"/>
    <s v="PET"/>
    <x v="121"/>
    <s v="SACOLA BAGUN"/>
    <s v="SACOLA"/>
    <s v="LEVE"/>
    <n v="100"/>
    <n v="8.9"/>
    <n v="890"/>
    <n v="0"/>
    <d v="2025-05-20T00:00:00"/>
    <n v="21"/>
    <m/>
    <s v="ENTREGUE"/>
    <n v="25"/>
    <n v="50"/>
    <n v="60"/>
    <n v="100"/>
    <n v="235"/>
  </r>
  <r>
    <s v="RAFAEL"/>
    <x v="193"/>
    <x v="109"/>
    <x v="42"/>
    <s v="COSMÉTICO"/>
    <x v="122"/>
    <s v="SACOLA TNT LAMINADO 45X30X10"/>
    <s v="SACOLA"/>
    <s v="LEVE"/>
    <n v="500"/>
    <n v="12.9"/>
    <n v="6450"/>
    <n v="0"/>
    <d v="2025-05-20T00:00:00"/>
    <n v="21"/>
    <m/>
    <s v="ENTREGUE"/>
    <n v="125"/>
    <n v="350"/>
    <n v="600"/>
    <n v="250"/>
    <n v="1325"/>
  </r>
  <r>
    <s v="RAFAEL"/>
    <x v="193"/>
    <x v="109"/>
    <x v="42"/>
    <s v="COSMÉTICO"/>
    <x v="122"/>
    <s v="SACOLA TNT LAMINADO 25X32X15"/>
    <s v="SACOLA"/>
    <s v="LEVE"/>
    <n v="800"/>
    <n v="9.9"/>
    <n v="7920"/>
    <n v="0"/>
    <d v="2025-05-20T00:00:00"/>
    <n v="21"/>
    <m/>
    <s v="ENTREGUE"/>
    <n v="200"/>
    <n v="560"/>
    <n v="960"/>
    <n v="400"/>
    <n v="2120"/>
  </r>
  <r>
    <s v="RAFAEL"/>
    <x v="193"/>
    <x v="109"/>
    <x v="42"/>
    <s v="COSMÉTICO"/>
    <x v="122"/>
    <s v="CAMISETA MALHA PV GOLA CARECA"/>
    <s v="CAMISETA"/>
    <s v="LEVE"/>
    <n v="100"/>
    <n v="28"/>
    <n v="2800"/>
    <n v="0"/>
    <d v="2025-05-20T00:00:00"/>
    <n v="21"/>
    <m/>
    <s v="ENTREGUE"/>
    <n v="25"/>
    <n v="100"/>
    <n v="150"/>
    <n v="50"/>
    <n v="325"/>
  </r>
  <r>
    <s v="LETICIA"/>
    <x v="194"/>
    <x v="109"/>
    <x v="42"/>
    <s v="COSMÉTICO"/>
    <x v="0"/>
    <s v="CAMISETA MALHA PV GOLA CARECA"/>
    <s v="CAMISETA"/>
    <s v="LEVE"/>
    <n v="300"/>
    <n v="24.5"/>
    <n v="7350"/>
    <n v="0"/>
    <d v="2025-05-20T00:00:00"/>
    <n v="21"/>
    <m/>
    <s v="ENTREGUE"/>
    <n v="75"/>
    <n v="300"/>
    <n v="450"/>
    <n v="150"/>
    <n v="975"/>
  </r>
  <r>
    <s v="LETICIA"/>
    <x v="194"/>
    <x v="109"/>
    <x v="42"/>
    <s v="COSMÉTICO"/>
    <x v="0"/>
    <s v="AVENTAL OXFORD MODELO PADRÃO"/>
    <s v="AVENTAL"/>
    <s v="LEVE"/>
    <n v="200"/>
    <n v="14"/>
    <n v="2800"/>
    <n v="0"/>
    <d v="2025-05-20T00:00:00"/>
    <n v="21"/>
    <m/>
    <s v="ENTREGUE"/>
    <n v="50"/>
    <n v="200"/>
    <n v="300"/>
    <n v="100"/>
    <n v="650"/>
  </r>
  <r>
    <s v="LETICIA"/>
    <x v="195"/>
    <x v="109"/>
    <x v="42"/>
    <s v="COSMÉTICO"/>
    <x v="94"/>
    <s v="AVENTAL NY 210"/>
    <s v="AVENTAL"/>
    <s v="LEVE"/>
    <n v="200"/>
    <n v="19.5"/>
    <n v="3900"/>
    <n v="0"/>
    <d v="2025-05-20T00:00:00"/>
    <n v="21"/>
    <m/>
    <s v="ENTREGUE"/>
    <n v="50"/>
    <n v="200"/>
    <n v="368"/>
    <n v="100"/>
    <n v="718"/>
  </r>
  <r>
    <s v="LETICIA"/>
    <x v="195"/>
    <x v="109"/>
    <x v="42"/>
    <s v="COSMÉTICO"/>
    <x v="94"/>
    <s v="CAPA DE CORTE IMPERMEAVEL"/>
    <s v="CAPA"/>
    <s v="LEVE"/>
    <n v="200"/>
    <n v="26.5"/>
    <n v="5300"/>
    <n v="0"/>
    <d v="2025-05-20T00:00:00"/>
    <n v="21"/>
    <m/>
    <s v="ENTREGUE"/>
    <n v="50"/>
    <n v="200"/>
    <n v="300"/>
    <n v="100"/>
    <n v="650"/>
  </r>
  <r>
    <s v="LETICIA"/>
    <x v="196"/>
    <x v="110"/>
    <x v="42"/>
    <s v="COMÉRCIO"/>
    <x v="40"/>
    <s v="NECESSAIRE NY PLASTIFICADO"/>
    <s v="NECESSAIRE"/>
    <s v="PESADA"/>
    <n v="300"/>
    <n v="23"/>
    <n v="6900"/>
    <n v="0"/>
    <d v="2025-05-20T00:00:00"/>
    <n v="21"/>
    <m/>
    <s v="ENTREGUE"/>
    <n v="600"/>
    <n v="180"/>
    <n v="1500"/>
    <n v="300"/>
    <n v="2580"/>
  </r>
  <r>
    <s v="SANDY"/>
    <x v="197"/>
    <x v="111"/>
    <x v="42"/>
    <s v="HAVANNA"/>
    <x v="28"/>
    <s v="CAMISETA MANGA LONGA 100% ALGODÃO"/>
    <s v="CAMISETA"/>
    <s v="LEVE"/>
    <n v="2"/>
    <n v="47.5"/>
    <n v="95"/>
    <n v="0"/>
    <d v="2025-04-17T00:00:00"/>
    <n v="16"/>
    <m/>
    <s v="ENTREGUE"/>
    <n v="2"/>
    <n v="3"/>
    <n v="3"/>
    <n v="2"/>
    <n v="10"/>
  </r>
  <r>
    <s v="SANDY"/>
    <x v="197"/>
    <x v="111"/>
    <x v="42"/>
    <s v="HAVANNA"/>
    <x v="28"/>
    <s v="BLUSA DE MOLETOM "/>
    <s v="MOLETOM"/>
    <s v="LEVE"/>
    <n v="4"/>
    <n v="85"/>
    <n v="340"/>
    <n v="0"/>
    <d v="2025-04-17T00:00:00"/>
    <n v="16"/>
    <m/>
    <s v="ENTREGUE"/>
    <n v="1"/>
    <n v="6"/>
    <n v="6"/>
    <n v="2"/>
    <n v="15"/>
  </r>
  <r>
    <s v="SANDY"/>
    <x v="197"/>
    <x v="111"/>
    <x v="42"/>
    <s v="HAVANNA"/>
    <x v="28"/>
    <s v="BLUSA DE MOLETOM "/>
    <s v="MOLETOM"/>
    <s v="PESADA"/>
    <n v="2"/>
    <n v="75"/>
    <n v="150"/>
    <n v="0"/>
    <d v="2025-04-17T00:00:00"/>
    <n v="16"/>
    <m/>
    <s v="ENTREGUE"/>
    <n v="100"/>
    <n v="0"/>
    <n v="6"/>
    <n v="1"/>
    <n v="107"/>
  </r>
  <r>
    <s v="RAFAEL"/>
    <x v="198"/>
    <x v="112"/>
    <x v="43"/>
    <s v="COSMÉTICO"/>
    <x v="123"/>
    <s v="CAPA DE CORTE 1,40X1,50"/>
    <s v="CAPA"/>
    <s v="LEVE"/>
    <n v="100"/>
    <n v="26.7"/>
    <n v="2670"/>
    <n v="0"/>
    <d v="2025-05-25T00:00:00"/>
    <n v="22"/>
    <m/>
    <s v="ENTREGUE"/>
    <n v="25"/>
    <n v="100"/>
    <n v="150"/>
    <n v="50"/>
    <n v="325"/>
  </r>
  <r>
    <s v="RAFAEL"/>
    <x v="198"/>
    <x v="112"/>
    <x v="43"/>
    <s v="COSMÉTICO"/>
    <x v="123"/>
    <s v="AVENTAL NY 210"/>
    <s v="AVENTAL"/>
    <s v="LEVE"/>
    <n v="100"/>
    <n v="19.7"/>
    <n v="1970"/>
    <n v="0"/>
    <d v="2025-05-25T00:00:00"/>
    <n v="22"/>
    <m/>
    <s v="ENTREGUE"/>
    <n v="25"/>
    <n v="100"/>
    <n v="184"/>
    <n v="50"/>
    <n v="359"/>
  </r>
  <r>
    <s v="RAFAEL"/>
    <x v="199"/>
    <x v="112"/>
    <x v="43"/>
    <s v="COSMÉTICO"/>
    <x v="71"/>
    <s v="CAMISETAS MALHA PV"/>
    <s v="CAMISETA"/>
    <s v="LEVE "/>
    <n v="100"/>
    <n v="24.5"/>
    <n v="2450"/>
    <n v="0"/>
    <d v="2025-05-25T00:00:00"/>
    <n v="22"/>
    <m/>
    <s v="ENTREGUE"/>
    <n v="25"/>
    <n v="100"/>
    <n v="150"/>
    <n v="50"/>
    <n v="325"/>
  </r>
  <r>
    <s v="LETICIA"/>
    <x v="200"/>
    <x v="113"/>
    <x v="43"/>
    <s v="COSMÉTICO"/>
    <x v="106"/>
    <s v="CAPA DE CORTE TACTEL 0,85 X 1,40"/>
    <s v="CAPA"/>
    <s v="LEVE"/>
    <n v="50"/>
    <n v="17"/>
    <n v="850"/>
    <n v="0"/>
    <d v="2025-07-11T00:00:00"/>
    <n v="28"/>
    <m/>
    <s v="ENTREGUE"/>
    <n v="12.5"/>
    <n v="50"/>
    <n v="75"/>
    <n v="25"/>
    <n v="162.5"/>
  </r>
  <r>
    <s v="LETICIA"/>
    <x v="200"/>
    <x v="113"/>
    <x v="43"/>
    <s v="COSMÉTICO"/>
    <x v="106"/>
    <s v="AVENTAL TACTEL MODELO PADRÃO"/>
    <s v="AVENTAL"/>
    <s v="LEVE"/>
    <n v="50"/>
    <n v="17"/>
    <n v="850"/>
    <n v="0"/>
    <d v="2025-07-11T00:00:00"/>
    <n v="28"/>
    <m/>
    <s v="ENTREGUE"/>
    <n v="12.5"/>
    <n v="50"/>
    <n v="75"/>
    <n v="25"/>
    <n v="162.5"/>
  </r>
  <r>
    <s v="LETICIA"/>
    <x v="201"/>
    <x v="113"/>
    <x v="43"/>
    <s v="COMÉRCIO"/>
    <x v="39"/>
    <s v="SACO ALGODÃO CRU"/>
    <s v="SACO"/>
    <s v="LEVE"/>
    <n v="300"/>
    <n v="16.5"/>
    <n v="4950"/>
    <n v="0"/>
    <d v="2025-05-23T00:00:00"/>
    <n v="21"/>
    <m/>
    <s v="ENTREGUE"/>
    <n v="75"/>
    <n v="150"/>
    <n v="240"/>
    <n v="150"/>
    <n v="615"/>
  </r>
  <r>
    <s v="RAFAEL"/>
    <x v="202"/>
    <x v="114"/>
    <x v="43"/>
    <s v="SAÚDE"/>
    <x v="124"/>
    <s v="BOLSA POLIESTER 600"/>
    <s v="BOLSA"/>
    <s v="PESADA"/>
    <n v="1000"/>
    <n v="31.5"/>
    <n v="31500"/>
    <n v="0"/>
    <d v="2025-05-20T00:00:00"/>
    <n v="21"/>
    <m/>
    <s v="ENTREGUE"/>
    <n v="1000"/>
    <n v="1000"/>
    <n v="5000"/>
    <n v="1000"/>
    <n v="8000"/>
  </r>
  <r>
    <s v="LETICIA"/>
    <x v="203"/>
    <x v="114"/>
    <x v="43"/>
    <s v="PET"/>
    <x v="73"/>
    <s v="AVENTAL NY EMBORRACHADO"/>
    <s v="AVENTAL"/>
    <s v="LEVE"/>
    <n v="230"/>
    <n v="22.5"/>
    <n v="5175"/>
    <n v="0"/>
    <d v="2025-05-26T00:00:00"/>
    <n v="22"/>
    <m/>
    <s v="ENTREGUE"/>
    <n v="57.5"/>
    <n v="230"/>
    <n v="423.20000000000005"/>
    <n v="115"/>
    <n v="825.7"/>
  </r>
  <r>
    <s v="RAFAEL"/>
    <x v="204"/>
    <x v="115"/>
    <x v="1"/>
    <s v="COSMÉTICO"/>
    <x v="125"/>
    <s v="AVENTAL BARBEIRO COURO SINTETICO "/>
    <s v="AVENTAL"/>
    <s v="PESADA"/>
    <n v="150"/>
    <n v="52"/>
    <n v="7800"/>
    <n v="0"/>
    <d v="2025-05-30T00:00:00"/>
    <n v="22"/>
    <m/>
    <s v="ENTREGUE"/>
    <n v="150"/>
    <n v="150"/>
    <n v="450"/>
    <n v="150"/>
    <n v="900"/>
  </r>
  <r>
    <s v="RAFAEL"/>
    <x v="204"/>
    <x v="115"/>
    <x v="1"/>
    <s v="COSMÉTICO"/>
    <x v="125"/>
    <s v="CAMISETA GOLA CARECA MALHA PV"/>
    <s v="CAMISETA"/>
    <s v="LEVE"/>
    <n v="340"/>
    <n v="23.5"/>
    <n v="7990"/>
    <n v="0"/>
    <d v="2025-05-30T00:00:00"/>
    <n v="22"/>
    <m/>
    <s v="ENTREGUE"/>
    <n v="85"/>
    <n v="340"/>
    <n v="510"/>
    <n v="170"/>
    <n v="1105"/>
  </r>
  <r>
    <s v="RAFAEL"/>
    <x v="204"/>
    <x v="115"/>
    <x v="1"/>
    <s v="COSMÉTICO"/>
    <x v="125"/>
    <s v="SACOLA LONA IMPERMEAVEL CRU"/>
    <s v="SACOLA"/>
    <s v="LEVE"/>
    <n v="300"/>
    <n v="22.5"/>
    <n v="6750"/>
    <n v="0"/>
    <d v="2025-05-30T00:00:00"/>
    <n v="22"/>
    <m/>
    <s v="ENTREGUE"/>
    <n v="300"/>
    <n v="150"/>
    <n v="450"/>
    <n v="300"/>
    <n v="1200"/>
  </r>
  <r>
    <s v="RAFAEL"/>
    <x v="204"/>
    <x v="115"/>
    <x v="1"/>
    <s v="COSMÉTICO"/>
    <x v="125"/>
    <s v="SACOLA LONA IMPERMEAVEL PRETO"/>
    <s v="SACOLA"/>
    <s v="LEVE"/>
    <n v="300"/>
    <n v="26.5"/>
    <n v="7950"/>
    <n v="0"/>
    <d v="2025-05-30T00:00:00"/>
    <n v="22"/>
    <m/>
    <s v="ENTREGUE"/>
    <n v="300"/>
    <n v="150"/>
    <n v="450"/>
    <n v="300"/>
    <n v="1200"/>
  </r>
  <r>
    <s v="RAFAEL"/>
    <x v="204"/>
    <x v="115"/>
    <x v="1"/>
    <s v="COSMÉTICO"/>
    <x v="125"/>
    <s v="AVENTAL NY 210"/>
    <s v="AVENTAL"/>
    <s v="LEVE"/>
    <n v="1000"/>
    <n v="16.5"/>
    <n v="16500"/>
    <n v="0"/>
    <d v="2025-05-30T00:00:00"/>
    <n v="22"/>
    <m/>
    <s v="ENTREGUE"/>
    <n v="250"/>
    <n v="1000"/>
    <n v="1840"/>
    <n v="500"/>
    <n v="3590"/>
  </r>
  <r>
    <s v="LETICIA"/>
    <x v="205"/>
    <x v="116"/>
    <x v="1"/>
    <s v="PET"/>
    <x v="44"/>
    <s v="CAMISETA MALHA PV"/>
    <s v="CAMISETA"/>
    <s v="LEVE"/>
    <n v="1000"/>
    <n v="24"/>
    <n v="24000"/>
    <n v="0"/>
    <d v="2025-05-27T00:00:00"/>
    <n v="22"/>
    <m/>
    <s v="ENTREGUE"/>
    <n v="250"/>
    <n v="1000"/>
    <n v="1500"/>
    <n v="500"/>
    <n v="3250"/>
  </r>
  <r>
    <s v="LETICIA"/>
    <x v="206"/>
    <x v="116"/>
    <x v="1"/>
    <s v="PET"/>
    <x v="44"/>
    <s v="CAPA PROTETOR PREMIER"/>
    <s v="CAPA"/>
    <s v="LEVE"/>
    <n v="1800"/>
    <n v="16"/>
    <n v="28800"/>
    <n v="0"/>
    <d v="2025-05-27T00:00:00"/>
    <n v="22"/>
    <m/>
    <s v="ENTREGUE"/>
    <n v="450"/>
    <n v="1800"/>
    <n v="2700"/>
    <n v="900"/>
    <n v="5850"/>
  </r>
  <r>
    <s v="SANDY"/>
    <x v="207"/>
    <x v="117"/>
    <x v="1"/>
    <s v="HAVANNA"/>
    <x v="126"/>
    <s v="BABY LOOK FEMININA MALHA 100% ALGODAO"/>
    <s v="BABY LOOK"/>
    <s v="LEVE "/>
    <n v="36"/>
    <n v="36.75"/>
    <n v="1323"/>
    <n v="0"/>
    <d v="2025-03-03T00:00:00"/>
    <n v="10"/>
    <m/>
    <s v="ENTREGUE"/>
    <n v="9"/>
    <n v="54"/>
    <n v="450"/>
    <n v="18"/>
    <n v="531"/>
  </r>
  <r>
    <s v="SANDY"/>
    <x v="207"/>
    <x v="117"/>
    <x v="1"/>
    <s v="HAVANNA"/>
    <x v="126"/>
    <s v="CAMISETA GOLA CARECA 100% ALGODÃO "/>
    <s v="CAMISETA"/>
    <s v="LEVE "/>
    <n v="36"/>
    <n v="36.75"/>
    <n v="1323"/>
    <n v="0"/>
    <d v="2025-03-03T00:00:00"/>
    <n v="10"/>
    <m/>
    <s v="ENTREGUE"/>
    <n v="9"/>
    <n v="54"/>
    <n v="450"/>
    <n v="18"/>
    <n v="531"/>
  </r>
  <r>
    <s v="LETICIA"/>
    <x v="207"/>
    <x v="117"/>
    <x v="1"/>
    <s v="HAVANNA"/>
    <x v="126"/>
    <s v="CALÇA LEGGING"/>
    <s v="CALÇA "/>
    <s v="LEVE "/>
    <n v="34"/>
    <n v="65"/>
    <n v="2210"/>
    <n v="0"/>
    <d v="2025-03-03T00:00:00"/>
    <n v="10"/>
    <m/>
    <s v="ENTREGUE"/>
    <n v="8.5"/>
    <n v="0"/>
    <n v="102"/>
    <n v="17"/>
    <n v="127.5"/>
  </r>
  <r>
    <s v="SANDY"/>
    <x v="207"/>
    <x v="117"/>
    <x v="1"/>
    <s v="HAVANNA"/>
    <x v="126"/>
    <s v="CALÇA BRIM"/>
    <s v="CALÇA "/>
    <s v="PESADA"/>
    <n v="34"/>
    <n v="75"/>
    <n v="2550"/>
    <n v="0"/>
    <d v="2025-03-03T00:00:00"/>
    <n v="10"/>
    <m/>
    <s v="ENTREGUE"/>
    <n v="1700"/>
    <n v="0"/>
    <n v="102"/>
    <n v="17"/>
    <n v="1819"/>
  </r>
  <r>
    <s v="SANDY"/>
    <x v="207"/>
    <x v="117"/>
    <x v="1"/>
    <s v="HAVANNA"/>
    <x v="126"/>
    <s v="CAMISETA POLO PIQUET"/>
    <s v="POLO"/>
    <s v="LEVE "/>
    <n v="6"/>
    <n v="65"/>
    <n v="390"/>
    <n v="0"/>
    <d v="2025-03-03T00:00:00"/>
    <n v="10"/>
    <m/>
    <s v="ENTREGUE"/>
    <n v="300"/>
    <n v="0"/>
    <n v="18"/>
    <n v="3"/>
    <n v="321"/>
  </r>
  <r>
    <s v="SANDY"/>
    <x v="208"/>
    <x v="117"/>
    <x v="1"/>
    <s v="HAVANNA"/>
    <x v="127"/>
    <s v="CAMISETA MALHA 100% ALGODÃO"/>
    <s v="CAMISETA"/>
    <s v="LEVE"/>
    <n v="8"/>
    <n v="36.75"/>
    <n v="294"/>
    <n v="0"/>
    <d v="2025-05-30T00:00:00"/>
    <n v="22"/>
    <m/>
    <s v="ENTREGUE"/>
    <n v="2"/>
    <m/>
    <m/>
    <n v="4"/>
    <m/>
  </r>
  <r>
    <s v="LETICIA"/>
    <x v="209"/>
    <x v="117"/>
    <x v="1"/>
    <s v="COMÉRCIO"/>
    <x v="111"/>
    <s v="SACO TNT 67X1,1"/>
    <s v="SACO"/>
    <s v="LEVE"/>
    <n v="50"/>
    <n v="10.9"/>
    <n v="545"/>
    <n v="0"/>
    <d v="2025-06-02T00:00:00"/>
    <n v="23"/>
    <m/>
    <s v="ENTREGUE"/>
    <n v="12.5"/>
    <n v="35"/>
    <n v="30"/>
    <n v="25"/>
    <n v="102.5"/>
  </r>
  <r>
    <s v="LETICIA"/>
    <x v="209"/>
    <x v="117"/>
    <x v="1"/>
    <s v="COMÉRCIO"/>
    <x v="111"/>
    <s v="SACO TNT 66X40"/>
    <s v="SACO"/>
    <s v="LEVE"/>
    <n v="50"/>
    <n v="9.9"/>
    <n v="495"/>
    <n v="0"/>
    <d v="2025-06-02T00:00:00"/>
    <n v="23"/>
    <m/>
    <s v="ENTREGUE"/>
    <n v="12.5"/>
    <n v="35"/>
    <n v="30"/>
    <n v="25"/>
    <n v="102.5"/>
  </r>
  <r>
    <s v="SANDY"/>
    <x v="210"/>
    <x v="117"/>
    <x v="1"/>
    <s v="HAVANNA"/>
    <x v="28"/>
    <s v="CAMISETA MALHA 100% ALGODÃO (TAMANHO BIG)"/>
    <s v="CAMISETA"/>
    <s v="LEVE"/>
    <n v="4"/>
    <n v="70"/>
    <n v="280"/>
    <n v="0"/>
    <d v="2025-04-17T00:00:00"/>
    <n v="16"/>
    <m/>
    <s v="ENTREGUE"/>
    <n v="4"/>
    <n v="6"/>
    <n v="6"/>
    <n v="4"/>
    <n v="20"/>
  </r>
  <r>
    <s v="LETICIA"/>
    <x v="211"/>
    <x v="118"/>
    <x v="1"/>
    <s v="PET"/>
    <x v="41"/>
    <s v="AVENTAL NY EMBORRACHADO"/>
    <s v="AVENTAL"/>
    <s v="LEVE"/>
    <n v="250"/>
    <n v="23.5"/>
    <n v="5875"/>
    <n v="0"/>
    <d v="2025-05-23T00:00:00"/>
    <n v="21"/>
    <m/>
    <s v="ENTREGUE"/>
    <n v="62.5"/>
    <n v="250"/>
    <n v="460"/>
    <n v="125"/>
    <n v="897.5"/>
  </r>
  <r>
    <s v="RAFAEL"/>
    <x v="212"/>
    <x v="118"/>
    <x v="1"/>
    <s v="COSMÉTICO"/>
    <x v="116"/>
    <s v="CAMISETAS MALHA PV"/>
    <s v="CAMISETA"/>
    <s v="LEVE"/>
    <n v="50"/>
    <n v="35"/>
    <n v="1750"/>
    <n v="0"/>
    <d v="2025-06-05T00:00:00"/>
    <n v="23"/>
    <m/>
    <s v="ENTREGUE"/>
    <n v="12.5"/>
    <n v="50"/>
    <n v="75"/>
    <n v="25"/>
    <n v="162.5"/>
  </r>
  <r>
    <s v="RAFAEL"/>
    <x v="212"/>
    <x v="118"/>
    <x v="1"/>
    <s v="COSMÉTICO"/>
    <x v="116"/>
    <s v="AVENTAL OXFORD MODELO PADRÃO"/>
    <s v="AVENTAL"/>
    <s v="LEVE"/>
    <n v="50"/>
    <n v="20"/>
    <n v="1000"/>
    <n v="0"/>
    <d v="2025-06-05T00:00:00"/>
    <n v="23"/>
    <m/>
    <s v="ENTREGUE"/>
    <n v="12.5"/>
    <n v="50"/>
    <n v="75"/>
    <n v="25"/>
    <n v="162.5"/>
  </r>
  <r>
    <s v="SANDY"/>
    <x v="213"/>
    <x v="119"/>
    <x v="2"/>
    <s v="HAVANNA"/>
    <x v="128"/>
    <s v="AVENTAL OXFORD MODELO PADRÃO"/>
    <s v="AVENTAL"/>
    <s v="LEVE"/>
    <n v="20"/>
    <n v="25"/>
    <n v="500"/>
    <n v="0"/>
    <d v="2025-06-04T00:00:00"/>
    <n v="23"/>
    <m/>
    <s v="ENTREGUE"/>
    <n v="5"/>
    <n v="20"/>
    <n v="30"/>
    <n v="10"/>
    <n v="65"/>
  </r>
  <r>
    <s v="SANDY"/>
    <x v="213"/>
    <x v="119"/>
    <x v="2"/>
    <s v="HAVANNA"/>
    <x v="128"/>
    <s v="FAIXA DE CABELO"/>
    <s v="FAIXA"/>
    <s v="LEVE"/>
    <n v="10"/>
    <n v="21"/>
    <n v="210"/>
    <n v="0"/>
    <d v="2025-06-04T00:00:00"/>
    <n v="23"/>
    <m/>
    <s v="ENTREGUE"/>
    <n v="2.5"/>
    <n v="10"/>
    <n v="12"/>
    <n v="5"/>
    <n v="29.5"/>
  </r>
  <r>
    <s v="SANDY"/>
    <x v="213"/>
    <x v="119"/>
    <x v="2"/>
    <s v="HAVANNA"/>
    <x v="128"/>
    <s v="BABY LOOK FEMININA MALHA 100% ALGODAO"/>
    <s v="BABY LOOK"/>
    <s v="LEVE"/>
    <n v="30"/>
    <n v="36.75"/>
    <n v="1102.5"/>
    <n v="0"/>
    <d v="2025-06-04T00:00:00"/>
    <n v="23"/>
    <m/>
    <s v="ENTREGUE"/>
    <n v="7.5"/>
    <n v="30"/>
    <n v="45"/>
    <n v="15"/>
    <n v="97.5"/>
  </r>
  <r>
    <s v="SANDY"/>
    <x v="213"/>
    <x v="119"/>
    <x v="2"/>
    <s v="HAVANNA"/>
    <x v="128"/>
    <s v="CAMISETA MALHA 100% ALGODÃO"/>
    <s v="CAMISETA"/>
    <s v="LEVE"/>
    <n v="12"/>
    <n v="36.75"/>
    <n v="441"/>
    <n v="0"/>
    <d v="2025-06-04T00:00:00"/>
    <n v="23"/>
    <m/>
    <s v="ENTREGUE"/>
    <n v="12"/>
    <n v="18"/>
    <n v="18"/>
    <n v="12"/>
    <n v="60"/>
  </r>
  <r>
    <s v="LETICIA"/>
    <x v="214"/>
    <x v="119"/>
    <x v="2"/>
    <s v="COMÉRCIO"/>
    <x v="45"/>
    <s v="SAQUINHO DE ALGODÃO "/>
    <s v="SACO"/>
    <s v="LEVE"/>
    <n v="1000"/>
    <n v="3.15"/>
    <n v="3150"/>
    <n v="0"/>
    <d v="2025-06-02T00:00:00"/>
    <n v="23"/>
    <m/>
    <s v="ENTREGUE"/>
    <n v="400"/>
    <n v="300"/>
    <n v="500"/>
    <n v="1000"/>
    <n v="2200"/>
  </r>
  <r>
    <s v="SANDY"/>
    <x v="215"/>
    <x v="119"/>
    <x v="2"/>
    <s v="HAVANNA"/>
    <x v="115"/>
    <s v="AVENTAL OXFORD MODELO PADRÃO"/>
    <s v="AVENTAL"/>
    <s v="LEVE"/>
    <n v="8"/>
    <n v="25"/>
    <n v="200"/>
    <n v="0"/>
    <d v="2025-06-01T00:00:00"/>
    <n v="23"/>
    <m/>
    <s v="ENTREGUE"/>
    <n v="2"/>
    <n v="8"/>
    <n v="12"/>
    <n v="4"/>
    <n v="26"/>
  </r>
  <r>
    <s v="SANDY"/>
    <x v="215"/>
    <x v="119"/>
    <x v="2"/>
    <s v="HAVANNA"/>
    <x v="115"/>
    <s v="CAMISETA MANGA LONGA 100% ALGODÃO"/>
    <s v="CAMISETA"/>
    <s v="LEVE"/>
    <n v="4"/>
    <n v="47.5"/>
    <n v="190"/>
    <n v="0"/>
    <d v="2025-06-01T00:00:00"/>
    <n v="23"/>
    <m/>
    <s v="ENTREGUE"/>
    <n v="4"/>
    <n v="6"/>
    <n v="6"/>
    <n v="4"/>
    <n v="20"/>
  </r>
  <r>
    <s v="SANDY"/>
    <x v="215"/>
    <x v="119"/>
    <x v="2"/>
    <s v="HAVANNA"/>
    <x v="115"/>
    <s v="CAMISETA POLO PIQUET"/>
    <s v="POLO"/>
    <s v="LEVE"/>
    <n v="4"/>
    <n v="65"/>
    <n v="260"/>
    <n v="0"/>
    <d v="2025-06-01T00:00:00"/>
    <n v="23"/>
    <m/>
    <s v="ENTREGUE"/>
    <n v="1"/>
    <n v="4"/>
    <n v="6"/>
    <n v="2"/>
    <n v="13"/>
  </r>
  <r>
    <s v="SANDY"/>
    <x v="215"/>
    <x v="119"/>
    <x v="2"/>
    <s v="HAVANNA"/>
    <x v="115"/>
    <s v="CAMISETA GOLA CARECA 100% ALGODÃO"/>
    <s v="CAMISETA"/>
    <s v="LEVE"/>
    <n v="1"/>
    <n v="36.75"/>
    <n v="36.75"/>
    <n v="0"/>
    <d v="2025-06-01T00:00:00"/>
    <n v="23"/>
    <m/>
    <s v="ENTREGUE"/>
    <n v="1"/>
    <n v="1.5"/>
    <n v="1.5"/>
    <n v="1"/>
    <n v="5"/>
  </r>
  <r>
    <s v="SANDY"/>
    <x v="215"/>
    <x v="119"/>
    <x v="2"/>
    <s v="HAVANNA"/>
    <x v="115"/>
    <s v="CALÇA LEGGING"/>
    <s v="CALÇA "/>
    <s v="LEVE"/>
    <n v="3"/>
    <n v="65"/>
    <n v="195"/>
    <n v="0"/>
    <d v="2025-06-01T00:00:00"/>
    <n v="23"/>
    <m/>
    <s v="ENTREGUE"/>
    <n v="3"/>
    <n v="0"/>
    <n v="9"/>
    <n v="3"/>
    <n v="15"/>
  </r>
  <r>
    <s v="SANDY"/>
    <x v="215"/>
    <x v="119"/>
    <x v="2"/>
    <s v="HAVANNA"/>
    <x v="115"/>
    <s v="BABY LOOK FEMININA MALHA 100% ALGODAO"/>
    <s v="BABY LOOK"/>
    <s v="LEVE"/>
    <n v="1"/>
    <n v="36.5"/>
    <n v="36.5"/>
    <n v="0"/>
    <d v="2025-06-01T00:00:00"/>
    <n v="23"/>
    <m/>
    <s v="ENTREGUE"/>
    <n v="0.25"/>
    <n v="1"/>
    <n v="1.5"/>
    <n v="0.5"/>
    <n v="3.25"/>
  </r>
  <r>
    <s v="SANDY"/>
    <x v="215"/>
    <x v="119"/>
    <x v="2"/>
    <s v="HAVANNA"/>
    <x v="115"/>
    <s v="CALÇA BRIM"/>
    <s v="CALÇA "/>
    <s v="PESADA"/>
    <n v="2"/>
    <n v="75"/>
    <n v="150"/>
    <n v="0"/>
    <d v="2025-06-01T00:00:00"/>
    <n v="23"/>
    <m/>
    <s v="ENTREGUE"/>
    <n v="100"/>
    <n v="0"/>
    <n v="6"/>
    <n v="1"/>
    <n v="107"/>
  </r>
  <r>
    <s v="LETICIA"/>
    <x v="216"/>
    <x v="120"/>
    <x v="2"/>
    <s v="PET"/>
    <x v="1"/>
    <s v="AVENTAL NYLON EMBORRACHADO CA 45305"/>
    <s v="AVENTAL"/>
    <s v="LEVE"/>
    <n v="2500"/>
    <n v="23.5"/>
    <n v="58750"/>
    <n v="0"/>
    <d v="2025-06-16T00:00:00"/>
    <n v="25"/>
    <m/>
    <s v="ENTREGUE"/>
    <n v="625"/>
    <n v="2500"/>
    <n v="2500"/>
    <n v="1250"/>
    <n v="6875"/>
  </r>
  <r>
    <s v="LETICIA"/>
    <x v="217"/>
    <x v="121"/>
    <x v="2"/>
    <s v="COSMÉTICO"/>
    <x v="129"/>
    <s v="AVENTAL OXFORD MODELO PADRÃO"/>
    <s v="AVENTAL"/>
    <s v="LEVE"/>
    <n v="100"/>
    <n v="16"/>
    <n v="1600"/>
    <n v="0"/>
    <d v="2025-06-04T00:00:00"/>
    <n v="23"/>
    <m/>
    <s v="ENTREGUE"/>
    <n v="25"/>
    <n v="100"/>
    <n v="150"/>
    <n v="50"/>
    <n v="325"/>
  </r>
  <r>
    <s v="LETICIA"/>
    <x v="218"/>
    <x v="121"/>
    <x v="2"/>
    <s v="COSMÉTICO"/>
    <x v="130"/>
    <s v="AVENTAL BARBEIRO COURO SINTETICO "/>
    <s v="AVENTAL"/>
    <s v="PESADA"/>
    <n v="10"/>
    <n v="100"/>
    <n v="1000"/>
    <n v="0"/>
    <d v="2025-06-04T00:00:00"/>
    <n v="23"/>
    <m/>
    <s v="ENTREGUE"/>
    <n v="10"/>
    <n v="10"/>
    <n v="30"/>
    <n v="10"/>
    <n v="60"/>
  </r>
  <r>
    <s v="SANDY"/>
    <x v="219"/>
    <x v="121"/>
    <x v="2"/>
    <s v="HAVANNA"/>
    <x v="22"/>
    <s v="AVENTAL OXFORD MODELO PADRÃO"/>
    <s v="AVENTAL"/>
    <s v="LEVE"/>
    <n v="6"/>
    <n v="25"/>
    <n v="150"/>
    <n v="0"/>
    <d v="2025-06-07T00:00:00"/>
    <n v="23"/>
    <m/>
    <s v="ENTREGUE"/>
    <n v="1.5"/>
    <n v="6"/>
    <n v="9"/>
    <n v="3"/>
    <n v="19.5"/>
  </r>
  <r>
    <s v="SANDY"/>
    <x v="219"/>
    <x v="121"/>
    <x v="2"/>
    <s v="HAVANNA"/>
    <x v="22"/>
    <s v="CAMISETA MALHA 100% ALGODÃO"/>
    <s v="CAMISETA"/>
    <s v="LEVE"/>
    <n v="18"/>
    <n v="36.75"/>
    <n v="661.5"/>
    <n v="0"/>
    <d v="2025-06-07T00:00:00"/>
    <n v="23"/>
    <m/>
    <s v="ENTREGUE"/>
    <n v="18"/>
    <n v="27"/>
    <n v="27"/>
    <n v="18"/>
    <n v="90"/>
  </r>
  <r>
    <s v="SANDY"/>
    <x v="219"/>
    <x v="121"/>
    <x v="2"/>
    <s v="HAVANNA"/>
    <x v="22"/>
    <s v="FAIXA DE CABELO"/>
    <s v="FAIXA"/>
    <s v="LEVE"/>
    <n v="4"/>
    <n v="21"/>
    <n v="84"/>
    <n v="0"/>
    <d v="2025-06-07T00:00:00"/>
    <n v="23"/>
    <m/>
    <s v="ENTREGUE"/>
    <n v="1"/>
    <n v="4"/>
    <n v="4.8"/>
    <n v="2"/>
    <n v="11.8"/>
  </r>
  <r>
    <s v="LETICIA"/>
    <x v="220"/>
    <x v="122"/>
    <x v="2"/>
    <s v="COSMÉTICO"/>
    <x v="131"/>
    <s v="CAPA DE CORTE CETIM 0,85X1,4"/>
    <s v="CAPA"/>
    <s v="LEVE"/>
    <n v="100"/>
    <n v="20"/>
    <n v="2000"/>
    <n v="0"/>
    <d v="2025-06-09T00:00:00"/>
    <n v="24"/>
    <m/>
    <s v="ENTREGUE"/>
    <n v="25"/>
    <n v="70"/>
    <n v="100"/>
    <n v="50"/>
    <n v="245"/>
  </r>
  <r>
    <s v="LETICIA"/>
    <x v="220"/>
    <x v="122"/>
    <x v="2"/>
    <s v="COSMÉTICO"/>
    <x v="131"/>
    <s v="AVENTAL OXFORD MODELO PADRÃO"/>
    <s v="AVENTAL"/>
    <s v="LEVE"/>
    <n v="100"/>
    <n v="16"/>
    <n v="1600"/>
    <n v="0"/>
    <d v="2025-06-09T00:00:00"/>
    <n v="24"/>
    <m/>
    <s v="ENTREGUE"/>
    <n v="25"/>
    <n v="100"/>
    <n v="150"/>
    <n v="50"/>
    <n v="325"/>
  </r>
  <r>
    <s v="LETICIA"/>
    <x v="221"/>
    <x v="122"/>
    <x v="2"/>
    <s v="COMUNICAÇÃO"/>
    <x v="132"/>
    <s v="SACOLA LONITA ALGODÃO"/>
    <s v="SACOLA"/>
    <s v="PESADA"/>
    <n v="50"/>
    <n v="30"/>
    <n v="1500"/>
    <n v="0"/>
    <d v="2025-05-23T00:00:00"/>
    <n v="21"/>
    <m/>
    <s v="ENTREGUE"/>
    <n v="12.5"/>
    <n v="25"/>
    <n v="75"/>
    <n v="25"/>
    <n v="137.5"/>
  </r>
  <r>
    <s v="LETICIA"/>
    <x v="222"/>
    <x v="122"/>
    <x v="2"/>
    <s v="COSMÉTICO"/>
    <x v="94"/>
    <s v="CAMISETA MALHA PV GOLA CARECA"/>
    <s v="CAMISETA"/>
    <s v="LEVE"/>
    <n v="175"/>
    <n v="18.5"/>
    <n v="3237.5"/>
    <n v="0"/>
    <d v="2025-06-09T00:00:00"/>
    <n v="24"/>
    <m/>
    <s v="ENTREGUE"/>
    <n v="43.75"/>
    <n v="175"/>
    <n v="262.5"/>
    <n v="87.5"/>
    <n v="568.75"/>
  </r>
  <r>
    <s v="SANDY"/>
    <x v="223"/>
    <x v="123"/>
    <x v="44"/>
    <s v="HAVANNA"/>
    <x v="133"/>
    <s v="BLUSA DE MOLETOM "/>
    <s v="MOLETOM"/>
    <s v="LEVE"/>
    <n v="3"/>
    <n v="85"/>
    <n v="255"/>
    <n v="0"/>
    <d v="2025-05-16T00:00:00"/>
    <n v="20"/>
    <m/>
    <s v="ENTREGUE"/>
    <n v="0.75"/>
    <n v="4.5"/>
    <n v="4.5"/>
    <n v="1.5"/>
    <n v="11.25"/>
  </r>
  <r>
    <s v="SANDY"/>
    <x v="223"/>
    <x v="123"/>
    <x v="44"/>
    <s v="HAVANNA"/>
    <x v="133"/>
    <s v="CAMISETA GOLA CARECA 100% ALGODÃO"/>
    <s v="CAMISETA"/>
    <s v="LEVE"/>
    <n v="2"/>
    <n v="36.75"/>
    <n v="73.5"/>
    <n v="0"/>
    <d v="2025-05-16T00:00:00"/>
    <n v="20"/>
    <m/>
    <s v="ENTREGUE"/>
    <n v="0.5"/>
    <n v="2"/>
    <n v="3"/>
    <n v="1"/>
    <n v="6.5"/>
  </r>
  <r>
    <s v="SANDY"/>
    <x v="223"/>
    <x v="123"/>
    <x v="44"/>
    <s v="HAVANNA"/>
    <x v="133"/>
    <s v="CALÇA LEGGING"/>
    <s v="CALÇA "/>
    <s v="LEVE"/>
    <n v="2"/>
    <n v="65"/>
    <n v="130"/>
    <n v="0"/>
    <d v="2025-05-16T00:00:00"/>
    <n v="20"/>
    <m/>
    <s v="ENTREGUE"/>
    <n v="0.5"/>
    <n v="0"/>
    <n v="6"/>
    <n v="1"/>
    <n v="7.5"/>
  </r>
  <r>
    <s v="SANDY"/>
    <x v="223"/>
    <x v="123"/>
    <x v="44"/>
    <s v="HAVANNA"/>
    <x v="133"/>
    <s v="CALÇA BRIM"/>
    <s v="CALÇA "/>
    <s v="PESADA"/>
    <n v="2"/>
    <n v="75"/>
    <n v="150"/>
    <n v="0"/>
    <d v="2025-05-16T00:00:00"/>
    <n v="20"/>
    <m/>
    <s v="ENTREGUE"/>
    <n v="0.5"/>
    <n v="0"/>
    <n v="6"/>
    <n v="1"/>
    <n v="7.5"/>
  </r>
  <r>
    <s v="SANDY"/>
    <x v="223"/>
    <x v="123"/>
    <x v="44"/>
    <s v="HAVANNA"/>
    <x v="133"/>
    <s v="BABY LOOK FEMININA MALHA 100% ALGODAO"/>
    <s v="BABY LOOK"/>
    <s v="LEVE"/>
    <n v="5"/>
    <n v="36.75"/>
    <n v="183.75"/>
    <n v="0"/>
    <d v="2025-05-16T00:00:00"/>
    <n v="20"/>
    <m/>
    <s v="ENTREGUE"/>
    <n v="1.25"/>
    <n v="7.5"/>
    <n v="7.5"/>
    <n v="2.5"/>
    <n v="18.75"/>
  </r>
  <r>
    <s v="SANDY"/>
    <x v="223"/>
    <x v="123"/>
    <x v="44"/>
    <s v="HAVANNA"/>
    <x v="133"/>
    <s v="CAMISETA POLO PIQUET"/>
    <s v="POLO"/>
    <s v="LEVE"/>
    <n v="1"/>
    <n v="65"/>
    <n v="65"/>
    <n v="0"/>
    <d v="2025-05-16T00:00:00"/>
    <n v="20"/>
    <m/>
    <s v="ENTREGUE"/>
    <n v="0.25"/>
    <n v="1.5"/>
    <n v="1.5"/>
    <n v="0.5"/>
    <n v="3.75"/>
  </r>
  <r>
    <s v="LETICIA"/>
    <x v="224"/>
    <x v="124"/>
    <x v="44"/>
    <s v="COSMÉTICO"/>
    <x v="122"/>
    <s v="CAMISETA MALHA PV"/>
    <s v="CAMISETA"/>
    <s v="LEVE"/>
    <n v="20"/>
    <n v="28"/>
    <n v="560"/>
    <n v="0"/>
    <d v="2025-05-24T00:00:00"/>
    <n v="21"/>
    <m/>
    <s v="ENTREGUE"/>
    <n v="5"/>
    <n v="20"/>
    <n v="30"/>
    <n v="10"/>
    <n v="65"/>
  </r>
  <r>
    <s v="LETICIA"/>
    <x v="224"/>
    <x v="124"/>
    <x v="44"/>
    <s v="COSMÉTICO"/>
    <x v="122"/>
    <s v="AVENTAL OXFORD MODELO PADRÃO"/>
    <s v="AVENTAL"/>
    <s v="LEVE"/>
    <n v="100"/>
    <n v="17.5"/>
    <n v="1750"/>
    <n v="0"/>
    <d v="2025-05-24T00:00:00"/>
    <n v="21"/>
    <m/>
    <s v="ENTREGUE"/>
    <n v="25"/>
    <n v="100"/>
    <n v="150"/>
    <n v="50"/>
    <n v="325"/>
  </r>
  <r>
    <s v="LETICIA"/>
    <x v="225"/>
    <x v="124"/>
    <x v="44"/>
    <s v="TURISMO"/>
    <x v="134"/>
    <s v="SACO DE ALGODAO "/>
    <s v="SACO"/>
    <s v="LEVE"/>
    <n v="300"/>
    <n v="8.9"/>
    <n v="2670"/>
    <n v="0"/>
    <d v="2025-05-23T00:00:00"/>
    <n v="21"/>
    <m/>
    <s v="ENTREGUE"/>
    <n v="300"/>
    <n v="270"/>
    <n v="180"/>
    <n v="300"/>
    <n v="1050"/>
  </r>
  <r>
    <s v="LETICIA"/>
    <x v="226"/>
    <x v="125"/>
    <x v="44"/>
    <s v="COSMÉTICO"/>
    <x v="135"/>
    <s v="CAMISETA MALHA PV GOLA V"/>
    <s v="CAMISETA"/>
    <s v="LEVE"/>
    <n v="50"/>
    <n v="26.5"/>
    <n v="1325"/>
    <n v="0"/>
    <d v="2025-06-17T00:00:00"/>
    <n v="25"/>
    <m/>
    <s v="ENTREGUE"/>
    <n v="12.5"/>
    <n v="50"/>
    <n v="75"/>
    <n v="25"/>
    <n v="162.5"/>
  </r>
  <r>
    <s v="LETICIA"/>
    <x v="226"/>
    <x v="125"/>
    <x v="44"/>
    <s v="COSMÉTICO"/>
    <x v="135"/>
    <s v="CAMISETA GOLA CARECA MALHA PV"/>
    <s v="CAMISETA"/>
    <s v="LEVE"/>
    <n v="75"/>
    <n v="26.5"/>
    <n v="1987.5"/>
    <n v="0"/>
    <d v="2025-06-17T00:00:00"/>
    <n v="25"/>
    <m/>
    <s v="ENTREGUE"/>
    <n v="18.75"/>
    <n v="75"/>
    <n v="112.5"/>
    <n v="37.5"/>
    <n v="243.75"/>
  </r>
  <r>
    <s v="LETICIA"/>
    <x v="227"/>
    <x v="125"/>
    <x v="44"/>
    <s v="PET"/>
    <x v="44"/>
    <s v="CAPA PARA CAIXA TRANSPORTE"/>
    <s v="CAPA TRANSPORTE"/>
    <s v="LEVE"/>
    <n v="400"/>
    <n v="19.5"/>
    <n v="7800"/>
    <n v="0"/>
    <d v="2025-06-17T00:00:00"/>
    <n v="25"/>
    <m/>
    <s v="ENTREGUE"/>
    <n v="100"/>
    <n v="400"/>
    <n v="600"/>
    <n v="200"/>
    <n v="1300"/>
  </r>
  <r>
    <s v="LETICIA"/>
    <x v="228"/>
    <x v="126"/>
    <x v="44"/>
    <s v="COSMÉTICO"/>
    <x v="136"/>
    <s v="NECESSAIRE ATOALHADA HIDRATEI"/>
    <s v="NECESSAIRE"/>
    <s v="PESADA"/>
    <n v="2000"/>
    <n v="13"/>
    <n v="26000"/>
    <n v="0"/>
    <d v="2025-07-21T00:00:00"/>
    <n v="30"/>
    <m/>
    <s v="ENTREGUE"/>
    <n v="2000"/>
    <n v="4000"/>
    <n v="4000"/>
    <n v="2000"/>
    <n v="12000"/>
  </r>
  <r>
    <s v="LETICIA"/>
    <x v="228"/>
    <x v="126"/>
    <x v="44"/>
    <s v="COSMÉTICO"/>
    <x v="136"/>
    <s v="NECESSAIRE  PRADA HIDRATEI"/>
    <s v="NECESSAIRE"/>
    <s v="PESADA"/>
    <n v="3000"/>
    <n v="14.3"/>
    <n v="42900"/>
    <n v="0"/>
    <d v="2025-07-21T00:00:00"/>
    <n v="30"/>
    <m/>
    <s v="ENTREGUE"/>
    <n v="3000"/>
    <n v="1500"/>
    <n v="7500"/>
    <n v="3000"/>
    <n v="15000"/>
  </r>
  <r>
    <s v="LETICIA"/>
    <x v="228"/>
    <x v="126"/>
    <x v="44"/>
    <s v="COSMÉTICO"/>
    <x v="136"/>
    <s v="NECESSAIRE PRADA BELEZA BRASILEIRA"/>
    <s v="NECESSAIRE"/>
    <s v="PESADA"/>
    <n v="3000"/>
    <n v="14.3"/>
    <n v="42900"/>
    <n v="0"/>
    <d v="2025-07-21T00:00:00"/>
    <n v="30"/>
    <m/>
    <s v="ENTREGUE"/>
    <n v="750"/>
    <n v="1500"/>
    <n v="7500"/>
    <n v="3000"/>
    <n v="12750"/>
  </r>
  <r>
    <s v="LETICIA"/>
    <x v="229"/>
    <x v="126"/>
    <x v="44"/>
    <s v="COSMÉTICO"/>
    <x v="0"/>
    <s v="CAMISETA GOLA CARECA MALHA PV"/>
    <s v="CAMISETA"/>
    <s v="LEVE"/>
    <n v="200"/>
    <n v="24.5"/>
    <n v="4900"/>
    <n v="0"/>
    <d v="2025-06-18T00:00:00"/>
    <n v="25"/>
    <m/>
    <s v="ENTREGUE"/>
    <n v="50"/>
    <n v="200"/>
    <n v="300"/>
    <n v="100"/>
    <n v="650"/>
  </r>
  <r>
    <s v="LETICIA"/>
    <x v="229"/>
    <x v="126"/>
    <x v="44"/>
    <s v="COSMÉTICO"/>
    <x v="0"/>
    <s v="CAPA DE CORTE TACTEL"/>
    <s v="CAPA"/>
    <s v="LEVE"/>
    <n v="200"/>
    <n v="24.5"/>
    <n v="4900"/>
    <n v="0"/>
    <d v="2025-06-18T00:00:00"/>
    <n v="25"/>
    <m/>
    <s v="ENTREGUE"/>
    <n v="50"/>
    <n v="200"/>
    <n v="300"/>
    <n v="100"/>
    <n v="650"/>
  </r>
  <r>
    <s v="LETICIA"/>
    <x v="229"/>
    <x v="126"/>
    <x v="44"/>
    <s v="COSMÉTICO"/>
    <x v="0"/>
    <s v="KIMONO TACTEL TAM ÚNICO"/>
    <s v="KIMONO"/>
    <s v="LEVE"/>
    <n v="50"/>
    <n v="26.5"/>
    <n v="1325"/>
    <n v="0"/>
    <d v="2025-06-18T00:00:00"/>
    <n v="25"/>
    <m/>
    <s v="ENTREGUE"/>
    <n v="12.5"/>
    <n v="75"/>
    <n v="263.5"/>
    <n v="25"/>
    <n v="376"/>
  </r>
  <r>
    <s v="LETICIA"/>
    <x v="229"/>
    <x v="126"/>
    <x v="44"/>
    <s v="COSMÉTICO"/>
    <x v="0"/>
    <s v="AVENTAL OXFORD MODELO PADRÃO"/>
    <s v="AVENTAL"/>
    <s v="LEVE"/>
    <n v="50"/>
    <n v="14"/>
    <n v="700"/>
    <n v="0"/>
    <d v="2025-06-18T00:00:00"/>
    <n v="25"/>
    <m/>
    <s v="ENTREGUE"/>
    <n v="12.5"/>
    <n v="50"/>
    <n v="75"/>
    <n v="25"/>
    <n v="162.5"/>
  </r>
  <r>
    <s v="LETICIA"/>
    <x v="230"/>
    <x v="127"/>
    <x v="45"/>
    <s v="COSMÉTICO"/>
    <x v="69"/>
    <s v="CAMISETA MALHA 100% POLIESTER "/>
    <s v="CAMISETA"/>
    <s v="LEVE"/>
    <n v="70"/>
    <n v="22.5"/>
    <n v="1575"/>
    <n v="0"/>
    <d v="2025-06-20T00:00:00"/>
    <n v="25"/>
    <m/>
    <s v="ENTREGUE"/>
    <n v="17.5"/>
    <n v="70"/>
    <n v="105"/>
    <n v="35"/>
    <n v="227.5"/>
  </r>
  <r>
    <s v="SANDY"/>
    <x v="231"/>
    <x v="128"/>
    <x v="45"/>
    <s v="HAVANNA"/>
    <x v="13"/>
    <s v="CAMISETA MALHA 100% ALGODÃO"/>
    <s v="CAMISETA"/>
    <s v="LEVE"/>
    <n v="12"/>
    <n v="36.75"/>
    <n v="441"/>
    <n v="0"/>
    <d v="2025-06-21T00:00:00"/>
    <n v="25"/>
    <m/>
    <s v="ENTREGUE"/>
    <n v="3"/>
    <n v="12"/>
    <n v="18"/>
    <n v="6"/>
    <n v="39"/>
  </r>
  <r>
    <s v="SANDY"/>
    <x v="231"/>
    <x v="128"/>
    <x v="45"/>
    <s v="HAVANNA"/>
    <x v="13"/>
    <s v="CAMISETA MANGA LONGA 100% ALGODÃO"/>
    <s v="CAMISETA"/>
    <s v="LEVE"/>
    <n v="4"/>
    <n v="47.5"/>
    <n v="190"/>
    <n v="0"/>
    <d v="2025-06-21T00:00:00"/>
    <n v="25"/>
    <m/>
    <s v="ENTREGUE"/>
    <n v="1"/>
    <n v="4"/>
    <n v="6"/>
    <n v="2"/>
    <n v="13"/>
  </r>
  <r>
    <s v="LETICIA"/>
    <x v="232"/>
    <x v="129"/>
    <x v="45"/>
    <s v="COSMÉTICO"/>
    <x v="42"/>
    <s v="AVENTAL NY EMBORRACHADO"/>
    <s v="AVENTAL"/>
    <s v="LEVE"/>
    <n v="500"/>
    <n v="19.5"/>
    <n v="9750"/>
    <n v="0"/>
    <d v="2025-06-23T00:00:00"/>
    <n v="26"/>
    <m/>
    <s v="ENTREGUE"/>
    <n v="125"/>
    <n v="500"/>
    <n v="920"/>
    <n v="250"/>
    <n v="1795"/>
  </r>
  <r>
    <s v="LETICIA"/>
    <x v="233"/>
    <x v="129"/>
    <x v="45"/>
    <s v="PET"/>
    <x v="73"/>
    <s v="AVENTAL NY EMBORRACHADO"/>
    <s v="AVENTAL"/>
    <s v="LEVE"/>
    <n v="200"/>
    <n v="22.5"/>
    <n v="4500"/>
    <n v="0"/>
    <d v="2025-06-22T00:00:00"/>
    <n v="26"/>
    <m/>
    <s v="ENTREGUE"/>
    <n v="50"/>
    <n v="200"/>
    <n v="368"/>
    <n v="100"/>
    <n v="718"/>
  </r>
  <r>
    <s v="LETICIA"/>
    <x v="234"/>
    <x v="130"/>
    <x v="45"/>
    <s v="COSMÉTICO"/>
    <x v="137"/>
    <s v="KIMONO TACTEL TAM ÚNICO"/>
    <s v="KIMONO"/>
    <s v="LEVE"/>
    <n v="50"/>
    <n v="26.5"/>
    <n v="650"/>
    <n v="0"/>
    <d v="2025-06-24T00:00:00"/>
    <n v="26"/>
    <m/>
    <s v="ENTREGUE"/>
    <n v="12.5"/>
    <n v="75"/>
    <n v="75"/>
    <n v="25"/>
    <n v="187.5"/>
  </r>
  <r>
    <s v="LETICIA"/>
    <x v="234"/>
    <x v="130"/>
    <x v="45"/>
    <s v="COSMÉTICO"/>
    <x v="137"/>
    <s v="AVENTAL OXFORD MODELO PADRÃO"/>
    <s v="AVENTAL"/>
    <s v="LEVE"/>
    <n v="150"/>
    <n v="17.5"/>
    <n v="2625"/>
    <n v="0"/>
    <d v="2025-06-24T00:00:00"/>
    <n v="26"/>
    <m/>
    <s v="ENTREGUE"/>
    <n v="37.5"/>
    <n v="150"/>
    <n v="225"/>
    <n v="75"/>
    <n v="487.5"/>
  </r>
  <r>
    <s v="LETICIA"/>
    <x v="234"/>
    <x v="130"/>
    <x v="45"/>
    <s v="COSMÉTICO"/>
    <x v="137"/>
    <s v="AVENTAL BARBEIRO COURO SINTETICO "/>
    <s v="AVENTAL"/>
    <s v="PESADA"/>
    <n v="6"/>
    <n v="98"/>
    <n v="588"/>
    <n v="0"/>
    <d v="2025-06-24T00:00:00"/>
    <n v="26"/>
    <m/>
    <s v="ENTREGUE"/>
    <n v="6"/>
    <n v="6"/>
    <n v="18"/>
    <n v="6"/>
    <n v="36"/>
  </r>
  <r>
    <s v="LETICIA"/>
    <x v="235"/>
    <x v="131"/>
    <x v="3"/>
    <s v="COSMÉTICO"/>
    <x v="136"/>
    <s v="CANGA SUBLIMADA HIDRATEI"/>
    <s v="CANGA"/>
    <s v="LEVE"/>
    <n v="4026"/>
    <n v="22.5"/>
    <n v="90585"/>
    <n v="0"/>
    <d v="2025-07-17T00:00:00"/>
    <n v="29"/>
    <m/>
    <s v="ENTREGUE"/>
    <n v="8052"/>
    <n v="4187.04"/>
    <n v="4831.2"/>
    <n v="4026"/>
    <n v="21096.240000000002"/>
  </r>
  <r>
    <s v="LETICIA"/>
    <x v="236"/>
    <x v="132"/>
    <x v="3"/>
    <s v="COSMÉTICO"/>
    <x v="42"/>
    <s v="CAPA DE CORTE TACTEL"/>
    <s v="CAPA"/>
    <s v="LEVE"/>
    <n v="500"/>
    <n v="28"/>
    <n v="14000"/>
    <n v="0"/>
    <d v="2025-06-27T00:00:00"/>
    <n v="26"/>
    <m/>
    <s v="ENTREGUE"/>
    <n v="125"/>
    <n v="500"/>
    <n v="750"/>
    <n v="250"/>
    <n v="1625"/>
  </r>
  <r>
    <s v="LETICIA"/>
    <x v="237"/>
    <x v="132"/>
    <x v="3"/>
    <s v="COSMÉTICO"/>
    <x v="138"/>
    <s v="KIMONO TACTEL TAM ÚNICO PRETO"/>
    <s v="KIMONO"/>
    <s v="LEVE"/>
    <n v="50"/>
    <n v="28"/>
    <n v="1400"/>
    <n v="0"/>
    <d v="2025-06-27T00:00:00"/>
    <n v="26"/>
    <m/>
    <s v="ENTREGUE"/>
    <n v="12.5"/>
    <n v="75"/>
    <n v="263.5"/>
    <n v="25"/>
    <n v="376"/>
  </r>
  <r>
    <s v="LETICIA"/>
    <x v="237"/>
    <x v="132"/>
    <x v="3"/>
    <s v="COSMÉTICO"/>
    <x v="138"/>
    <s v="KIMONO TACTEL TAM ÚNICO BRANCO"/>
    <s v="KIMONO"/>
    <s v="LEVE"/>
    <n v="50"/>
    <n v="28"/>
    <n v="1400"/>
    <n v="0"/>
    <d v="2025-06-27T00:00:00"/>
    <n v="26"/>
    <m/>
    <s v="ENTREGUE"/>
    <n v="12.5"/>
    <n v="75"/>
    <n v="263.5"/>
    <n v="25"/>
    <n v="376"/>
  </r>
  <r>
    <s v="LETICIA"/>
    <x v="237"/>
    <x v="132"/>
    <x v="3"/>
    <s v="COSMÉTICO"/>
    <x v="138"/>
    <s v="CAMISETA MALHA PV"/>
    <s v="CAMISETA"/>
    <s v="LEVE"/>
    <n v="100"/>
    <n v="27"/>
    <n v="2700"/>
    <n v="0"/>
    <d v="2025-06-27T00:00:00"/>
    <n v="26"/>
    <m/>
    <s v="ENTREGUE"/>
    <n v="25"/>
    <n v="100"/>
    <n v="150"/>
    <n v="50"/>
    <n v="325"/>
  </r>
  <r>
    <s v="LETICIA"/>
    <x v="237"/>
    <x v="132"/>
    <x v="3"/>
    <s v="COSMÉTICO"/>
    <x v="138"/>
    <s v="AVENTAL BARBEIRO COURO SINTETICO "/>
    <s v="AVENTAL"/>
    <s v="PESADA"/>
    <n v="50"/>
    <n v="80"/>
    <n v="4000"/>
    <n v="0"/>
    <d v="2025-06-27T00:00:00"/>
    <n v="26"/>
    <m/>
    <s v="ENTREGUE"/>
    <n v="50"/>
    <n v="50"/>
    <n v="150"/>
    <n v="50"/>
    <n v="300"/>
  </r>
  <r>
    <s v="LETICIA"/>
    <x v="238"/>
    <x v="132"/>
    <x v="3"/>
    <s v="COSMÉTICO"/>
    <x v="139"/>
    <s v="CAMISETA GOLA CARECA MALHA 100% ALGODÃO "/>
    <s v="CAMISETA"/>
    <s v="LEVE"/>
    <n v="100"/>
    <n v="31"/>
    <n v="3100"/>
    <n v="0"/>
    <d v="2025-06-12T00:00:00"/>
    <n v="24"/>
    <m/>
    <s v="ENTREGUE"/>
    <n v="100"/>
    <n v="150"/>
    <n v="150"/>
    <n v="100"/>
    <n v="500"/>
  </r>
  <r>
    <s v="LETICIA"/>
    <x v="239"/>
    <x v="133"/>
    <x v="3"/>
    <s v="PET"/>
    <x v="121"/>
    <s v="AVENTAL BAGUN COM BOLSO"/>
    <s v="AVENTAL"/>
    <s v="PESADA"/>
    <n v="100"/>
    <n v="16"/>
    <n v="1600"/>
    <n v="0"/>
    <d v="2025-06-28T00:00:00"/>
    <n v="26"/>
    <m/>
    <s v="ENTREGUE"/>
    <n v="25"/>
    <n v="100"/>
    <n v="100"/>
    <n v="50"/>
    <n v="275"/>
  </r>
  <r>
    <s v="LETICIA"/>
    <x v="240"/>
    <x v="133"/>
    <x v="3"/>
    <s v="BRINDES"/>
    <x v="140"/>
    <s v="NECESSAIRE NY IMPERMEAVEL COM FORRO"/>
    <s v="NECESSAIRE"/>
    <s v="PESADA"/>
    <n v="400"/>
    <n v="17.3"/>
    <n v="6920"/>
    <n v="0"/>
    <d v="2025-06-27T00:00:00"/>
    <n v="26"/>
    <m/>
    <s v="ENTREGUE"/>
    <n v="100"/>
    <n v="502.5"/>
    <n v="600"/>
    <n v="200"/>
    <n v="1402.5"/>
  </r>
  <r>
    <s v="SANDY"/>
    <x v="241"/>
    <x v="133"/>
    <x v="3"/>
    <s v="HAVANNA"/>
    <x v="110"/>
    <s v="AVENTAL OXFORD MODELO PADRÃO"/>
    <s v="AVENTAL"/>
    <s v="LEVE"/>
    <n v="2"/>
    <n v="36.75"/>
    <n v="73.5"/>
    <n v="0"/>
    <d v="2025-06-27T00:00:00"/>
    <n v="26"/>
    <m/>
    <s v="ENTREGUE"/>
    <n v="0.5"/>
    <n v="2"/>
    <n v="3"/>
    <n v="1"/>
    <n v="6.5"/>
  </r>
  <r>
    <s v="SANDY"/>
    <x v="241"/>
    <x v="133"/>
    <x v="3"/>
    <s v="HAVANNA"/>
    <x v="110"/>
    <s v="CAMISETA MALHA 100% ALGODÃO"/>
    <s v="CAMISETA"/>
    <s v="LEVE"/>
    <n v="4"/>
    <n v="25"/>
    <n v="100"/>
    <n v="0"/>
    <d v="2025-06-27T00:00:00"/>
    <n v="26"/>
    <m/>
    <s v="ENTREGUE"/>
    <n v="1"/>
    <n v="4"/>
    <n v="6"/>
    <n v="2"/>
    <n v="13"/>
  </r>
  <r>
    <s v="SANDY"/>
    <x v="242"/>
    <x v="134"/>
    <x v="3"/>
    <s v="HAVANNA"/>
    <x v="141"/>
    <s v="AVENTAL OXFORD MODELO PADRÃO"/>
    <s v="AVENTAL"/>
    <s v="LEVE"/>
    <n v="6"/>
    <n v="25"/>
    <n v="150"/>
    <n v="0"/>
    <d v="2025-06-29T00:00:00"/>
    <n v="27"/>
    <m/>
    <s v="ENTREGUE"/>
    <n v="1.5"/>
    <n v="6"/>
    <n v="9"/>
    <n v="3"/>
    <n v="19.5"/>
  </r>
  <r>
    <s v="SANDY"/>
    <x v="242"/>
    <x v="134"/>
    <x v="3"/>
    <s v="HAVANNA"/>
    <x v="141"/>
    <s v="FAIXA DE CABELO"/>
    <s v="FAIXA"/>
    <s v="LEVE"/>
    <n v="3"/>
    <n v="21"/>
    <n v="63"/>
    <n v="0"/>
    <d v="2025-06-29T00:00:00"/>
    <n v="27"/>
    <m/>
    <s v="ENTREGUE"/>
    <n v="0.75"/>
    <n v="3"/>
    <n v="3.5999999999999996"/>
    <n v="1.5"/>
    <n v="8.85"/>
  </r>
  <r>
    <s v="SANDY"/>
    <x v="242"/>
    <x v="134"/>
    <x v="3"/>
    <s v="HAVANNA"/>
    <x v="141"/>
    <s v="CALÇA BRIM"/>
    <s v="CALÇA "/>
    <s v="PESADA"/>
    <n v="2"/>
    <n v="75"/>
    <n v="150"/>
    <n v="0"/>
    <d v="2025-06-29T00:00:00"/>
    <n v="27"/>
    <m/>
    <s v="ENTREGUE"/>
    <n v="4"/>
    <n v="0"/>
    <n v="6"/>
    <n v="2"/>
    <n v="12"/>
  </r>
  <r>
    <s v="SANDY"/>
    <x v="242"/>
    <x v="134"/>
    <x v="3"/>
    <s v="HAVANNA"/>
    <x v="141"/>
    <s v="CALÇA LEGGING"/>
    <s v="CALÇA "/>
    <s v="LEVE"/>
    <n v="2"/>
    <n v="65"/>
    <n v="130"/>
    <n v="0"/>
    <d v="2025-06-29T00:00:00"/>
    <n v="27"/>
    <m/>
    <s v="ENTREGUE"/>
    <n v="2"/>
    <n v="0"/>
    <n v="6"/>
    <n v="2"/>
    <n v="10"/>
  </r>
  <r>
    <s v="SANDY"/>
    <x v="242"/>
    <x v="134"/>
    <x v="3"/>
    <s v="HAVANNA"/>
    <x v="141"/>
    <s v="BABY LOOK FEMININA MALHA 100% ALGODAO"/>
    <s v="BABY LOOK"/>
    <s v="LEVE"/>
    <n v="6"/>
    <n v="36.75"/>
    <n v="220.5"/>
    <n v="0"/>
    <d v="2025-06-29T00:00:00"/>
    <n v="27"/>
    <m/>
    <s v="ENTREGUE"/>
    <n v="1.5"/>
    <n v="6"/>
    <n v="9"/>
    <n v="3"/>
    <n v="19.5"/>
  </r>
  <r>
    <s v="SANDY"/>
    <x v="242"/>
    <x v="134"/>
    <x v="3"/>
    <s v="HAVANNA"/>
    <x v="141"/>
    <s v="CAMISETA MALHA 100% ALGODÃO"/>
    <s v="CAMISETA"/>
    <s v="LEVE"/>
    <n v="4"/>
    <n v="36.75"/>
    <n v="147"/>
    <n v="0"/>
    <d v="2025-06-29T00:00:00"/>
    <n v="27"/>
    <m/>
    <s v="ENTREGUE"/>
    <n v="1"/>
    <n v="4"/>
    <n v="6"/>
    <n v="2"/>
    <n v="13"/>
  </r>
  <r>
    <s v="LETICIA"/>
    <x v="243"/>
    <x v="135"/>
    <x v="46"/>
    <s v="PET"/>
    <x v="1"/>
    <s v="CAMISETA GOLA CARECA MALHA 100% ALGODÃO "/>
    <s v="CAMISETA"/>
    <s v="LEVE"/>
    <n v="20"/>
    <n v="45"/>
    <n v="900"/>
    <n v="0"/>
    <d v="2025-06-12T00:00:00"/>
    <n v="24"/>
    <m/>
    <s v="ENTREGUE"/>
    <n v="5"/>
    <n v="20"/>
    <n v="30"/>
    <n v="10"/>
    <n v="65"/>
  </r>
  <r>
    <s v="LETICIA"/>
    <x v="244"/>
    <x v="135"/>
    <x v="46"/>
    <s v="PET"/>
    <x v="41"/>
    <s v="AVENTAL NY EMBORRACHADO"/>
    <s v="AVENTAL"/>
    <s v="LEVE"/>
    <n v="250"/>
    <n v="23.5"/>
    <n v="5875"/>
    <n v="0"/>
    <d v="2025-06-20T00:00:00"/>
    <n v="25"/>
    <m/>
    <s v="ENTREGUE"/>
    <n v="62.5"/>
    <n v="250"/>
    <n v="460"/>
    <n v="125"/>
    <n v="897.5"/>
  </r>
  <r>
    <s v="SANDY"/>
    <x v="245"/>
    <x v="135"/>
    <x v="46"/>
    <s v="HAVANNA"/>
    <x v="30"/>
    <s v="CAMISETA GOLA CARECA 100% ALGODÃO"/>
    <s v="CAMISETA"/>
    <s v="LEVE"/>
    <n v="6"/>
    <n v="24.5"/>
    <n v="147"/>
    <n v="0"/>
    <d v="2025-07-02T00:00:00"/>
    <n v="27"/>
    <m/>
    <s v="ENTREGUE"/>
    <n v="1.5"/>
    <n v="6"/>
    <n v="9"/>
    <n v="3"/>
    <n v="19.5"/>
  </r>
  <r>
    <s v="SANDY"/>
    <x v="245"/>
    <x v="135"/>
    <x v="46"/>
    <s v="HAVANNA"/>
    <x v="30"/>
    <s v="CAMISETA GOLA CARECA 100% ALGODÃO"/>
    <s v="CAMISETA"/>
    <s v="LEVE"/>
    <n v="4"/>
    <n v="37"/>
    <n v="148"/>
    <n v="0"/>
    <d v="2025-07-02T00:00:00"/>
    <n v="27"/>
    <m/>
    <s v="ENTREGUE"/>
    <n v="1"/>
    <n v="4"/>
    <n v="6"/>
    <n v="2"/>
    <n v="13"/>
  </r>
  <r>
    <s v="SANDY"/>
    <x v="245"/>
    <x v="135"/>
    <x v="46"/>
    <s v="HAVANNA"/>
    <x v="30"/>
    <s v="BLUSA DE MOLETOM "/>
    <s v="MOLETOM"/>
    <s v="LEVE"/>
    <n v="3"/>
    <n v="78"/>
    <n v="234"/>
    <n v="0"/>
    <d v="2025-07-02T00:00:00"/>
    <n v="27"/>
    <m/>
    <s v="ENTREGUE"/>
    <n v="0.75"/>
    <n v="4.5"/>
    <n v="4.5"/>
    <n v="1.5"/>
    <n v="11.25"/>
  </r>
  <r>
    <s v="SANDY"/>
    <x v="245"/>
    <x v="135"/>
    <x v="46"/>
    <s v="HAVANNA"/>
    <x v="30"/>
    <s v="AVENTAL OXFORD MODELO PADRÃO"/>
    <s v="AVENTAL"/>
    <s v="LEVE"/>
    <n v="3"/>
    <n v="25"/>
    <n v="75"/>
    <n v="0"/>
    <d v="2025-07-02T00:00:00"/>
    <n v="27"/>
    <m/>
    <s v="ENTREGUE"/>
    <n v="0.75"/>
    <n v="3"/>
    <n v="4.5"/>
    <n v="1.5"/>
    <n v="9.75"/>
  </r>
  <r>
    <s v="LETICIA"/>
    <x v="246"/>
    <x v="135"/>
    <x v="46"/>
    <s v="COMÉRCIO"/>
    <x v="40"/>
    <s v="NECESSAIRE NY PLASTIFICADO"/>
    <s v="NECESSAIRE"/>
    <s v="PESADA"/>
    <n v="300"/>
    <n v="23"/>
    <n v="6900"/>
    <n v="0"/>
    <d v="2025-06-27T00:00:00"/>
    <n v="26"/>
    <m/>
    <s v="ENTREGUE"/>
    <n v="600"/>
    <n v="180"/>
    <n v="1500"/>
    <n v="150"/>
    <n v="2430"/>
  </r>
  <r>
    <s v="LETICIA"/>
    <x v="247"/>
    <x v="136"/>
    <x v="46"/>
    <s v="COSMÉTICO"/>
    <x v="142"/>
    <s v="CAMISETA POLO PIQUET"/>
    <s v="POLO"/>
    <s v="LEVE"/>
    <n v="120"/>
    <n v="43"/>
    <n v="5160"/>
    <n v="0"/>
    <d v="2025-07-02T00:00:00"/>
    <n v="27"/>
    <m/>
    <s v="ENTREGUE"/>
    <n v="0"/>
    <n v="120"/>
    <n v="0"/>
    <n v="60"/>
    <n v="180"/>
  </r>
  <r>
    <s v="LETICIA"/>
    <x v="248"/>
    <x v="136"/>
    <x v="46"/>
    <s v="COSMÉTICO"/>
    <x v="143"/>
    <s v="CAMISETA MALHA PV"/>
    <s v="CAMISETA"/>
    <s v="LEVE"/>
    <n v="22"/>
    <n v="45"/>
    <n v="990"/>
    <n v="0"/>
    <d v="2025-06-12T00:00:00"/>
    <n v="24"/>
    <m/>
    <s v="ENTREGUE"/>
    <n v="5.5"/>
    <n v="22"/>
    <n v="33"/>
    <n v="11"/>
    <n v="71.5"/>
  </r>
  <r>
    <s v="LETICIA"/>
    <x v="249"/>
    <x v="137"/>
    <x v="46"/>
    <s v="PET"/>
    <x v="144"/>
    <s v="AVENTAL NY EMBORRACHADO"/>
    <s v="AVENTAL"/>
    <s v="LEVE"/>
    <n v="100"/>
    <n v="27"/>
    <n v="2700"/>
    <n v="0"/>
    <d v="2025-07-07T00:00:00"/>
    <n v="28"/>
    <m/>
    <s v="ENTREGUE"/>
    <n v="25"/>
    <n v="100"/>
    <n v="184"/>
    <n v="50"/>
    <n v="359"/>
  </r>
  <r>
    <s v="SANDY"/>
    <x v="250"/>
    <x v="137"/>
    <x v="46"/>
    <s v="HAVANNA"/>
    <x v="17"/>
    <s v="CAMISETA MALHA 100% ALGODÃO"/>
    <s v="CAMISETA"/>
    <s v="LEVE"/>
    <n v="3"/>
    <n v="36.75"/>
    <n v="110.25"/>
    <n v="0"/>
    <d v="2025-07-05T00:00:00"/>
    <n v="27"/>
    <m/>
    <s v="ENTREGUE"/>
    <n v="0.75"/>
    <n v="3"/>
    <n v="4.5"/>
    <n v="1.5"/>
    <n v="9.75"/>
  </r>
  <r>
    <s v="SANDY"/>
    <x v="250"/>
    <x v="137"/>
    <x v="46"/>
    <s v="HAVANNA"/>
    <x v="17"/>
    <s v="AVENTAL OXFORD MODELO PADRÃO"/>
    <s v="AVENTAL"/>
    <s v="LEVE"/>
    <n v="4"/>
    <n v="25"/>
    <n v="100"/>
    <n v="0"/>
    <d v="2025-07-05T00:00:00"/>
    <n v="27"/>
    <m/>
    <s v="ENTREGUE"/>
    <n v="1"/>
    <n v="4"/>
    <n v="6"/>
    <n v="2"/>
    <n v="13"/>
  </r>
  <r>
    <s v="SANDY"/>
    <x v="250"/>
    <x v="137"/>
    <x v="46"/>
    <s v="HAVANNA"/>
    <x v="17"/>
    <s v="CAMISETA MANGA LONGA 100% ALGODÃO"/>
    <s v="CAMISETA"/>
    <s v="LEVE"/>
    <n v="2"/>
    <n v="47.5"/>
    <n v="95"/>
    <n v="0"/>
    <d v="2025-07-05T00:00:00"/>
    <n v="27"/>
    <m/>
    <s v="ENTREGUE"/>
    <n v="0.5"/>
    <n v="2"/>
    <n v="3"/>
    <n v="1"/>
    <n v="6.5"/>
  </r>
  <r>
    <s v="SANDY"/>
    <x v="250"/>
    <x v="137"/>
    <x v="46"/>
    <s v="HAVANNA"/>
    <x v="17"/>
    <s v="BLUSA DE MOLETOM "/>
    <s v="MOLETOM"/>
    <s v="LEVE"/>
    <n v="1"/>
    <n v="85"/>
    <n v="85"/>
    <n v="0"/>
    <d v="2025-07-05T00:00:00"/>
    <n v="27"/>
    <m/>
    <s v="ENTREGUE"/>
    <n v="0.25"/>
    <n v="1.5"/>
    <n v="1.5"/>
    <n v="0.5"/>
    <n v="3.75"/>
  </r>
  <r>
    <s v="LETICIA"/>
    <x v="251"/>
    <x v="137"/>
    <x v="46"/>
    <s v="COMÉRCIO"/>
    <x v="111"/>
    <s v="SACO ALGODÃO CRU 77X60"/>
    <s v="SACO"/>
    <s v="LEVE"/>
    <n v="100"/>
    <n v="17"/>
    <n v="1700"/>
    <n v="0"/>
    <d v="2025-07-07T00:00:00"/>
    <n v="28"/>
    <m/>
    <s v="ENTREGUE"/>
    <n v="25"/>
    <n v="50"/>
    <n v="80"/>
    <n v="25"/>
    <n v="180"/>
  </r>
  <r>
    <s v="SANDY"/>
    <x v="252"/>
    <x v="137"/>
    <x v="46"/>
    <s v="HAVANNA"/>
    <x v="80"/>
    <s v="AVENTAL OXFORD MODELO PADRÃO"/>
    <s v="AVENTAL"/>
    <s v="LEVE"/>
    <n v="4"/>
    <n v="25"/>
    <n v="100"/>
    <n v="0"/>
    <d v="2025-07-05T00:00:00"/>
    <n v="27"/>
    <m/>
    <s v="ENTREGUE"/>
    <n v="1"/>
    <n v="4"/>
    <n v="6"/>
    <n v="2"/>
    <n v="13"/>
  </r>
  <r>
    <s v="SANDY"/>
    <x v="252"/>
    <x v="137"/>
    <x v="46"/>
    <s v="HAVANNA"/>
    <x v="80"/>
    <s v="FAIXA DE CABELO"/>
    <s v="FAIXA"/>
    <s v="LEVE"/>
    <n v="4"/>
    <n v="21"/>
    <n v="84"/>
    <n v="0"/>
    <d v="2025-07-05T00:00:00"/>
    <n v="27"/>
    <m/>
    <s v="ENTREGUE"/>
    <n v="1"/>
    <n v="4"/>
    <n v="4.8"/>
    <n v="2"/>
    <n v="11.8"/>
  </r>
  <r>
    <s v="SANDY"/>
    <x v="252"/>
    <x v="137"/>
    <x v="46"/>
    <s v="HAVANNA"/>
    <x v="80"/>
    <s v="BLUSA DE MOLETOM "/>
    <s v="MOLETOM"/>
    <s v="LEVE"/>
    <n v="2"/>
    <n v="78"/>
    <n v="156"/>
    <n v="0"/>
    <d v="2025-07-05T00:00:00"/>
    <n v="27"/>
    <m/>
    <s v="ENTREGUE"/>
    <n v="0.5"/>
    <n v="3"/>
    <n v="3"/>
    <n v="1"/>
    <n v="7.5"/>
  </r>
  <r>
    <s v="LETICIA"/>
    <x v="253"/>
    <x v="138"/>
    <x v="46"/>
    <s v="PET"/>
    <x v="1"/>
    <s v="CAMISETA GOLA CARECA MALHA 100% ALGODÃO "/>
    <s v="CAMISETA"/>
    <s v="LEVE"/>
    <n v="199"/>
    <n v="28"/>
    <n v="5572"/>
    <n v="0"/>
    <d v="2025-07-07T00:00:00"/>
    <n v="28"/>
    <m/>
    <s v="ENTREGUE"/>
    <n v="49.75"/>
    <n v="199"/>
    <n v="298.5"/>
    <n v="99.5"/>
    <n v="646.75"/>
  </r>
  <r>
    <s v="LETICIA"/>
    <x v="254"/>
    <x v="138"/>
    <x v="46"/>
    <s v="PET"/>
    <x v="41"/>
    <s v="JALECO GROOMER"/>
    <s v="JALECO"/>
    <s v="LEVE"/>
    <n v="50"/>
    <n v="50"/>
    <n v="2500"/>
    <n v="0"/>
    <d v="2025-07-11T00:00:00"/>
    <n v="28"/>
    <m/>
    <s v="ENTREGUE"/>
    <n v="12.5"/>
    <n v="50"/>
    <n v="500"/>
    <n v="25"/>
    <n v="587.5"/>
  </r>
  <r>
    <s v="LETICIA"/>
    <x v="255"/>
    <x v="139"/>
    <x v="47"/>
    <s v="PET"/>
    <x v="1"/>
    <s v="AVENTAL NYLON EMBORRACHADO"/>
    <s v="AVENTAL"/>
    <s v="LEVE"/>
    <n v="2500"/>
    <n v="23.5"/>
    <n v="58750"/>
    <n v="0"/>
    <d v="2025-07-04T00:00:00"/>
    <n v="27"/>
    <m/>
    <s v="ENTREGUE"/>
    <n v="625"/>
    <n v="2500"/>
    <n v="4600"/>
    <n v="1250"/>
    <n v="8975"/>
  </r>
  <r>
    <s v="LETICIA"/>
    <x v="256"/>
    <x v="139"/>
    <x v="47"/>
    <s v="PET"/>
    <x v="119"/>
    <s v="AVENTAL NYLON EMBORRACHADO "/>
    <s v="AVENTAL"/>
    <s v="LEVE"/>
    <n v="150"/>
    <n v="23"/>
    <n v="3450"/>
    <n v="0"/>
    <d v="2025-07-08T00:00:00"/>
    <n v="28"/>
    <m/>
    <s v="ENTREGUE"/>
    <n v="37.5"/>
    <n v="150"/>
    <n v="276"/>
    <n v="75"/>
    <n v="538.5"/>
  </r>
  <r>
    <s v="LETICIA"/>
    <x v="257"/>
    <x v="139"/>
    <x v="47"/>
    <s v="COSMÉTICO"/>
    <x v="145"/>
    <s v="CAPA DE CORTE CETIM 1,20X1,47"/>
    <s v="CAPA"/>
    <s v="LEVE"/>
    <n v="300"/>
    <n v="24.5"/>
    <n v="7350"/>
    <n v="0"/>
    <d v="2025-07-08T00:00:00"/>
    <n v="28"/>
    <m/>
    <s v="ENTREGUE"/>
    <n v="75"/>
    <n v="300"/>
    <n v="450"/>
    <n v="150"/>
    <n v="975"/>
  </r>
  <r>
    <s v="LETICIA"/>
    <x v="257"/>
    <x v="139"/>
    <x v="47"/>
    <s v="COSMÉTICO"/>
    <x v="145"/>
    <s v="KIMONO CETIM TAM ÚNICO"/>
    <s v="KIMONO"/>
    <s v="PESADA"/>
    <n v="300"/>
    <n v="27.5"/>
    <n v="8250"/>
    <n v="0"/>
    <d v="2025-07-08T00:00:00"/>
    <n v="28"/>
    <m/>
    <s v="ENTREGUE"/>
    <n v="75"/>
    <n v="450"/>
    <n v="1580.9999999999998"/>
    <n v="150"/>
    <n v="2256"/>
  </r>
  <r>
    <s v="LETICIA"/>
    <x v="258"/>
    <x v="140"/>
    <x v="47"/>
    <s v="COSMÉTICO"/>
    <x v="146"/>
    <s v="CAMISETA MALHA PV"/>
    <s v="CAMISETA"/>
    <s v="LEVE"/>
    <n v="250"/>
    <n v="25"/>
    <n v="6250"/>
    <n v="0"/>
    <d v="2025-07-10T00:00:00"/>
    <n v="28"/>
    <m/>
    <s v="ENTREGUE"/>
    <n v="62.5"/>
    <n v="250"/>
    <n v="375"/>
    <n v="125"/>
    <n v="812.5"/>
  </r>
  <r>
    <s v="LETICIA"/>
    <x v="258"/>
    <x v="140"/>
    <x v="47"/>
    <s v="COSMÉTICO"/>
    <x v="146"/>
    <s v="SACOLA MATELASSE"/>
    <s v="SACOLA"/>
    <s v="LEVE"/>
    <n v="250"/>
    <n v="18.5"/>
    <n v="4625"/>
    <n v="0"/>
    <d v="2025-07-10T00:00:00"/>
    <n v="28"/>
    <m/>
    <s v="ENTREGUE"/>
    <n v="62.5"/>
    <n v="250"/>
    <n v="250"/>
    <n v="125"/>
    <n v="687.5"/>
  </r>
  <r>
    <s v="LETICIA"/>
    <x v="258"/>
    <x v="140"/>
    <x v="47"/>
    <s v="COSMÉTICO"/>
    <x v="146"/>
    <s v="KIMONO TACTEL TAM ÚNICO"/>
    <s v="KIMONO"/>
    <s v="LEVE"/>
    <n v="50"/>
    <n v="25"/>
    <n v="1250"/>
    <n v="0"/>
    <d v="2025-07-10T00:00:00"/>
    <n v="28"/>
    <m/>
    <s v="ENTREGUE"/>
    <n v="12.5"/>
    <n v="75"/>
    <n v="263.5"/>
    <n v="25"/>
    <n v="376"/>
  </r>
  <r>
    <s v="LETICIA"/>
    <x v="259"/>
    <x v="140"/>
    <x v="47"/>
    <s v="COSMÉTICO"/>
    <x v="97"/>
    <s v="AVENTAL POLIESTER COM BOLSO"/>
    <s v="AVENTAL"/>
    <s v="PESADA"/>
    <n v="200"/>
    <n v="34"/>
    <n v="6800"/>
    <n v="0"/>
    <d v="2025-07-09T00:00:00"/>
    <n v="28"/>
    <m/>
    <s v="ENTREGUE"/>
    <n v="50"/>
    <n v="200"/>
    <n v="300"/>
    <n v="100"/>
    <n v="650"/>
  </r>
  <r>
    <s v="LETICIA"/>
    <x v="259"/>
    <x v="140"/>
    <x v="47"/>
    <s v="COSMÉTICO"/>
    <x v="97"/>
    <s v="CAPA DE CORTE TACTEL 1,4X1,5"/>
    <s v="CAPA"/>
    <s v="LEVE"/>
    <n v="100"/>
    <n v="27.5"/>
    <n v="2750"/>
    <n v="0"/>
    <d v="2025-07-09T00:00:00"/>
    <n v="28"/>
    <m/>
    <s v="ENTREGUE"/>
    <n v="25"/>
    <n v="100"/>
    <n v="150"/>
    <n v="50"/>
    <n v="325"/>
  </r>
  <r>
    <s v="LETICIA"/>
    <x v="260"/>
    <x v="140"/>
    <x v="47"/>
    <s v="COSMÉTICO"/>
    <x v="97"/>
    <s v="CAPA DE CORTE TACTEL 1,4X1,5"/>
    <s v="CAPA"/>
    <s v="LEVE"/>
    <n v="100"/>
    <n v="27.5"/>
    <n v="2750"/>
    <n v="0"/>
    <d v="2025-07-09T00:00:00"/>
    <n v="28"/>
    <m/>
    <s v="ENTREGUE"/>
    <n v="25"/>
    <n v="100"/>
    <n v="150"/>
    <n v="50"/>
    <n v="325"/>
  </r>
  <r>
    <s v="LETICIA"/>
    <x v="136"/>
    <x v="140"/>
    <x v="47"/>
    <s v="COSMÉTICO"/>
    <x v="97"/>
    <s v="AVENTAL POLIESTER COM BOLSO"/>
    <s v="AVENTAL"/>
    <s v="PESADA"/>
    <n v="196"/>
    <n v="34"/>
    <n v="6664"/>
    <n v="0"/>
    <d v="2025-08-19T00:00:00"/>
    <n v="34"/>
    <m/>
    <s v="ENTREGUE"/>
    <n v="49"/>
    <n v="196"/>
    <n v="294"/>
    <n v="98"/>
    <n v="637"/>
  </r>
  <r>
    <s v="LETICIA"/>
    <x v="261"/>
    <x v="140"/>
    <x v="47"/>
    <s v="COSMÉTICO"/>
    <x v="97"/>
    <s v="CAPA DE CORTE TACTEL 1,4X1,5"/>
    <s v="CAPA"/>
    <s v="LEVE"/>
    <n v="15"/>
    <n v="27.5"/>
    <n v="412.5"/>
    <n v="0"/>
    <d v="2025-07-09T00:00:00"/>
    <n v="28"/>
    <m/>
    <s v="ENTREGUE"/>
    <n v="3.75"/>
    <n v="15"/>
    <n v="22.5"/>
    <n v="7.5"/>
    <n v="48.75"/>
  </r>
  <r>
    <s v="LETICIA"/>
    <x v="262"/>
    <x v="140"/>
    <x v="47"/>
    <s v="COSMÉTICO"/>
    <x v="0"/>
    <s v="CAMISETA GOLA CARECA MALHA PV"/>
    <s v="CAMISETA"/>
    <s v="LEVE"/>
    <n v="120"/>
    <n v="24.5"/>
    <n v="2940"/>
    <n v="0"/>
    <d v="2025-07-08T00:00:00"/>
    <n v="28"/>
    <m/>
    <s v="ENTREGUE"/>
    <n v="30"/>
    <n v="120"/>
    <n v="180"/>
    <n v="60"/>
    <n v="390"/>
  </r>
  <r>
    <s v="LETICIA"/>
    <x v="263"/>
    <x v="140"/>
    <x v="47"/>
    <s v="COSMÉTICO"/>
    <x v="0"/>
    <s v="KIMONO TACTEL TAM ÚNICO"/>
    <s v="KIMONO"/>
    <s v="LEVE"/>
    <n v="200"/>
    <n v="24.5"/>
    <n v="4900"/>
    <n v="0"/>
    <d v="2025-07-08T00:00:00"/>
    <n v="28"/>
    <m/>
    <s v="ENTREGUE"/>
    <n v="50"/>
    <n v="300"/>
    <n v="1054"/>
    <n v="100"/>
    <n v="1504"/>
  </r>
  <r>
    <s v="LETICIA"/>
    <x v="263"/>
    <x v="140"/>
    <x v="47"/>
    <s v="COSMÉTICO"/>
    <x v="0"/>
    <s v="AVENTAL OXFORD MODELO PADRÃO"/>
    <s v="AVENTAL"/>
    <s v="LEVE"/>
    <n v="200"/>
    <n v="14"/>
    <n v="2800"/>
    <n v="0"/>
    <d v="2025-07-08T00:00:00"/>
    <n v="28"/>
    <m/>
    <s v="ENTREGUE"/>
    <n v="50"/>
    <n v="200"/>
    <n v="300"/>
    <n v="100"/>
    <n v="650"/>
  </r>
  <r>
    <s v="LETICIA"/>
    <x v="263"/>
    <x v="140"/>
    <x v="47"/>
    <s v="COSMÉTICO"/>
    <x v="0"/>
    <s v="CAMISETA GOLA CARECA MALHA PV"/>
    <s v="CAMISETA"/>
    <s v="LEVE"/>
    <n v="200"/>
    <n v="24.5"/>
    <n v="4900"/>
    <n v="0"/>
    <d v="2025-07-08T00:00:00"/>
    <n v="28"/>
    <m/>
    <s v="ENTREGUE"/>
    <n v="50"/>
    <n v="200"/>
    <n v="300"/>
    <n v="100"/>
    <n v="650"/>
  </r>
  <r>
    <s v="LETICIA"/>
    <x v="264"/>
    <x v="140"/>
    <x v="47"/>
    <s v="PET"/>
    <x v="50"/>
    <s v="JALECO GROOMER"/>
    <s v="JALECO"/>
    <s v="LEVE"/>
    <n v="200"/>
    <n v="50"/>
    <n v="10000"/>
    <n v="0"/>
    <d v="2025-07-09T00:00:00"/>
    <n v="28"/>
    <m/>
    <s v="ENTREGUE"/>
    <n v="50"/>
    <n v="200"/>
    <n v="2000"/>
    <n v="100"/>
    <n v="2350"/>
  </r>
  <r>
    <s v="CONSERV"/>
    <x v="265"/>
    <x v="140"/>
    <x v="47"/>
    <s v="HAVANNA"/>
    <x v="147"/>
    <s v="AVENTAL OXFORD MODELO PADRÃO"/>
    <s v="AVENTAL"/>
    <s v="LEVE"/>
    <n v="3"/>
    <n v="25"/>
    <n v="75"/>
    <n v="0"/>
    <d v="2025-06-10T00:00:00"/>
    <n v="24"/>
    <m/>
    <s v="ENTREGUE"/>
    <m/>
    <m/>
    <m/>
    <m/>
    <m/>
  </r>
  <r>
    <s v="CONSERV"/>
    <x v="265"/>
    <x v="140"/>
    <x v="47"/>
    <s v="HAVANNA"/>
    <x v="147"/>
    <s v="CALÇA LEGGING"/>
    <s v="CALÇA"/>
    <s v="LEVE"/>
    <n v="1"/>
    <n v="65"/>
    <n v="65"/>
    <n v="0"/>
    <d v="2025-06-10T00:00:00"/>
    <n v="24"/>
    <m/>
    <s v="ENTREGUE"/>
    <m/>
    <m/>
    <m/>
    <m/>
    <m/>
  </r>
  <r>
    <s v="CONSERV"/>
    <x v="265"/>
    <x v="140"/>
    <x v="47"/>
    <s v="HAVANNA"/>
    <x v="147"/>
    <s v="FAIXA DE CABELO"/>
    <s v="FAIXA"/>
    <s v="LEVE"/>
    <n v="3"/>
    <n v="21"/>
    <n v="63"/>
    <n v="0"/>
    <d v="2025-06-10T00:00:00"/>
    <n v="24"/>
    <m/>
    <s v="ENTREGUE"/>
    <m/>
    <m/>
    <m/>
    <m/>
    <m/>
  </r>
  <r>
    <s v="CONSERV"/>
    <x v="265"/>
    <x v="140"/>
    <x v="47"/>
    <s v="HAVANNA"/>
    <x v="147"/>
    <s v="BLUSA DE MOLETOM "/>
    <s v="MOLETOM"/>
    <s v="LEVE"/>
    <n v="2"/>
    <n v="85"/>
    <n v="170"/>
    <n v="0"/>
    <d v="2025-06-10T00:00:00"/>
    <n v="24"/>
    <m/>
    <s v="ENTREGUE"/>
    <m/>
    <m/>
    <m/>
    <m/>
    <m/>
  </r>
  <r>
    <s v="CONSERV"/>
    <x v="265"/>
    <x v="140"/>
    <x v="47"/>
    <s v="HAVANNA"/>
    <x v="147"/>
    <s v="CAMISETA MANGA LONGA 100% ALGODÃO"/>
    <s v="CAMISETA"/>
    <s v="LEVE"/>
    <n v="4"/>
    <n v="47.5"/>
    <n v="190"/>
    <n v="0"/>
    <d v="2025-06-10T00:00:00"/>
    <n v="24"/>
    <m/>
    <s v="ENTREGUE"/>
    <m/>
    <m/>
    <m/>
    <m/>
    <m/>
  </r>
  <r>
    <s v="CONSERV"/>
    <x v="265"/>
    <x v="140"/>
    <x v="47"/>
    <s v="HAVANNA"/>
    <x v="147"/>
    <s v="CALÇA BRIM"/>
    <s v="CALÇA"/>
    <s v="PESADA"/>
    <n v="1"/>
    <n v="75"/>
    <n v="75"/>
    <n v="0"/>
    <d v="2025-06-10T00:00:00"/>
    <n v="24"/>
    <m/>
    <s v="ENTREGUE"/>
    <m/>
    <m/>
    <m/>
    <m/>
    <m/>
  </r>
  <r>
    <s v="LETICIA"/>
    <x v="266"/>
    <x v="141"/>
    <x v="47"/>
    <s v="COSMÉTICO"/>
    <x v="145"/>
    <s v="CAPA DE CORTE CETIM 1,47X1,20"/>
    <s v="CAPA"/>
    <s v="LEVE"/>
    <n v="100"/>
    <n v="28"/>
    <n v="2800"/>
    <n v="0"/>
    <d v="2025-07-11T00:00:00"/>
    <n v="28"/>
    <m/>
    <s v="ENTREGUE"/>
    <n v="25"/>
    <n v="100"/>
    <n v="150"/>
    <n v="50"/>
    <n v="325"/>
  </r>
  <r>
    <s v="LETICIA"/>
    <x v="267"/>
    <x v="141"/>
    <x v="47"/>
    <s v="COSMÉTICO"/>
    <x v="148"/>
    <s v="SACOLA DE ALGODÃO"/>
    <s v="SACOLA"/>
    <s v="LEVE"/>
    <n v="300"/>
    <n v="9.6"/>
    <n v="2880"/>
    <n v="0"/>
    <d v="2025-07-11T00:00:00"/>
    <n v="28"/>
    <m/>
    <s v="ENTREGUE"/>
    <n v="75"/>
    <n v="300"/>
    <n v="450"/>
    <n v="150"/>
    <n v="975"/>
  </r>
  <r>
    <s v="LETICIA"/>
    <x v="268"/>
    <x v="141"/>
    <x v="47"/>
    <s v="COSMÉTICO"/>
    <x v="0"/>
    <s v="CAMISETA GOLA CARECA MALHA PV"/>
    <s v="CAMISETA"/>
    <s v="LEVE"/>
    <n v="100"/>
    <n v="24.5"/>
    <n v="2450"/>
    <n v="0"/>
    <d v="2025-07-09T00:00:00"/>
    <n v="28"/>
    <m/>
    <s v="ENTREGUE"/>
    <n v="25"/>
    <n v="100"/>
    <n v="150"/>
    <n v="50"/>
    <n v="325"/>
  </r>
  <r>
    <s v="LETICIA"/>
    <x v="268"/>
    <x v="141"/>
    <x v="47"/>
    <s v="COSMÉTICO"/>
    <x v="0"/>
    <s v="CAPA DE CORTE TACTEL 1,40X1,50"/>
    <s v="CAPA"/>
    <s v="LEVE"/>
    <n v="100"/>
    <n v="24.5"/>
    <n v="2450"/>
    <n v="0"/>
    <d v="2025-07-09T00:00:00"/>
    <n v="28"/>
    <m/>
    <s v="ENTREGUE"/>
    <n v="25"/>
    <n v="100"/>
    <n v="150"/>
    <n v="50"/>
    <n v="325"/>
  </r>
  <r>
    <s v="SANDY"/>
    <x v="269"/>
    <x v="141"/>
    <x v="47"/>
    <s v="HAVANNA"/>
    <x v="25"/>
    <s v="BABY LOOK FEMININA MALHA 100% ALGODAO"/>
    <s v="BABY LOOK"/>
    <s v="LEVE"/>
    <n v="12"/>
    <n v="36.75"/>
    <n v="441"/>
    <n v="0"/>
    <d v="2025-07-03T00:00:00"/>
    <n v="27"/>
    <m/>
    <s v="ENTREGUE"/>
    <n v="3"/>
    <n v="12"/>
    <n v="18"/>
    <n v="6"/>
    <n v="39"/>
  </r>
  <r>
    <s v="SANDY"/>
    <x v="269"/>
    <x v="141"/>
    <x v="47"/>
    <s v="HAVANNA"/>
    <x v="25"/>
    <s v="CAMISETA MALHA 100% ALGODÃO"/>
    <s v="CAMISETA"/>
    <s v="LEVE"/>
    <n v="2"/>
    <n v="36.75"/>
    <n v="73.5"/>
    <n v="0"/>
    <d v="2025-07-03T00:00:00"/>
    <n v="27"/>
    <m/>
    <s v="ENTREGUE"/>
    <n v="0.5"/>
    <n v="2"/>
    <n v="3"/>
    <n v="1"/>
    <n v="6.5"/>
  </r>
  <r>
    <s v="SANDY"/>
    <x v="269"/>
    <x v="141"/>
    <x v="47"/>
    <s v="HAVANNA"/>
    <x v="25"/>
    <s v="AVENTAL OXFORD MODELO PADRÃO"/>
    <s v="AVENTAL"/>
    <s v="LEVE"/>
    <n v="10"/>
    <n v="25"/>
    <n v="250"/>
    <n v="0"/>
    <d v="2025-07-03T00:00:00"/>
    <n v="27"/>
    <m/>
    <s v="ENTREGUE"/>
    <n v="2.5"/>
    <n v="10"/>
    <n v="15"/>
    <n v="5"/>
    <n v="32.5"/>
  </r>
  <r>
    <s v="SANDY"/>
    <x v="269"/>
    <x v="141"/>
    <x v="47"/>
    <s v="HAVANNA"/>
    <x v="25"/>
    <s v="FAIXA DE CABELO"/>
    <s v="FAIXA"/>
    <s v="LEVE"/>
    <n v="3"/>
    <n v="21"/>
    <n v="63"/>
    <n v="0"/>
    <d v="2025-07-03T00:00:00"/>
    <n v="27"/>
    <m/>
    <s v="ENTREGUE"/>
    <n v="0.75"/>
    <n v="3"/>
    <n v="3.5999999999999996"/>
    <n v="1.5"/>
    <n v="8.85"/>
  </r>
  <r>
    <s v="SANDY"/>
    <x v="270"/>
    <x v="142"/>
    <x v="48"/>
    <s v="HAVANNA"/>
    <x v="149"/>
    <s v="CAMISETA MANGA LONGA 100% ALGODÃO"/>
    <s v="CAMISETA"/>
    <s v="LEVE"/>
    <n v="12"/>
    <n v="47.5"/>
    <n v="570"/>
    <n v="0"/>
    <d v="2025-07-16T00:00:00"/>
    <n v="29"/>
    <m/>
    <s v="ENTREGUE"/>
    <n v="3"/>
    <n v="12"/>
    <n v="18"/>
    <n v="6"/>
    <n v="39"/>
  </r>
  <r>
    <s v="SANDY"/>
    <x v="270"/>
    <x v="142"/>
    <x v="48"/>
    <s v="HAVANNA"/>
    <x v="149"/>
    <s v="AVENTAL OXFORD MODELO PADRÃO"/>
    <s v="AVENTAL"/>
    <s v="LEVE"/>
    <n v="8"/>
    <n v="25"/>
    <n v="200"/>
    <n v="0"/>
    <d v="2025-07-16T00:00:00"/>
    <n v="29"/>
    <m/>
    <s v="ENTREGUE"/>
    <n v="2"/>
    <n v="8"/>
    <n v="12"/>
    <n v="4"/>
    <n v="26"/>
  </r>
  <r>
    <s v="SANDY"/>
    <x v="270"/>
    <x v="142"/>
    <x v="48"/>
    <s v="HAVANNA"/>
    <x v="149"/>
    <s v="FAIXA DE CABELO"/>
    <s v="FAIXA"/>
    <s v="LEVE"/>
    <n v="4"/>
    <n v="21"/>
    <n v="84"/>
    <n v="0"/>
    <d v="2025-07-16T00:00:00"/>
    <n v="29"/>
    <m/>
    <s v="ENTREGUE"/>
    <n v="1"/>
    <n v="4"/>
    <n v="4.8"/>
    <n v="2"/>
    <n v="11.8"/>
  </r>
  <r>
    <s v="SANDY"/>
    <x v="270"/>
    <x v="142"/>
    <x v="48"/>
    <s v="HAVANNA"/>
    <x v="149"/>
    <s v="CAMISETA POLO PIQUET"/>
    <s v="POLO"/>
    <s v="LEVE"/>
    <n v="2"/>
    <n v="65"/>
    <n v="130"/>
    <n v="0"/>
    <d v="2025-07-16T00:00:00"/>
    <n v="29"/>
    <m/>
    <s v="ENTREGUE"/>
    <n v="0"/>
    <n v="2"/>
    <n v="0"/>
    <n v="1"/>
    <n v="3"/>
  </r>
  <r>
    <s v="FERNANDA"/>
    <x v="271"/>
    <x v="142"/>
    <x v="48"/>
    <s v="COSMÉTICO"/>
    <x v="150"/>
    <s v="CAMISETA GOLA CARECA MALHA PV"/>
    <s v="CAMISETA"/>
    <s v="LEVE"/>
    <n v="80"/>
    <n v="26.5"/>
    <n v="2120"/>
    <n v="0"/>
    <d v="2025-07-22T00:00:00"/>
    <n v="30"/>
    <m/>
    <s v="ENTREGUE"/>
    <n v="20"/>
    <n v="80"/>
    <n v="120"/>
    <n v="40"/>
    <n v="260"/>
  </r>
  <r>
    <s v="FERNANDA"/>
    <x v="271"/>
    <x v="142"/>
    <x v="48"/>
    <s v="COSMÉTICO"/>
    <x v="150"/>
    <s v="BABY LOOK FEMININA MALHA PV"/>
    <s v="BABY LOOK"/>
    <s v="LEVE"/>
    <n v="20"/>
    <n v="26.5"/>
    <n v="530"/>
    <n v="0"/>
    <d v="2025-07-22T00:00:00"/>
    <n v="30"/>
    <m/>
    <s v="ENTREGUE"/>
    <n v="5"/>
    <n v="20"/>
    <n v="30"/>
    <n v="10"/>
    <n v="65"/>
  </r>
  <r>
    <s v="FERNANDA"/>
    <x v="272"/>
    <x v="143"/>
    <x v="48"/>
    <s v="COSMÉTICO"/>
    <x v="63"/>
    <s v="BABY LOOK MALHA PV"/>
    <s v="BABY LOOK"/>
    <s v="LEVE"/>
    <n v="19"/>
    <n v="45"/>
    <n v="855"/>
    <n v="0"/>
    <d v="2025-07-03T00:00:00"/>
    <n v="27"/>
    <m/>
    <s v="ENTREGUE"/>
    <n v="4.75"/>
    <n v="19"/>
    <n v="28.5"/>
    <n v="9.5"/>
    <n v="61.75"/>
  </r>
  <r>
    <s v="FERNANDA"/>
    <x v="272"/>
    <x v="143"/>
    <x v="48"/>
    <s v="COSMÉTICO"/>
    <x v="63"/>
    <s v="CAMISETA MALHA PV"/>
    <s v="CAMISETA"/>
    <s v="LEVE"/>
    <n v="11"/>
    <n v="45"/>
    <n v="495"/>
    <n v="0"/>
    <d v="2025-07-03T00:00:00"/>
    <n v="27"/>
    <m/>
    <s v="ENTREGUE"/>
    <n v="2.75"/>
    <n v="11"/>
    <n v="16.5"/>
    <n v="5.5"/>
    <n v="35.75"/>
  </r>
  <r>
    <s v="LETICIA"/>
    <x v="273"/>
    <x v="143"/>
    <x v="48"/>
    <s v="COSMÉTICO"/>
    <x v="60"/>
    <s v="CAMISETA MALHA 100% ALGODÃO"/>
    <s v="CAMISETA"/>
    <s v="LEVE"/>
    <n v="30"/>
    <n v="28"/>
    <n v="840"/>
    <n v="0"/>
    <d v="2025-07-23T00:00:00"/>
    <n v="30"/>
    <m/>
    <s v="ENTREGUE"/>
    <n v="7.5"/>
    <n v="30"/>
    <n v="45"/>
    <n v="15"/>
    <n v="97.5"/>
  </r>
  <r>
    <s v="LETICIA"/>
    <x v="273"/>
    <x v="143"/>
    <x v="48"/>
    <s v="COSMÉTICO"/>
    <x v="60"/>
    <s v="BABY LOOK MALHA 100% ALGODÃO "/>
    <s v="BABY LOOK"/>
    <s v="LEVE"/>
    <n v="70"/>
    <n v="28"/>
    <n v="1960"/>
    <n v="0"/>
    <d v="2025-07-23T00:00:00"/>
    <n v="30"/>
    <m/>
    <s v="ENTREGUE"/>
    <n v="17.5"/>
    <n v="70"/>
    <n v="105"/>
    <n v="35"/>
    <n v="227.5"/>
  </r>
  <r>
    <s v="LETICIA"/>
    <x v="274"/>
    <x v="143"/>
    <x v="48"/>
    <s v="COSMÉTICO"/>
    <x v="151"/>
    <s v="CAPA DE CORTE IMPERMEAVEL"/>
    <s v="CAPA"/>
    <s v="LEVE"/>
    <n v="200"/>
    <n v="26.5"/>
    <n v="5300"/>
    <n v="0"/>
    <d v="2025-07-23T00:00:00"/>
    <n v="30"/>
    <m/>
    <s v="ENTREGUE"/>
    <n v="50"/>
    <n v="200"/>
    <n v="300"/>
    <n v="100"/>
    <n v="650"/>
  </r>
  <r>
    <s v="LETICIA"/>
    <x v="274"/>
    <x v="143"/>
    <x v="48"/>
    <s v="COSMÉTICO"/>
    <x v="151"/>
    <s v="AVENTAL NY EMBORRACHADO"/>
    <s v="AVENTAL"/>
    <s v="LEVE"/>
    <n v="200"/>
    <n v="24.5"/>
    <n v="4900"/>
    <n v="0"/>
    <d v="2025-07-23T00:00:00"/>
    <n v="30"/>
    <m/>
    <s v="ENTREGUE"/>
    <n v="50"/>
    <n v="200"/>
    <n v="300"/>
    <n v="100"/>
    <n v="650"/>
  </r>
  <r>
    <s v="SANDY"/>
    <x v="275"/>
    <x v="144"/>
    <x v="48"/>
    <s v="HAVANNA"/>
    <x v="152"/>
    <s v="AVENTAL OXFORD MODELO PADRÃO"/>
    <s v="AVENTAL"/>
    <s v="LEVE"/>
    <n v="14"/>
    <n v="25"/>
    <n v="350"/>
    <n v="0"/>
    <d v="2025-06-25T00:00:00"/>
    <n v="26"/>
    <m/>
    <s v="ENTREGUE"/>
    <n v="3.5"/>
    <n v="14"/>
    <n v="21"/>
    <n v="7"/>
    <n v="45.5"/>
  </r>
  <r>
    <s v="SANDY"/>
    <x v="275"/>
    <x v="144"/>
    <x v="48"/>
    <s v="HAVANNA"/>
    <x v="152"/>
    <s v="CAMISETA GOLA CARECA 100% ALGODÃO"/>
    <s v="CAMISETA"/>
    <s v="LEVE"/>
    <n v="16"/>
    <n v="36.75"/>
    <n v="588"/>
    <n v="0"/>
    <d v="2025-06-25T00:00:00"/>
    <n v="26"/>
    <m/>
    <s v="ENTREGUE"/>
    <n v="4"/>
    <n v="16"/>
    <n v="24"/>
    <n v="8"/>
    <n v="52"/>
  </r>
  <r>
    <s v="SANDY"/>
    <x v="275"/>
    <x v="144"/>
    <x v="48"/>
    <s v="HAVANNA"/>
    <x v="152"/>
    <s v="BLUSA DE MOLETOM "/>
    <s v="MOLETOM"/>
    <s v="LEVE"/>
    <n v="10"/>
    <n v="85"/>
    <n v="850"/>
    <n v="0"/>
    <d v="2025-06-25T00:00:00"/>
    <n v="26"/>
    <m/>
    <s v="ENTREGUE"/>
    <n v="2.5"/>
    <n v="15"/>
    <n v="15"/>
    <n v="5"/>
    <n v="37.5"/>
  </r>
  <r>
    <s v="SANDY"/>
    <x v="275"/>
    <x v="144"/>
    <x v="48"/>
    <s v="HAVANNA"/>
    <x v="152"/>
    <s v="CAMISETA POLO PIQUET"/>
    <s v="POLO"/>
    <s v="LEVE"/>
    <n v="2"/>
    <n v="65"/>
    <n v="130"/>
    <n v="0"/>
    <d v="2025-06-25T00:00:00"/>
    <n v="26"/>
    <m/>
    <s v="ENTREGUE"/>
    <n v="0"/>
    <n v="2"/>
    <n v="0"/>
    <n v="1"/>
    <n v="3"/>
  </r>
  <r>
    <s v="LETICIA"/>
    <x v="276"/>
    <x v="144"/>
    <x v="48"/>
    <s v="PET"/>
    <x v="119"/>
    <s v="JALECO GROOMER"/>
    <s v="JALECO"/>
    <s v="LEVE"/>
    <n v="100"/>
    <n v="55"/>
    <n v="5500"/>
    <n v="0"/>
    <d v="2025-07-23T00:00:00"/>
    <n v="30"/>
    <m/>
    <s v="ENTREGUE"/>
    <n v="25"/>
    <n v="100"/>
    <n v="1000"/>
    <n v="50"/>
    <n v="1175"/>
  </r>
  <r>
    <s v="LETICIA"/>
    <x v="277"/>
    <x v="144"/>
    <x v="48"/>
    <s v="COSMÉTICO"/>
    <x v="153"/>
    <s v="CAMISETA MALHA PV"/>
    <s v="CAMISETA"/>
    <s v="LEVE"/>
    <n v="100"/>
    <n v="26.5"/>
    <n v="2650"/>
    <n v="0"/>
    <d v="2025-07-24T00:00:00"/>
    <n v="30"/>
    <m/>
    <s v="ENTREGUE"/>
    <n v="25"/>
    <n v="100"/>
    <n v="150"/>
    <n v="50"/>
    <n v="325"/>
  </r>
  <r>
    <s v="SANDY"/>
    <x v="278"/>
    <x v="144"/>
    <x v="48"/>
    <s v="HAVANNA"/>
    <x v="154"/>
    <s v="FAIXA DE CABELO"/>
    <s v="FAIXA"/>
    <s v="LEVE"/>
    <n v="3"/>
    <n v="16"/>
    <n v="48"/>
    <n v="0"/>
    <d v="2025-07-18T00:00:00"/>
    <n v="29"/>
    <m/>
    <s v="ENTREGUE"/>
    <n v="0.75"/>
    <n v="3"/>
    <n v="3.5999999999999996"/>
    <n v="1.5"/>
    <n v="8.85"/>
  </r>
  <r>
    <s v="SANDY"/>
    <x v="278"/>
    <x v="144"/>
    <x v="48"/>
    <s v="HAVANNA"/>
    <x v="154"/>
    <s v="CAMISETA MALHA 100% ALGODÃO"/>
    <s v="CAMISETA"/>
    <s v="LEVE"/>
    <n v="1"/>
    <n v="36.75"/>
    <n v="36.75"/>
    <n v="0"/>
    <d v="2025-07-18T00:00:00"/>
    <n v="29"/>
    <m/>
    <s v="ENTREGUE"/>
    <n v="0.25"/>
    <n v="1"/>
    <n v="1.5"/>
    <n v="0.5"/>
    <n v="3.25"/>
  </r>
  <r>
    <s v="SANDY"/>
    <x v="278"/>
    <x v="144"/>
    <x v="48"/>
    <s v="HAVANNA"/>
    <x v="154"/>
    <s v="BABY LOOK FEMININA MALHA 100% ALGODAO"/>
    <s v="BABY LOOK"/>
    <s v="LEVE"/>
    <n v="2"/>
    <n v="36.75"/>
    <n v="73.5"/>
    <n v="0"/>
    <d v="2025-07-18T00:00:00"/>
    <n v="29"/>
    <m/>
    <s v="ENTREGUE"/>
    <n v="0.5"/>
    <n v="2"/>
    <n v="3"/>
    <n v="1"/>
    <n v="6.5"/>
  </r>
  <r>
    <s v="SANDY"/>
    <x v="278"/>
    <x v="144"/>
    <x v="48"/>
    <s v="HAVANNA"/>
    <x v="154"/>
    <s v="CALÇA LEGGING"/>
    <s v="CALÇA "/>
    <s v="LEVE"/>
    <n v="1"/>
    <n v="65"/>
    <n v="65"/>
    <n v="0"/>
    <d v="2025-07-18T00:00:00"/>
    <n v="29"/>
    <m/>
    <s v="ENTREGUE"/>
    <n v="0.25"/>
    <n v="0"/>
    <n v="3"/>
    <n v="0.5"/>
    <n v="3.75"/>
  </r>
  <r>
    <s v="SANDY"/>
    <x v="278"/>
    <x v="144"/>
    <x v="48"/>
    <s v="HAVANNA"/>
    <x v="154"/>
    <s v="BLUSA DE MOLETOM "/>
    <s v="MOLETOM"/>
    <s v="LEVE"/>
    <n v="2"/>
    <n v="85"/>
    <n v="170"/>
    <n v="0"/>
    <d v="2025-07-18T00:00:00"/>
    <n v="29"/>
    <m/>
    <s v="ENTREGUE"/>
    <n v="0.5"/>
    <n v="3"/>
    <n v="3"/>
    <n v="1"/>
    <n v="7.5"/>
  </r>
  <r>
    <s v="LETICIA"/>
    <x v="279"/>
    <x v="144"/>
    <x v="48"/>
    <s v="COSMÉTICO"/>
    <x v="120"/>
    <s v="NECESSAIRE MALETA MAKE"/>
    <s v="NECESSAIRE"/>
    <s v="PESADA"/>
    <n v="200"/>
    <n v="15"/>
    <n v="3000"/>
    <n v="0"/>
    <d v="2025-07-23T00:00:00"/>
    <n v="30"/>
    <m/>
    <s v="ENTREGUE"/>
    <n v="50"/>
    <n v="140"/>
    <n v="500"/>
    <n v="100"/>
    <n v="790"/>
  </r>
  <r>
    <s v="LETICIA"/>
    <x v="280"/>
    <x v="144"/>
    <x v="48"/>
    <s v="COSMÉTICO"/>
    <x v="106"/>
    <s v="CAMISETA MALHA 100% ALGODÃO"/>
    <s v="CAMISETA"/>
    <s v="LEVE"/>
    <n v="100"/>
    <n v="28"/>
    <n v="2800"/>
    <n v="0"/>
    <d v="2025-07-23T00:00:00"/>
    <n v="30"/>
    <m/>
    <s v="ENTREGUE"/>
    <n v="25"/>
    <n v="100"/>
    <n v="150"/>
    <n v="50"/>
    <n v="325"/>
  </r>
  <r>
    <s v="LETICIA"/>
    <x v="281"/>
    <x v="145"/>
    <x v="49"/>
    <s v="EDITORA"/>
    <x v="78"/>
    <s v="SACOLA OXFORD 35X40"/>
    <s v="SACOLA"/>
    <s v="LEVE"/>
    <n v="800"/>
    <n v="8.8000000000000007"/>
    <n v="7040.0000000000009"/>
    <n v="0"/>
    <d v="2025-07-09T00:00:00"/>
    <n v="28"/>
    <m/>
    <s v="ENTREGUE"/>
    <n v="200"/>
    <n v="1200"/>
    <n v="1200"/>
    <n v="400"/>
    <n v="3000"/>
  </r>
  <r>
    <s v="FERNANDA"/>
    <x v="282"/>
    <x v="145"/>
    <x v="49"/>
    <s v="COSMÉTICO"/>
    <x v="37"/>
    <s v="AVENTAL JEANS"/>
    <s v="AVENTAL"/>
    <s v="PESADA"/>
    <n v="150"/>
    <n v="40"/>
    <n v="6000"/>
    <n v="0"/>
    <d v="2025-07-28T00:00:00"/>
    <n v="31"/>
    <m/>
    <s v="ENTREGUE"/>
    <n v="37.5"/>
    <n v="225"/>
    <n v="225"/>
    <n v="75"/>
    <n v="562.5"/>
  </r>
  <r>
    <s v="FERNANDA"/>
    <x v="282"/>
    <x v="145"/>
    <x v="49"/>
    <s v="COSMÉTICO"/>
    <x v="37"/>
    <s v="KIMONO CETIM"/>
    <s v="KIMONO"/>
    <s v="PESADA"/>
    <n v="100"/>
    <n v="28"/>
    <n v="2800"/>
    <n v="0"/>
    <d v="2025-07-28T00:00:00"/>
    <n v="31"/>
    <m/>
    <s v="ENTREGUE"/>
    <n v="25"/>
    <n v="150"/>
    <n v="527"/>
    <n v="50"/>
    <n v="752"/>
  </r>
  <r>
    <s v="FERNANDA"/>
    <x v="282"/>
    <x v="145"/>
    <x v="49"/>
    <s v="COSMÉTICO"/>
    <x v="37"/>
    <s v="AVENTAL NY 210"/>
    <s v="AVENTAL"/>
    <s v="LEVE"/>
    <n v="100"/>
    <n v="19.899999999999999"/>
    <n v="1989.9999999999998"/>
    <n v="0"/>
    <d v="2025-07-28T00:00:00"/>
    <n v="31"/>
    <m/>
    <s v="ENTREGUE"/>
    <n v="25"/>
    <n v="100"/>
    <n v="150"/>
    <n v="50"/>
    <n v="325"/>
  </r>
  <r>
    <s v="FERNANDA"/>
    <x v="282"/>
    <x v="145"/>
    <x v="49"/>
    <s v="COSMÉTICO"/>
    <x v="37"/>
    <s v="CAPA DE CORTE CETIM"/>
    <s v="CAPA"/>
    <s v="LEVE"/>
    <n v="100"/>
    <n v="17"/>
    <n v="1700"/>
    <n v="0"/>
    <d v="2025-07-28T00:00:00"/>
    <n v="31"/>
    <m/>
    <s v="ENTREGUE"/>
    <n v="25"/>
    <n v="100"/>
    <n v="150"/>
    <n v="50"/>
    <n v="325"/>
  </r>
  <r>
    <s v="LETICIA"/>
    <x v="283"/>
    <x v="145"/>
    <x v="49"/>
    <s v="COMÉRCIO"/>
    <x v="39"/>
    <s v="SACO ALGODÃO CRU 77X60"/>
    <s v="SACO"/>
    <s v="LEVE"/>
    <n v="300"/>
    <n v="16.5"/>
    <n v="4950"/>
    <n v="0"/>
    <d v="2025-07-24T00:00:00"/>
    <n v="30"/>
    <m/>
    <s v="ENTREGUE"/>
    <n v="75"/>
    <n v="300"/>
    <n v="300"/>
    <n v="150"/>
    <n v="825"/>
  </r>
  <r>
    <s v="LETICIA"/>
    <x v="283"/>
    <x v="145"/>
    <x v="49"/>
    <s v="COMÉRCIO"/>
    <x v="39"/>
    <s v="ETIQUETA LONITA"/>
    <s v="ETIQUETA "/>
    <s v="LEVE"/>
    <n v="500"/>
    <n v="2.5"/>
    <n v="1250"/>
    <n v="0"/>
    <d v="2025-07-24T00:00:00"/>
    <n v="30"/>
    <m/>
    <s v="ENTREGUE"/>
    <n v="125"/>
    <n v="250"/>
    <n v="250"/>
    <n v="250"/>
    <n v="875"/>
  </r>
  <r>
    <s v="FERNANDA"/>
    <x v="284"/>
    <x v="145"/>
    <x v="49"/>
    <s v="COSMÉTICO"/>
    <x v="155"/>
    <s v="AVENTAL NY 210"/>
    <s v="AVENTAL"/>
    <s v="LEVE"/>
    <n v="50"/>
    <n v="19.7"/>
    <n v="985"/>
    <n v="0"/>
    <d v="2025-07-28T00:00:00"/>
    <n v="31"/>
    <m/>
    <s v="ENTREGUE"/>
    <n v="12.5"/>
    <n v="50"/>
    <n v="75"/>
    <n v="25"/>
    <n v="162.5"/>
  </r>
  <r>
    <s v="FERNANDA"/>
    <x v="284"/>
    <x v="145"/>
    <x v="49"/>
    <s v="COSMÉTICO"/>
    <x v="155"/>
    <s v="CAPA DE CORTE TACTEL"/>
    <s v="CAPA"/>
    <s v="LEVE"/>
    <n v="50"/>
    <n v="27"/>
    <n v="1350"/>
    <n v="0"/>
    <d v="2025-07-28T00:00:00"/>
    <n v="31"/>
    <m/>
    <s v="ENTREGUE"/>
    <n v="12.5"/>
    <n v="50"/>
    <n v="75"/>
    <n v="25"/>
    <n v="162.5"/>
  </r>
  <r>
    <s v="SANDY"/>
    <x v="285"/>
    <x v="146"/>
    <x v="49"/>
    <s v="COSMÉTICO"/>
    <x v="156"/>
    <s v="CAPA DE CORTE CETIM 0,85X1,40"/>
    <s v="CAPA"/>
    <s v="LEVE"/>
    <n v="50"/>
    <n v="20"/>
    <n v="1000"/>
    <n v="0"/>
    <d v="2025-07-23T00:00:00"/>
    <n v="30"/>
    <m/>
    <s v="ENTREGUE"/>
    <n v="12.5"/>
    <n v="50"/>
    <n v="75"/>
    <n v="25"/>
    <n v="162.5"/>
  </r>
  <r>
    <s v="LETICIA"/>
    <x v="286"/>
    <x v="146"/>
    <x v="49"/>
    <s v="COSMÉTICO"/>
    <x v="97"/>
    <s v="AVENTAL POLIESTER COM BOLSO"/>
    <s v="AVENTAL"/>
    <s v="PESADA"/>
    <n v="150"/>
    <n v="34"/>
    <n v="5100"/>
    <n v="0"/>
    <d v="2025-07-24T00:00:00"/>
    <n v="30"/>
    <m/>
    <s v="ENTREGUE"/>
    <n v="37.5"/>
    <n v="150"/>
    <n v="225"/>
    <n v="75"/>
    <n v="487.5"/>
  </r>
  <r>
    <s v="LETICIA"/>
    <x v="287"/>
    <x v="146"/>
    <x v="49"/>
    <s v="COSMÉTICO"/>
    <x v="97"/>
    <s v="AVENTAL POLIESTER COM BOLSO"/>
    <s v="AVENTAL"/>
    <s v="PESADA"/>
    <n v="70"/>
    <n v="34"/>
    <n v="2380"/>
    <n v="0"/>
    <d v="2025-07-24T00:00:00"/>
    <n v="30"/>
    <m/>
    <s v="ENTREGUE"/>
    <n v="17.5"/>
    <n v="70"/>
    <n v="105"/>
    <n v="35"/>
    <n v="227.5"/>
  </r>
  <r>
    <s v="LETICIA"/>
    <x v="288"/>
    <x v="147"/>
    <x v="49"/>
    <s v="COSMÉTICO"/>
    <x v="37"/>
    <s v="AVENTAL JEANS"/>
    <s v="AVENTAL"/>
    <s v="PESADA"/>
    <n v="150"/>
    <n v="40"/>
    <n v="6000"/>
    <n v="0"/>
    <d v="2025-07-30T00:00:00"/>
    <n v="31"/>
    <m/>
    <s v="ENTREGUE"/>
    <n v="37.5"/>
    <n v="120"/>
    <n v="450"/>
    <n v="75"/>
    <n v="682.5"/>
  </r>
  <r>
    <s v="LETICIA"/>
    <x v="288"/>
    <x v="147"/>
    <x v="49"/>
    <s v="COSMÉTICO"/>
    <x v="37"/>
    <s v="CAPA DE CORTE CETIM"/>
    <s v="CAPA"/>
    <s v="LEVE"/>
    <n v="50"/>
    <n v="17"/>
    <n v="850"/>
    <n v="0"/>
    <d v="2025-07-30T00:00:00"/>
    <n v="31"/>
    <m/>
    <s v="ENTREGUE"/>
    <n v="12.5"/>
    <n v="50"/>
    <n v="75"/>
    <n v="25"/>
    <n v="162.5"/>
  </r>
  <r>
    <s v="LETICIA"/>
    <x v="289"/>
    <x v="148"/>
    <x v="50"/>
    <s v="COSMÉTICO"/>
    <x v="151"/>
    <s v="CAPA DE CORTE IMPERMEAVEL"/>
    <s v="CAPA"/>
    <s v="LEVE"/>
    <n v="450"/>
    <n v="26.5"/>
    <n v="11925"/>
    <n v="0"/>
    <d v="2025-07-30T00:00:00"/>
    <n v="31"/>
    <n v="5"/>
    <s v="ENTREGUE"/>
    <n v="112.5"/>
    <n v="450"/>
    <n v="675"/>
    <n v="225"/>
    <n v="1462.5"/>
  </r>
  <r>
    <s v="LETICIA"/>
    <x v="290"/>
    <x v="148"/>
    <x v="50"/>
    <s v="COSMÉTICO"/>
    <x v="97"/>
    <s v="AVENTAL POLIESTER COM BOLSO"/>
    <s v="AVENTAL"/>
    <s v="PESADA"/>
    <n v="30"/>
    <n v="34"/>
    <n v="1020"/>
    <n v="0"/>
    <d v="2025-07-24T00:00:00"/>
    <n v="30"/>
    <m/>
    <s v="ENTREGUE"/>
    <n v="7.5"/>
    <n v="30"/>
    <n v="45"/>
    <n v="15"/>
    <n v="97.5"/>
  </r>
  <r>
    <s v="LETICIA"/>
    <x v="291"/>
    <x v="148"/>
    <x v="50"/>
    <s v="COSMÉTICO"/>
    <x v="97"/>
    <s v="AVENTAL POLIESTER COM BOLSO"/>
    <s v="AVENTAL"/>
    <s v="PESADA"/>
    <n v="20"/>
    <n v="34"/>
    <n v="680"/>
    <n v="0"/>
    <d v="2025-07-24T00:00:00"/>
    <n v="30"/>
    <m/>
    <s v="ENTREGUE"/>
    <n v="5"/>
    <n v="20"/>
    <n v="30"/>
    <n v="10"/>
    <n v="65"/>
  </r>
  <r>
    <s v="LETICIA"/>
    <x v="292"/>
    <x v="148"/>
    <x v="50"/>
    <s v="COSMÉTICO"/>
    <x v="97"/>
    <s v="AVENTAL POLIESTER COM BOLSO"/>
    <s v="AVENTAL"/>
    <s v="PESADA"/>
    <n v="80"/>
    <n v="34"/>
    <n v="2720"/>
    <n v="0"/>
    <d v="2025-07-24T00:00:00"/>
    <n v="30"/>
    <m/>
    <s v="ENTREGUE"/>
    <n v="20"/>
    <n v="80"/>
    <n v="120"/>
    <n v="40"/>
    <n v="260"/>
  </r>
  <r>
    <s v="LETICIA"/>
    <x v="293"/>
    <x v="149"/>
    <x v="50"/>
    <s v="COSMÉTICO"/>
    <x v="157"/>
    <s v="AVENTAL NY 210"/>
    <s v="AVENTAL"/>
    <s v="LEVE"/>
    <n v="100"/>
    <n v="19.7"/>
    <n v="1970"/>
    <n v="0"/>
    <d v="2025-07-14T00:00:00"/>
    <n v="29"/>
    <n v="5"/>
    <s v="ENTREGUE"/>
    <n v="25"/>
    <n v="100"/>
    <n v="150"/>
    <n v="50"/>
    <n v="325"/>
  </r>
  <r>
    <s v="LETICIA"/>
    <x v="294"/>
    <x v="149"/>
    <x v="50"/>
    <s v="PET"/>
    <x v="1"/>
    <s v="AVENTL NYLON EMBORRACHADO"/>
    <s v="AVENTAL"/>
    <s v="LEVE"/>
    <n v="2500"/>
    <n v="23.5"/>
    <n v="58750"/>
    <n v="0"/>
    <d v="2025-08-13T00:00:00"/>
    <n v="33"/>
    <m/>
    <s v="ENTREGUE"/>
    <n v="625"/>
    <n v="2500"/>
    <n v="4600"/>
    <n v="1250"/>
    <n v="8975"/>
  </r>
  <r>
    <s v="SANDY"/>
    <x v="295"/>
    <x v="149"/>
    <x v="50"/>
    <s v="HAVANNA"/>
    <x v="158"/>
    <s v="AVENTAL OXFORD MODELO PADRÃO"/>
    <s v="AVENTAL"/>
    <s v="LEVE"/>
    <n v="10"/>
    <n v="25"/>
    <n v="250"/>
    <n v="0"/>
    <d v="2025-07-23T00:00:00"/>
    <n v="30"/>
    <m/>
    <s v="ENTREGUE"/>
    <n v="2.5"/>
    <n v="10"/>
    <n v="15"/>
    <n v="5"/>
    <n v="32.5"/>
  </r>
  <r>
    <s v="SANDY"/>
    <x v="295"/>
    <x v="149"/>
    <x v="50"/>
    <s v="HAVANNA"/>
    <x v="158"/>
    <s v="FAIXA DE CABELO"/>
    <s v="FAIXA"/>
    <s v="LEVE"/>
    <n v="5"/>
    <n v="21"/>
    <n v="105"/>
    <n v="0"/>
    <d v="2025-07-23T00:00:00"/>
    <n v="30"/>
    <m/>
    <s v="ENTREGUE"/>
    <n v="1.25"/>
    <n v="5"/>
    <n v="6"/>
    <n v="2.5"/>
    <n v="14.75"/>
  </r>
  <r>
    <s v="SANDY"/>
    <x v="295"/>
    <x v="149"/>
    <x v="50"/>
    <s v="HAVANNA"/>
    <x v="158"/>
    <s v="BABY LOOK FEMININA MALHA 100% ALGODAO"/>
    <s v="BABY LOOK"/>
    <s v="LEVE"/>
    <n v="9"/>
    <n v="36.75"/>
    <n v="330.75"/>
    <n v="0"/>
    <d v="2025-07-23T00:00:00"/>
    <n v="30"/>
    <m/>
    <s v="ENTREGUE"/>
    <n v="2.25"/>
    <n v="9"/>
    <n v="13.5"/>
    <n v="4.5"/>
    <n v="29.25"/>
  </r>
  <r>
    <s v="SANDY"/>
    <x v="295"/>
    <x v="149"/>
    <x v="50"/>
    <s v="HAVANNA"/>
    <x v="158"/>
    <s v="CAMISETA MALHA 100% ALGODÃO"/>
    <s v="CAMISETA"/>
    <s v="LEVE"/>
    <n v="4"/>
    <n v="36.75"/>
    <n v="147"/>
    <n v="0"/>
    <d v="2025-07-23T00:00:00"/>
    <n v="30"/>
    <m/>
    <s v="ENTREGUE"/>
    <n v="1"/>
    <n v="4"/>
    <n v="6"/>
    <n v="2"/>
    <n v="13"/>
  </r>
  <r>
    <s v="SANDY"/>
    <x v="295"/>
    <x v="149"/>
    <x v="50"/>
    <s v="HAVANNA"/>
    <x v="158"/>
    <s v="CAMISETA POLO PIQUET"/>
    <s v="POLO"/>
    <s v="LEVE"/>
    <n v="2"/>
    <n v="65"/>
    <n v="130"/>
    <n v="0"/>
    <d v="2025-07-23T00:00:00"/>
    <n v="30"/>
    <m/>
    <s v="ENTREGUE"/>
    <n v="0"/>
    <n v="2"/>
    <n v="0"/>
    <n v="1"/>
    <n v="3"/>
  </r>
  <r>
    <s v="SANDY"/>
    <x v="295"/>
    <x v="149"/>
    <x v="50"/>
    <s v="HAVANNA"/>
    <x v="158"/>
    <s v="CALÇA BRIM"/>
    <s v="CALÇA "/>
    <s v="PESADA"/>
    <n v="4"/>
    <n v="75"/>
    <n v="300"/>
    <n v="0"/>
    <d v="2025-07-23T00:00:00"/>
    <n v="30"/>
    <m/>
    <s v="ENTREGUE"/>
    <n v="1"/>
    <n v="4"/>
    <m/>
    <n v="2"/>
    <n v="7"/>
  </r>
  <r>
    <s v="LETICIA"/>
    <x v="296"/>
    <x v="149"/>
    <x v="50"/>
    <s v="PET"/>
    <x v="44"/>
    <s v="POLO PIQUET"/>
    <s v="POLO"/>
    <s v="LEVE"/>
    <n v="450"/>
    <n v="40"/>
    <n v="18000"/>
    <n v="0"/>
    <d v="2025-07-30T00:00:00"/>
    <n v="31"/>
    <n v="28"/>
    <s v="ENTREGUE"/>
    <n v="0"/>
    <n v="450"/>
    <n v="0"/>
    <n v="225"/>
    <n v="675"/>
  </r>
  <r>
    <s v="LETICIA"/>
    <x v="297"/>
    <x v="150"/>
    <x v="50"/>
    <s v="COSMÉTICO"/>
    <x v="0"/>
    <s v="CAMISETA MALHA 100% ALGODÃO"/>
    <s v="CAMISETA"/>
    <s v="LEVE"/>
    <n v="87"/>
    <n v="28"/>
    <n v="2436"/>
    <n v="0"/>
    <m/>
    <n v="0"/>
    <m/>
    <s v="ENTREGUE"/>
    <n v="21.75"/>
    <n v="87"/>
    <n v="130.5"/>
    <n v="43.5"/>
    <n v="282.75"/>
  </r>
  <r>
    <s v="SANDY"/>
    <x v="298"/>
    <x v="151"/>
    <x v="50"/>
    <s v="HAVANNA"/>
    <x v="149"/>
    <s v="CAMISETA MALHA 100% ALGODÃO"/>
    <s v="CAMISETA"/>
    <s v="LEVE"/>
    <n v="28"/>
    <n v="36.75"/>
    <n v="1029"/>
    <n v="0"/>
    <d v="2025-08-07T00:00:00"/>
    <n v="32"/>
    <m/>
    <s v="ENTREGUE"/>
    <n v="7"/>
    <n v="28"/>
    <n v="42"/>
    <n v="14"/>
    <n v="91"/>
  </r>
  <r>
    <s v="SANDY"/>
    <x v="298"/>
    <x v="151"/>
    <x v="50"/>
    <s v="HAVANNA"/>
    <x v="149"/>
    <s v="AVENTAL OXFORD MODELO PADRÃO"/>
    <s v="AVENTAL"/>
    <s v="LEVE"/>
    <n v="14"/>
    <n v="25"/>
    <n v="350"/>
    <n v="0"/>
    <d v="2025-08-07T00:00:00"/>
    <n v="32"/>
    <m/>
    <s v="ENTREGUE"/>
    <n v="3.5"/>
    <n v="14"/>
    <n v="21"/>
    <n v="7"/>
    <n v="45.5"/>
  </r>
  <r>
    <s v="SANDY"/>
    <x v="298"/>
    <x v="151"/>
    <x v="50"/>
    <s v="HAVANNA"/>
    <x v="149"/>
    <s v="FAIXA DE CABELO"/>
    <s v="FAIXA"/>
    <s v="LEVE"/>
    <n v="12"/>
    <n v="21"/>
    <n v="252"/>
    <n v="0"/>
    <d v="2025-08-07T00:00:00"/>
    <n v="32"/>
    <m/>
    <s v="ENTREGUE"/>
    <n v="3"/>
    <n v="12"/>
    <n v="14.399999999999999"/>
    <n v="6"/>
    <n v="35.4"/>
  </r>
  <r>
    <s v="SANDY"/>
    <x v="298"/>
    <x v="151"/>
    <x v="50"/>
    <s v="HAVANNA"/>
    <x v="149"/>
    <s v="CAMISETA POLO PIQUET"/>
    <s v="POLO"/>
    <s v="LEVE"/>
    <n v="6"/>
    <n v="65"/>
    <n v="390"/>
    <n v="0"/>
    <d v="2025-08-07T00:00:00"/>
    <n v="32"/>
    <m/>
    <s v="ENTREGUE"/>
    <n v="0"/>
    <n v="6"/>
    <n v="0"/>
    <n v="3"/>
    <n v="9"/>
  </r>
  <r>
    <s v="SANDY"/>
    <x v="298"/>
    <x v="151"/>
    <x v="50"/>
    <s v="HAVANNA"/>
    <x v="149"/>
    <s v="CAMISETA MANGA LONGA 100% ALGODÃO"/>
    <s v="CAMISETA"/>
    <s v="LEVE"/>
    <n v="34"/>
    <n v="47.5"/>
    <n v="1615"/>
    <n v="0"/>
    <d v="2025-08-07T00:00:00"/>
    <n v="32"/>
    <m/>
    <s v="ENTREGUE"/>
    <n v="8.5"/>
    <n v="34"/>
    <n v="51"/>
    <n v="17"/>
    <n v="110.5"/>
  </r>
  <r>
    <s v="FERNANDA"/>
    <x v="299"/>
    <x v="152"/>
    <x v="4"/>
    <s v="PET"/>
    <x v="1"/>
    <s v="AVENTAL NYLON AMBORRACHADO - HYDRA"/>
    <s v="AVENTAL"/>
    <s v="LEVE"/>
    <n v="350"/>
    <n v="23.5"/>
    <n v="8225"/>
    <n v="0"/>
    <d v="2025-08-08T00:00:00"/>
    <n v="32"/>
    <m/>
    <s v="ENTREGUE"/>
    <n v="87.5"/>
    <n v="350"/>
    <n v="525"/>
    <n v="175"/>
    <n v="1137.5"/>
  </r>
  <r>
    <s v="SANDY"/>
    <x v="300"/>
    <x v="152"/>
    <x v="4"/>
    <s v="HAVANNA"/>
    <x v="9"/>
    <s v="CAMISETA POLO PIQUET"/>
    <s v="POLO"/>
    <s v="LEVE"/>
    <n v="3"/>
    <n v="65"/>
    <n v="195"/>
    <n v="0"/>
    <d v="2025-08-08T00:00:00"/>
    <n v="32"/>
    <m/>
    <s v="ENTREGUE"/>
    <n v="0"/>
    <n v="3"/>
    <n v="0"/>
    <n v="1.5"/>
    <n v="4.5"/>
  </r>
  <r>
    <s v="SANDY"/>
    <x v="300"/>
    <x v="152"/>
    <x v="4"/>
    <s v="HAVANNA"/>
    <x v="9"/>
    <s v="AVENTAL OXFORD MODELO PADRÃO"/>
    <s v="AVENTAL"/>
    <s v="LEVE"/>
    <n v="5"/>
    <n v="25"/>
    <n v="125"/>
    <n v="0"/>
    <d v="2025-08-08T00:00:00"/>
    <n v="32"/>
    <m/>
    <s v="ENTREGUE"/>
    <n v="1.25"/>
    <n v="5"/>
    <n v="7.5"/>
    <n v="2.5"/>
    <n v="16.25"/>
  </r>
  <r>
    <s v="LETICIA"/>
    <x v="301"/>
    <x v="152"/>
    <x v="4"/>
    <s v="PET"/>
    <x v="73"/>
    <s v="AVENTAL NY EMBORRACHADO"/>
    <s v="AVENTAL"/>
    <s v="LEVE"/>
    <n v="200"/>
    <n v="22.5"/>
    <n v="4500"/>
    <n v="0"/>
    <d v="2025-08-08T00:00:00"/>
    <n v="32"/>
    <m/>
    <s v="ENTREGUE"/>
    <n v="50"/>
    <n v="200"/>
    <n v="368"/>
    <n v="100"/>
    <n v="718"/>
  </r>
  <r>
    <s v="LETICIA"/>
    <x v="302"/>
    <x v="153"/>
    <x v="4"/>
    <s v="EDITORA"/>
    <x v="159"/>
    <s v="SACOLA LONITA 305G 30X35X3"/>
    <s v="SACOLA"/>
    <s v="PESADA"/>
    <n v="100"/>
    <n v="15"/>
    <n v="1500"/>
    <n v="0"/>
    <d v="2025-08-06T00:00:00"/>
    <n v="32"/>
    <m/>
    <s v="ENTREGUE"/>
    <n v="25"/>
    <n v="150"/>
    <n v="150"/>
    <n v="50"/>
    <n v="375"/>
  </r>
  <r>
    <s v="LETICIA"/>
    <x v="303"/>
    <x v="154"/>
    <x v="4"/>
    <s v="COSMÉTICO"/>
    <x v="160"/>
    <s v="CAPA DE CORTE TACTEL 0,85 X 1,40"/>
    <s v="CAPA"/>
    <s v="LEVE"/>
    <n v="50"/>
    <n v="17"/>
    <n v="850"/>
    <n v="0"/>
    <d v="2025-08-07T00:00:00"/>
    <n v="32"/>
    <m/>
    <s v="ENTREGUE"/>
    <n v="12.5"/>
    <n v="50"/>
    <n v="75"/>
    <n v="25"/>
    <n v="162.5"/>
  </r>
  <r>
    <s v="LETICIA"/>
    <x v="303"/>
    <x v="154"/>
    <x v="4"/>
    <s v="COSMÉTICO"/>
    <x v="160"/>
    <s v="AVENTAL NY 210"/>
    <s v="AVENTAL"/>
    <s v="LEVE"/>
    <n v="50"/>
    <n v="19.7"/>
    <n v="985"/>
    <n v="0"/>
    <d v="2025-08-07T00:00:00"/>
    <n v="32"/>
    <m/>
    <s v="ENTREGUE"/>
    <n v="12.5"/>
    <n v="50"/>
    <n v="75"/>
    <n v="25"/>
    <n v="162.5"/>
  </r>
  <r>
    <s v="FERNANDA"/>
    <x v="304"/>
    <x v="154"/>
    <x v="4"/>
    <s v="PET"/>
    <x v="161"/>
    <s v="AVENTAL NY EMBORRACHADO"/>
    <s v="AVENTAL"/>
    <s v="LEVE"/>
    <n v="50"/>
    <n v="35"/>
    <n v="1750"/>
    <n v="0"/>
    <d v="2025-08-13T00:00:00"/>
    <n v="33"/>
    <m/>
    <s v="ENTREGUE"/>
    <n v="12.5"/>
    <n v="50"/>
    <n v="92"/>
    <n v="25"/>
    <n v="179.5"/>
  </r>
  <r>
    <s v="FERNANDA"/>
    <x v="305"/>
    <x v="155"/>
    <x v="4"/>
    <s v="COSMÉTICO"/>
    <x v="162"/>
    <s v="CAMISETA 100% POLIESTER"/>
    <s v="CAMISETA"/>
    <s v="LEVE"/>
    <n v="100"/>
    <n v="22.9"/>
    <n v="2290"/>
    <n v="0"/>
    <d v="2025-08-13T00:00:00"/>
    <n v="33"/>
    <m/>
    <s v="ENTREGUE"/>
    <n v="25"/>
    <n v="100"/>
    <n v="184"/>
    <n v="50"/>
    <n v="359"/>
  </r>
  <r>
    <s v="LETICIA"/>
    <x v="306"/>
    <x v="156"/>
    <x v="5"/>
    <s v="PET"/>
    <x v="41"/>
    <s v="JALECO GROOMER"/>
    <s v="JALECO"/>
    <s v="LEVE"/>
    <n v="50"/>
    <n v="40"/>
    <n v="2000"/>
    <n v="0"/>
    <d v="2025-08-13T00:00:00"/>
    <n v="33"/>
    <m/>
    <s v="ENTREGUE"/>
    <n v="12.5"/>
    <n v="50"/>
    <n v="500"/>
    <n v="25"/>
    <n v="587.5"/>
  </r>
  <r>
    <s v="LETICIA"/>
    <x v="307"/>
    <x v="156"/>
    <x v="5"/>
    <s v="PET"/>
    <x v="163"/>
    <s v="SACOLA DE ALGODÃO"/>
    <s v="SACOLA"/>
    <s v="LEVE"/>
    <n v="150"/>
    <n v="12.2"/>
    <n v="1830"/>
    <n v="0"/>
    <d v="2025-09-07T00:00:00"/>
    <n v="37"/>
    <m/>
    <s v="ENTREGUE"/>
    <n v="37.5"/>
    <n v="105"/>
    <n v="150"/>
    <n v="150"/>
    <n v="442.5"/>
  </r>
  <r>
    <s v="LETICIA"/>
    <x v="308"/>
    <x v="157"/>
    <x v="5"/>
    <s v="PET"/>
    <x v="93"/>
    <s v="NECESSAIRE CRISTAL AZUL ROIAL 20X12X6"/>
    <s v="NECESSAIRE"/>
    <s v="PESADA"/>
    <n v="200"/>
    <n v="7.5"/>
    <n v="1500"/>
    <n v="0"/>
    <d v="2025-08-12T00:00:00"/>
    <n v="33"/>
    <m/>
    <s v="ENTREGUE"/>
    <n v="50"/>
    <n v="100"/>
    <n v="500"/>
    <n v="100"/>
    <n v="750"/>
  </r>
  <r>
    <s v="LETICIA"/>
    <x v="308"/>
    <x v="157"/>
    <x v="5"/>
    <s v="PET"/>
    <x v="93"/>
    <s v="NECESSAIRE CRISTAL AZUL ROIAL 22X20X10"/>
    <s v="NECESSAIRE"/>
    <s v="PESADA"/>
    <n v="200"/>
    <n v="13.5"/>
    <n v="2700"/>
    <n v="0"/>
    <d v="2025-08-12T00:00:00"/>
    <n v="33"/>
    <m/>
    <s v="ENTREGUE"/>
    <n v="50"/>
    <n v="100"/>
    <n v="500"/>
    <n v="100"/>
    <n v="750"/>
  </r>
  <r>
    <s v="LETICIA"/>
    <x v="309"/>
    <x v="157"/>
    <x v="5"/>
    <s v="COSMÉTICO"/>
    <x v="74"/>
    <s v="CAPA DE CORTE CETIM 0,85X1,4"/>
    <s v="CAPA"/>
    <s v="LEVE"/>
    <n v="200"/>
    <n v="17"/>
    <n v="3400"/>
    <n v="0"/>
    <d v="2025-08-12T00:00:00"/>
    <n v="33"/>
    <m/>
    <s v="ENTREGUE"/>
    <n v="50"/>
    <n v="200"/>
    <n v="300"/>
    <n v="100"/>
    <n v="650"/>
  </r>
  <r>
    <s v="LETICIA"/>
    <x v="309"/>
    <x v="157"/>
    <x v="5"/>
    <s v="COSMÉTICO"/>
    <x v="74"/>
    <s v="AVENTAL OXFORD MODELO PADRÃO"/>
    <s v="AVENTAL"/>
    <s v="LEVE"/>
    <n v="200"/>
    <n v="17.5"/>
    <n v="3500"/>
    <n v="0"/>
    <d v="2025-08-12T00:00:00"/>
    <n v="33"/>
    <m/>
    <s v="ENTREGUE"/>
    <n v="50"/>
    <n v="200"/>
    <n v="300"/>
    <n v="100"/>
    <n v="650"/>
  </r>
  <r>
    <s v="LETICIA"/>
    <x v="309"/>
    <x v="157"/>
    <x v="5"/>
    <s v="COSMÉTICO"/>
    <x v="74"/>
    <s v="AVENTAL BARBEIRO COURO SINTETICO "/>
    <s v="AVENTAL"/>
    <s v="PESADA"/>
    <n v="20"/>
    <n v="85"/>
    <n v="1700"/>
    <n v="0"/>
    <d v="2025-08-12T00:00:00"/>
    <n v="33"/>
    <m/>
    <s v="ENTREGUE"/>
    <n v="5"/>
    <n v="20"/>
    <n v="60"/>
    <n v="20"/>
    <n v="105"/>
  </r>
  <r>
    <s v="SANDY"/>
    <x v="310"/>
    <x v="157"/>
    <x v="5"/>
    <s v="HAVANNA"/>
    <x v="164"/>
    <s v="AVENTAL OXFORD MODELO PADRÃO"/>
    <s v="AVENTAL"/>
    <s v="LEVE"/>
    <n v="4"/>
    <n v="25"/>
    <n v="100"/>
    <n v="0"/>
    <d v="2025-08-15T00:00:00"/>
    <n v="33"/>
    <m/>
    <s v="ENTREGUE"/>
    <n v="1"/>
    <n v="4"/>
    <n v="6"/>
    <n v="2"/>
    <n v="13"/>
  </r>
  <r>
    <s v="SANDY"/>
    <x v="310"/>
    <x v="157"/>
    <x v="5"/>
    <s v="HAVANNA"/>
    <x v="164"/>
    <s v="FAIXA DE CABELO"/>
    <s v="FAIXA"/>
    <s v="LEVE"/>
    <n v="4"/>
    <n v="21"/>
    <n v="84"/>
    <n v="0"/>
    <d v="2025-08-15T00:00:00"/>
    <n v="33"/>
    <m/>
    <s v="ENTREGUE"/>
    <n v="1"/>
    <n v="4"/>
    <n v="4.8"/>
    <n v="2"/>
    <n v="11.8"/>
  </r>
  <r>
    <s v="SANDY"/>
    <x v="310"/>
    <x v="157"/>
    <x v="5"/>
    <s v="HAVANNA"/>
    <x v="164"/>
    <s v="BABY LOOK FEMININA MALHA 100% ALGODAO"/>
    <s v="BABY LOOK"/>
    <s v="LEVE"/>
    <n v="4"/>
    <n v="36.75"/>
    <n v="147"/>
    <n v="0"/>
    <d v="2025-08-15T00:00:00"/>
    <n v="33"/>
    <m/>
    <s v="ENTREGUE"/>
    <n v="1"/>
    <n v="4"/>
    <n v="6"/>
    <n v="2"/>
    <n v="13"/>
  </r>
  <r>
    <s v="SANDY"/>
    <x v="310"/>
    <x v="157"/>
    <x v="5"/>
    <s v="HAVANNA"/>
    <x v="164"/>
    <s v="CAMISETA MALHA 100% ALGODÃO"/>
    <s v="CAMISETA"/>
    <s v="LEVE"/>
    <n v="1"/>
    <n v="36.75"/>
    <n v="36.75"/>
    <n v="0"/>
    <d v="2025-08-15T00:00:00"/>
    <n v="33"/>
    <m/>
    <s v="ENTREGUE"/>
    <n v="0.25"/>
    <n v="1"/>
    <n v="1.5"/>
    <n v="0.5"/>
    <n v="3.25"/>
  </r>
  <r>
    <s v="SANDY"/>
    <x v="310"/>
    <x v="157"/>
    <x v="5"/>
    <s v="HAVANNA"/>
    <x v="164"/>
    <s v="CAMISETA POLO PIQUET"/>
    <s v="POLO"/>
    <s v="LEVE"/>
    <n v="1"/>
    <n v="65"/>
    <n v="65"/>
    <n v="0"/>
    <d v="2025-08-15T00:00:00"/>
    <n v="33"/>
    <m/>
    <s v="ENTREGUE"/>
    <n v="0"/>
    <n v="1"/>
    <n v="0"/>
    <n v="0.5"/>
    <n v="1.5"/>
  </r>
  <r>
    <s v="SANDY"/>
    <x v="311"/>
    <x v="157"/>
    <x v="5"/>
    <s v="HAVANNA"/>
    <x v="152"/>
    <s v="AVENTAL OXFORD MODELO PADRÃO"/>
    <s v="AVENTAL"/>
    <s v="LEVE"/>
    <n v="12"/>
    <n v="25"/>
    <n v="300"/>
    <n v="0"/>
    <d v="2025-08-14T00:00:00"/>
    <n v="33"/>
    <m/>
    <s v="ENTREGUE"/>
    <n v="3"/>
    <n v="12"/>
    <n v="18"/>
    <n v="6"/>
    <n v="39"/>
  </r>
  <r>
    <s v="SANDY"/>
    <x v="311"/>
    <x v="157"/>
    <x v="5"/>
    <s v="HAVANNA"/>
    <x v="152"/>
    <s v="CAMISETA MALHA 100% ALGODÃO"/>
    <s v="CAMISETA"/>
    <s v="LEVE"/>
    <n v="27"/>
    <n v="36.75"/>
    <n v="992.25"/>
    <n v="0"/>
    <d v="2025-08-14T00:00:00"/>
    <n v="33"/>
    <m/>
    <s v="ENTREGUE"/>
    <n v="6.75"/>
    <n v="27"/>
    <n v="40.5"/>
    <n v="13.5"/>
    <n v="87.75"/>
  </r>
  <r>
    <s v="FERNANDA"/>
    <x v="312"/>
    <x v="157"/>
    <x v="5"/>
    <s v="COSMÉTICO"/>
    <x v="165"/>
    <s v="CAPA DE CORTE TACTE 0,85X1,40"/>
    <s v="CAPA"/>
    <s v="LEVE"/>
    <n v="50"/>
    <n v="20"/>
    <n v="1000"/>
    <n v="0"/>
    <d v="2025-08-15T00:00:00"/>
    <n v="33"/>
    <m/>
    <s v="ENTREGUE"/>
    <n v="12.5"/>
    <n v="50"/>
    <n v="75"/>
    <n v="25"/>
    <n v="162.5"/>
  </r>
  <r>
    <s v="LETICIA"/>
    <x v="313"/>
    <x v="158"/>
    <x v="5"/>
    <s v="COSMÉTICO"/>
    <x v="63"/>
    <s v="AVENTAL BRIM COM 6 BOLSOS"/>
    <s v="AVENTAL"/>
    <s v="PESADA"/>
    <n v="100"/>
    <n v="38"/>
    <n v="3800"/>
    <n v="0"/>
    <d v="2025-08-19T00:00:00"/>
    <n v="34"/>
    <m/>
    <s v="ENTREGUE"/>
    <n v="25"/>
    <n v="50"/>
    <n v="130"/>
    <n v="50"/>
    <n v="255"/>
  </r>
  <r>
    <s v="SANDY"/>
    <x v="314"/>
    <x v="158"/>
    <x v="5"/>
    <s v="HAVANNA"/>
    <x v="166"/>
    <s v="BLUSA DE MOLETOM "/>
    <s v="MOLETOM"/>
    <s v="LEVE"/>
    <n v="5"/>
    <n v="85"/>
    <n v="425"/>
    <n v="0"/>
    <d v="2025-08-16T00:00:00"/>
    <n v="33"/>
    <m/>
    <s v="ENTREGUE"/>
    <n v="1.25"/>
    <n v="7.5"/>
    <n v="7.5"/>
    <n v="2.5"/>
    <n v="18.75"/>
  </r>
  <r>
    <s v="SANDY"/>
    <x v="314"/>
    <x v="158"/>
    <x v="5"/>
    <s v="HAVANNA"/>
    <x v="166"/>
    <s v="CALÇA BRIM"/>
    <s v="CALÇA "/>
    <s v="PESADA"/>
    <n v="1"/>
    <n v="75"/>
    <n v="75"/>
    <n v="0"/>
    <d v="2025-08-15T00:00:00"/>
    <n v="33"/>
    <m/>
    <s v="ENTREGUE"/>
    <n v="0.25"/>
    <m/>
    <m/>
    <m/>
    <m/>
  </r>
  <r>
    <s v="SANDY"/>
    <x v="314"/>
    <x v="158"/>
    <x v="5"/>
    <s v="HAVANNA"/>
    <x v="166"/>
    <s v="CAMISETA POLO PIQUET"/>
    <s v="POLO"/>
    <s v="LEVE"/>
    <n v="2"/>
    <n v="65"/>
    <n v="130"/>
    <n v="0"/>
    <d v="2025-08-15T00:00:00"/>
    <n v="33"/>
    <m/>
    <s v="ENTREGUE"/>
    <n v="0"/>
    <n v="2"/>
    <n v="0"/>
    <n v="1"/>
    <n v="3"/>
  </r>
  <r>
    <s v="LETICIA"/>
    <x v="315"/>
    <x v="158"/>
    <x v="5"/>
    <s v="COSMÉTICO"/>
    <x v="0"/>
    <s v="CAMISETA MALHA 100% ALGODÃO"/>
    <s v="CAMISETA"/>
    <s v="LEVE"/>
    <n v="33"/>
    <n v="35"/>
    <n v="1155"/>
    <n v="0"/>
    <d v="2025-08-01T00:00:00"/>
    <n v="31"/>
    <m/>
    <s v="ENTREGUE"/>
    <n v="8.25"/>
    <n v="33"/>
    <n v="49.5"/>
    <n v="16.5"/>
    <n v="107.25"/>
  </r>
  <r>
    <s v="LETICIA"/>
    <x v="316"/>
    <x v="158"/>
    <x v="5"/>
    <s v="HAVANNA"/>
    <x v="6"/>
    <s v="CAMISETA MALHA 100% ALGODÃO"/>
    <s v="CAMISETA"/>
    <s v="LEVE"/>
    <n v="24"/>
    <n v="36.75"/>
    <n v="882"/>
    <n v="0"/>
    <d v="2025-08-15T00:00:00"/>
    <n v="33"/>
    <m/>
    <s v="ENTREGUE"/>
    <n v="6"/>
    <n v="24"/>
    <n v="36"/>
    <n v="12"/>
    <n v="78"/>
  </r>
  <r>
    <s v="LETICIA"/>
    <x v="316"/>
    <x v="158"/>
    <x v="5"/>
    <s v="HAVANNA"/>
    <x v="6"/>
    <s v="CAMISETA MANGA LONGA 100% ALGODÃO"/>
    <s v="CAMISETA"/>
    <s v="LEVE"/>
    <n v="8"/>
    <n v="55"/>
    <n v="440"/>
    <n v="0"/>
    <d v="2025-08-15T00:00:00"/>
    <n v="33"/>
    <m/>
    <s v="ENTREGUE"/>
    <n v="2"/>
    <n v="8"/>
    <n v="12"/>
    <n v="4"/>
    <n v="26"/>
  </r>
  <r>
    <s v="LETICIA"/>
    <x v="317"/>
    <x v="158"/>
    <x v="5"/>
    <s v="PET"/>
    <x v="134"/>
    <s v="SACOCHILA NYLON EMBORRACHADO 30L X 35 VERDE"/>
    <s v="SACOCHILA "/>
    <s v="LEVE"/>
    <n v="200"/>
    <n v="12"/>
    <n v="2400"/>
    <n v="0"/>
    <d v="2025-08-12T00:00:00"/>
    <n v="33"/>
    <m/>
    <s v="ENTREGUE"/>
    <n v="50"/>
    <n v="120"/>
    <n v="160"/>
    <n v="100"/>
    <n v="430"/>
  </r>
  <r>
    <s v="LETICIA"/>
    <x v="317"/>
    <x v="158"/>
    <x v="5"/>
    <s v="PET"/>
    <x v="134"/>
    <s v="SACOCHILA NYLON EMBORRACHADO 30L X 35 AZUL"/>
    <s v="SACOCHILA "/>
    <s v="LEVE"/>
    <n v="200"/>
    <n v="12"/>
    <n v="2400"/>
    <n v="0"/>
    <d v="2025-08-12T00:00:00"/>
    <n v="33"/>
    <m/>
    <s v="ENTREGUE"/>
    <n v="50"/>
    <n v="120"/>
    <n v="160"/>
    <n v="100"/>
    <n v="430"/>
  </r>
  <r>
    <s v="LETICIA"/>
    <x v="318"/>
    <x v="158"/>
    <x v="5"/>
    <s v="COSMÉTICO"/>
    <x v="167"/>
    <s v="SACOLA DE ALGODÃO"/>
    <s v="SACOLA"/>
    <s v="LEVE"/>
    <n v="400"/>
    <n v="11"/>
    <n v="4400"/>
    <n v="0"/>
    <d v="2025-08-16T00:00:00"/>
    <n v="33"/>
    <m/>
    <s v="ENTREGUE"/>
    <n v="100"/>
    <n v="280"/>
    <n v="400"/>
    <n v="400"/>
    <n v="1180"/>
  </r>
  <r>
    <s v="LETICIA"/>
    <x v="319"/>
    <x v="159"/>
    <x v="5"/>
    <s v="PET"/>
    <x v="119"/>
    <s v="AVENTAL NYLON EMBORRACHADO"/>
    <s v="AVENTAL"/>
    <s v="LEVE"/>
    <n v="150"/>
    <n v="23"/>
    <n v="3450"/>
    <n v="0"/>
    <d v="2025-08-04T00:00:00"/>
    <n v="32"/>
    <m/>
    <s v="ENTREGUE"/>
    <n v="37.5"/>
    <n v="150"/>
    <n v="276"/>
    <n v="75"/>
    <n v="538.5"/>
  </r>
  <r>
    <s v="LETICIA"/>
    <x v="320"/>
    <x v="159"/>
    <x v="5"/>
    <s v="SERVIÇOS"/>
    <x v="168"/>
    <s v="CAMISETAS MALHA PV"/>
    <s v="CAMISETA"/>
    <s v="LEVE"/>
    <n v="40"/>
    <n v="42"/>
    <n v="1680"/>
    <n v="0"/>
    <d v="2025-07-24T00:00:00"/>
    <n v="30"/>
    <m/>
    <s v="ENTREGUE"/>
    <n v="10"/>
    <n v="40"/>
    <n v="60"/>
    <n v="20"/>
    <n v="130"/>
  </r>
  <r>
    <s v="LETICIA"/>
    <x v="321"/>
    <x v="159"/>
    <x v="5"/>
    <s v="COSMÉTICO"/>
    <x v="38"/>
    <s v="NECESSAIRE NY 25X20"/>
    <s v="NECESSAIRE"/>
    <s v="PESADA"/>
    <n v="1000"/>
    <n v="12.65"/>
    <n v="12650"/>
    <n v="0"/>
    <d v="2025-08-18T00:00:00"/>
    <n v="34"/>
    <m/>
    <s v="ENTREGUE"/>
    <n v="250"/>
    <n v="700"/>
    <n v="2500"/>
    <n v="500"/>
    <n v="3950"/>
  </r>
  <r>
    <s v="FERNANDA"/>
    <x v="322"/>
    <x v="159"/>
    <x v="5"/>
    <s v="COSMÉTICO"/>
    <x v="169"/>
    <s v="AVENTAL OXFORD MODELO PADRÃO"/>
    <s v="AVENTAL"/>
    <s v="LEVE"/>
    <n v="50"/>
    <n v="20"/>
    <n v="1000"/>
    <n v="0"/>
    <d v="2025-08-20T00:00:00"/>
    <n v="34"/>
    <m/>
    <s v="ENTREGUE"/>
    <n v="12.5"/>
    <n v="50"/>
    <n v="75"/>
    <n v="25"/>
    <n v="162.5"/>
  </r>
  <r>
    <s v="FERNANDA"/>
    <x v="322"/>
    <x v="159"/>
    <x v="5"/>
    <s v="COSMÉTICO"/>
    <x v="169"/>
    <s v="AVENTAL BARBEIRO SARJA E COURO SINTÉTICO"/>
    <s v="AVENTAL"/>
    <s v="PESADA"/>
    <n v="2"/>
    <n v="150"/>
    <n v="300"/>
    <n v="0"/>
    <d v="2025-08-20T00:00:00"/>
    <n v="34"/>
    <m/>
    <s v="ENTREGUE"/>
    <n v="0.5"/>
    <n v="2"/>
    <n v="6"/>
    <n v="2"/>
    <n v="10.5"/>
  </r>
  <r>
    <s v="FERNANDA"/>
    <x v="322"/>
    <x v="159"/>
    <x v="5"/>
    <s v="COSMÉTICO"/>
    <x v="169"/>
    <s v="KIMONO OXFORD"/>
    <s v="KIMONO"/>
    <s v="LEVE"/>
    <n v="4"/>
    <n v="55"/>
    <n v="220"/>
    <n v="0"/>
    <d v="2025-08-20T00:00:00"/>
    <n v="34"/>
    <m/>
    <s v="ENTREGUE"/>
    <n v="1"/>
    <n v="6"/>
    <n v="21.08"/>
    <n v="2"/>
    <n v="30.08"/>
  </r>
  <r>
    <s v="LETICIA"/>
    <x v="323"/>
    <x v="160"/>
    <x v="6"/>
    <s v="PET"/>
    <x v="50"/>
    <s v="AVENTAL NY EMBORRACHADO"/>
    <s v="AVENTAL"/>
    <s v="LEVE"/>
    <n v="240"/>
    <n v="25"/>
    <n v="6000"/>
    <n v="0"/>
    <d v="2025-08-22T00:00:00"/>
    <n v="34"/>
    <m/>
    <s v="ENTREGUE"/>
    <n v="60"/>
    <n v="240"/>
    <n v="441.6"/>
    <n v="120"/>
    <n v="861.6"/>
  </r>
  <r>
    <s v="FERNANDA"/>
    <x v="324"/>
    <x v="160"/>
    <x v="6"/>
    <s v="HAVANNA"/>
    <x v="170"/>
    <s v="CAMISETA MALHA 100% ALGODÃO"/>
    <s v="CAMISETA"/>
    <s v="LEVE"/>
    <n v="13"/>
    <n v="36.75"/>
    <n v="477.75"/>
    <n v="0"/>
    <d v="2025-08-22T00:00:00"/>
    <n v="34"/>
    <m/>
    <s v="ENTREGUE"/>
    <n v="3.25"/>
    <n v="13"/>
    <n v="19.5"/>
    <n v="6.5"/>
    <n v="42.25"/>
  </r>
  <r>
    <s v="FERNANDA"/>
    <x v="324"/>
    <x v="160"/>
    <x v="6"/>
    <s v="HAVANNA"/>
    <x v="170"/>
    <s v="CAMISETA MALHA 100% ALGODÃO (TAMANHO BIG)"/>
    <s v="CAMISETA"/>
    <s v="LEVE"/>
    <n v="2"/>
    <n v="45"/>
    <n v="90"/>
    <n v="0"/>
    <d v="2025-08-22T00:00:00"/>
    <n v="34"/>
    <m/>
    <s v="ENTREGUE"/>
    <n v="0.5"/>
    <n v="2"/>
    <n v="3"/>
    <n v="1"/>
    <n v="6.5"/>
  </r>
  <r>
    <s v="FERNANDA"/>
    <x v="324"/>
    <x v="160"/>
    <x v="6"/>
    <s v="HAVANNA"/>
    <x v="170"/>
    <s v="AVENTAL OXFORD MODELO PADRÃO"/>
    <s v="AVENTAL"/>
    <s v="LEVE"/>
    <n v="4"/>
    <n v="25"/>
    <n v="100"/>
    <n v="0"/>
    <d v="2025-08-22T00:00:00"/>
    <n v="34"/>
    <m/>
    <s v="ENTREGUE"/>
    <n v="1"/>
    <n v="4"/>
    <n v="6"/>
    <n v="2"/>
    <n v="13"/>
  </r>
  <r>
    <s v="FERNANDA"/>
    <x v="324"/>
    <x v="160"/>
    <x v="6"/>
    <s v="HAVANNA"/>
    <x v="170"/>
    <s v="FAIXA DE CABELO"/>
    <s v="FAIXA"/>
    <s v="LEVE"/>
    <n v="3"/>
    <n v="21"/>
    <n v="63"/>
    <n v="0"/>
    <d v="2025-08-22T00:00:00"/>
    <n v="34"/>
    <m/>
    <s v="ENTREGUE"/>
    <n v="0.75"/>
    <n v="3"/>
    <n v="3.5999999999999996"/>
    <n v="1.5"/>
    <n v="8.85"/>
  </r>
  <r>
    <s v="LETICIA"/>
    <x v="325"/>
    <x v="161"/>
    <x v="6"/>
    <s v="COSMÉTICO"/>
    <x v="171"/>
    <s v="COLETE TACTEL COM ZIPER"/>
    <s v="COLETE"/>
    <s v="LEVE"/>
    <n v="100"/>
    <n v="35"/>
    <n v="3500"/>
    <n v="0"/>
    <d v="2025-08-26T00:00:00"/>
    <n v="35"/>
    <m/>
    <s v="ENTREGUE"/>
    <n v="25"/>
    <n v="150"/>
    <n v="300"/>
    <n v="50"/>
    <n v="525"/>
  </r>
  <r>
    <s v="LETICIA"/>
    <x v="326"/>
    <x v="161"/>
    <x v="6"/>
    <s v="COSMÉTICO"/>
    <x v="71"/>
    <s v="AVENTAL NY EMBORRACHADO"/>
    <s v="AVENTAL"/>
    <s v="LEVE"/>
    <n v="100"/>
    <n v="23.5"/>
    <n v="2350"/>
    <n v="0"/>
    <d v="2025-08-26T00:00:00"/>
    <n v="35"/>
    <m/>
    <s v="ENTREGUE"/>
    <n v="25"/>
    <n v="100"/>
    <n v="184"/>
    <n v="50"/>
    <n v="359"/>
  </r>
  <r>
    <s v="LETICIA"/>
    <x v="326"/>
    <x v="161"/>
    <x v="6"/>
    <s v="COSMÉTICO"/>
    <x v="71"/>
    <s v="CAPA DE CORET CETIM"/>
    <s v="CAPA"/>
    <s v="LEVE"/>
    <n v="100"/>
    <n v="24.5"/>
    <n v="2450"/>
    <n v="0"/>
    <d v="2025-08-26T00:00:00"/>
    <n v="35"/>
    <m/>
    <s v="ENTREGUE"/>
    <n v="25"/>
    <n v="100"/>
    <n v="150"/>
    <n v="50"/>
    <n v="325"/>
  </r>
  <r>
    <s v="LETICIA"/>
    <x v="326"/>
    <x v="161"/>
    <x v="6"/>
    <s v="COSMÉTICO"/>
    <x v="71"/>
    <s v="KIMONO TACTEL"/>
    <s v="KIMONO"/>
    <s v="LEVE"/>
    <n v="100"/>
    <n v="26.5"/>
    <n v="2650"/>
    <n v="0"/>
    <d v="2025-08-26T00:00:00"/>
    <n v="35"/>
    <m/>
    <s v="ENTREGUE"/>
    <n v="25"/>
    <n v="150"/>
    <n v="527"/>
    <n v="50"/>
    <n v="752"/>
  </r>
  <r>
    <s v="LETICIA"/>
    <x v="327"/>
    <x v="161"/>
    <x v="6"/>
    <s v="COSMÉTICO"/>
    <x v="94"/>
    <s v="CAMISETA MALHA PV"/>
    <s v="CAMISETA"/>
    <s v="LEVE"/>
    <n v="25"/>
    <n v="18"/>
    <n v="450"/>
    <n v="0"/>
    <d v="2025-08-23T00:00:00"/>
    <n v="34"/>
    <m/>
    <s v="ENTREGUE"/>
    <n v="6.25"/>
    <n v="25"/>
    <n v="37.5"/>
    <n v="12.5"/>
    <n v="81.25"/>
  </r>
  <r>
    <s v="FERNANDA"/>
    <x v="328"/>
    <x v="162"/>
    <x v="6"/>
    <s v="HAVANNA"/>
    <x v="172"/>
    <s v="AVENTAL OXFORD MODELO PADRÃO"/>
    <s v="AVENTAL"/>
    <s v="LEVE"/>
    <n v="18"/>
    <n v="25"/>
    <n v="450"/>
    <n v="0"/>
    <d v="2025-08-15T00:00:00"/>
    <n v="33"/>
    <m/>
    <s v="ENTREGUE"/>
    <n v="4.5"/>
    <n v="18"/>
    <n v="27"/>
    <n v="9"/>
    <n v="58.5"/>
  </r>
  <r>
    <s v="FERNANDA"/>
    <x v="328"/>
    <x v="162"/>
    <x v="6"/>
    <s v="HAVANNA"/>
    <x v="172"/>
    <s v="BABY LOOK FEMININA MALHA 100% ALGODAO"/>
    <s v="BABY LOOK"/>
    <s v="LEVE"/>
    <n v="42"/>
    <n v="36.75"/>
    <n v="1543.5"/>
    <n v="0"/>
    <d v="2025-08-15T00:00:00"/>
    <n v="33"/>
    <m/>
    <s v="ENTREGUE"/>
    <n v="10.5"/>
    <n v="42"/>
    <n v="63"/>
    <n v="21"/>
    <n v="136.5"/>
  </r>
  <r>
    <s v="FERNANDA"/>
    <x v="328"/>
    <x v="162"/>
    <x v="6"/>
    <s v="HAVANNA"/>
    <x v="172"/>
    <s v="CAMISETA MALHA 100% ALGODÃO"/>
    <s v="CAMISETA"/>
    <s v="LEVE"/>
    <n v="20"/>
    <n v="36.75"/>
    <n v="735"/>
    <n v="0"/>
    <d v="2025-08-15T00:00:00"/>
    <n v="33"/>
    <m/>
    <s v="ENTREGUE"/>
    <n v="5"/>
    <n v="20"/>
    <n v="30"/>
    <n v="10"/>
    <n v="65"/>
  </r>
  <r>
    <s v="FERNANDA"/>
    <x v="328"/>
    <x v="162"/>
    <x v="6"/>
    <s v="HAVANNA"/>
    <x v="172"/>
    <s v="CAMISETA MANGA LONGA 100% ALGODÃO"/>
    <s v="CAMISETA"/>
    <s v="LEVE"/>
    <n v="6"/>
    <n v="47.5"/>
    <n v="285"/>
    <n v="0"/>
    <d v="2025-08-15T00:00:00"/>
    <n v="33"/>
    <m/>
    <s v="ENTREGUE"/>
    <n v="1.5"/>
    <n v="6"/>
    <n v="9"/>
    <n v="3"/>
    <n v="19.5"/>
  </r>
  <r>
    <s v="FERNANDA"/>
    <x v="328"/>
    <x v="162"/>
    <x v="6"/>
    <s v="HAVANNA"/>
    <x v="172"/>
    <s v="FAIXA DE CABELO"/>
    <s v="FAIXA"/>
    <s v="LEVE"/>
    <n v="22"/>
    <n v="22"/>
    <n v="484"/>
    <n v="0"/>
    <d v="2025-08-15T00:00:00"/>
    <n v="33"/>
    <m/>
    <s v="ENTREGUE"/>
    <n v="5.5"/>
    <n v="22"/>
    <n v="26.4"/>
    <n v="11"/>
    <n v="64.900000000000006"/>
  </r>
  <r>
    <s v="LETICIA"/>
    <x v="329"/>
    <x v="162"/>
    <x v="6"/>
    <s v="PET"/>
    <x v="44"/>
    <s v="PASTA NOTEBOOK NEOPREME"/>
    <s v="PASTA"/>
    <s v="PESADA"/>
    <n v="100"/>
    <n v="40"/>
    <n v="4000"/>
    <n v="0"/>
    <d v="2025-08-28T00:00:00"/>
    <n v="35"/>
    <m/>
    <s v="ENTREGUE"/>
    <n v="50"/>
    <n v="70"/>
    <n v="300"/>
    <n v="50"/>
    <n v="470"/>
  </r>
  <r>
    <s v="LETICIA"/>
    <x v="330"/>
    <x v="163"/>
    <x v="7"/>
    <s v="HAVANNA"/>
    <x v="3"/>
    <s v="CAMISETA MALHA 100% ALGODÃO"/>
    <s v="CAMISETA"/>
    <s v="LEVE"/>
    <n v="32"/>
    <n v="45"/>
    <n v="1440"/>
    <n v="0"/>
    <d v="2025-08-08T00:00:00"/>
    <n v="32"/>
    <m/>
    <s v="ENTREGUE"/>
    <n v="8"/>
    <n v="32"/>
    <n v="48"/>
    <n v="16"/>
    <n v="104"/>
  </r>
  <r>
    <s v="FERNANDA"/>
    <x v="331"/>
    <x v="163"/>
    <x v="7"/>
    <s v="COSMÉTICO"/>
    <x v="86"/>
    <s v="AVENTAL OXFORD MODELO PADRÃO"/>
    <s v="AVENTAL"/>
    <s v="LEVE"/>
    <n v="100"/>
    <n v="17"/>
    <n v="1700"/>
    <n v="0"/>
    <d v="2025-09-03T00:00:00"/>
    <n v="36"/>
    <m/>
    <s v="ENTREGUE"/>
    <n v="25"/>
    <n v="100"/>
    <n v="150"/>
    <n v="50"/>
    <n v="325"/>
  </r>
  <r>
    <s v="LETICIA"/>
    <x v="332"/>
    <x v="164"/>
    <x v="7"/>
    <s v="COSMÉTICO"/>
    <x v="94"/>
    <s v="TOUCA DE CETIM"/>
    <s v="TOUCA"/>
    <s v="LEVE"/>
    <n v="300"/>
    <n v="14"/>
    <n v="4200"/>
    <n v="0"/>
    <d v="2025-08-29T00:00:00"/>
    <n v="35"/>
    <m/>
    <s v="ENTREGUE"/>
    <n v="75"/>
    <n v="180"/>
    <n v="561"/>
    <n v="150"/>
    <n v="966"/>
  </r>
  <r>
    <s v="FERNANDA"/>
    <x v="333"/>
    <x v="165"/>
    <x v="7"/>
    <s v="HAVANNA"/>
    <x v="46"/>
    <s v="CAMISETA POLO PIQUET"/>
    <s v="CAMISETA"/>
    <s v="LEVE"/>
    <n v="2"/>
    <n v="65"/>
    <n v="130"/>
    <n v="0"/>
    <d v="2025-08-19T00:00:00"/>
    <n v="34"/>
    <m/>
    <s v="ENTREGUE"/>
    <n v="0"/>
    <n v="2"/>
    <n v="0"/>
    <n v="1"/>
    <n v="3"/>
  </r>
  <r>
    <s v="FERNANDA"/>
    <x v="333"/>
    <x v="165"/>
    <x v="7"/>
    <s v="HAVANNA"/>
    <x v="46"/>
    <s v="BLUSA DE MOLETOM "/>
    <s v="MOLETOM"/>
    <s v="LEVE"/>
    <n v="3"/>
    <n v="85"/>
    <n v="255"/>
    <n v="0"/>
    <d v="2025-08-19T00:00:00"/>
    <n v="34"/>
    <m/>
    <s v="ENTREGUE"/>
    <n v="0.75"/>
    <n v="4.5"/>
    <n v="4.5"/>
    <n v="1.5"/>
    <n v="11.25"/>
  </r>
  <r>
    <s v="FERNANDA"/>
    <x v="333"/>
    <x v="165"/>
    <x v="7"/>
    <s v="HAVANNA"/>
    <x v="46"/>
    <s v="CAMISETA MANGA LONGA 100% ALGODÃO"/>
    <s v="CAMISETA"/>
    <s v="LEVE"/>
    <n v="2"/>
    <n v="47.5"/>
    <n v="95"/>
    <n v="0"/>
    <d v="2025-08-19T00:00:00"/>
    <n v="34"/>
    <m/>
    <s v="ENTREGUE"/>
    <n v="0.5"/>
    <n v="2"/>
    <n v="3"/>
    <n v="1"/>
    <n v="6.5"/>
  </r>
  <r>
    <s v="FERNANDA"/>
    <x v="333"/>
    <x v="165"/>
    <x v="7"/>
    <s v="HAVANNA"/>
    <x v="46"/>
    <s v="BABY LOOK FEMININA MALHA 100% ALGODAO"/>
    <s v="BABY LOOK"/>
    <s v="LEVE"/>
    <n v="2"/>
    <n v="36.75"/>
    <n v="73.5"/>
    <n v="0"/>
    <d v="2025-08-19T00:00:00"/>
    <n v="34"/>
    <m/>
    <s v="ENTREGUE"/>
    <n v="0.5"/>
    <n v="2"/>
    <n v="3"/>
    <n v="1"/>
    <n v="6.5"/>
  </r>
  <r>
    <s v="FERNANDA"/>
    <x v="334"/>
    <x v="165"/>
    <x v="7"/>
    <s v="COSMÉTICO"/>
    <x v="173"/>
    <s v="AVENTAL OXFORD MODELO PADRÃO"/>
    <s v="AVENTAL"/>
    <s v="LEVE"/>
    <n v="100"/>
    <n v="17"/>
    <n v="1700"/>
    <n v="0"/>
    <d v="2025-08-29T00:00:00"/>
    <n v="35"/>
    <m/>
    <s v="ENTREGUE"/>
    <n v="25"/>
    <n v="100"/>
    <n v="150"/>
    <n v="50"/>
    <n v="325"/>
  </r>
  <r>
    <s v="FERNANDA"/>
    <x v="335"/>
    <x v="166"/>
    <x v="7"/>
    <s v="COSMÉTICO"/>
    <x v="174"/>
    <s v="AVENTAL OXFORD MODELO PADRÃO"/>
    <s v="AVENTAL"/>
    <s v="LEVE"/>
    <n v="30"/>
    <n v="20"/>
    <n v="600"/>
    <n v="0"/>
    <d v="2025-09-02T00:00:00"/>
    <n v="36"/>
    <m/>
    <s v="ENTREGUE"/>
    <n v="7.5"/>
    <n v="30"/>
    <n v="45"/>
    <n v="15"/>
    <n v="97.5"/>
  </r>
  <r>
    <s v="FERNANDA"/>
    <x v="335"/>
    <x v="166"/>
    <x v="7"/>
    <s v="COSMÉTICO"/>
    <x v="174"/>
    <s v="CAPA DE CORTE TACTEL 1,4X1,5"/>
    <s v="CAPA"/>
    <s v="LEVE"/>
    <n v="1"/>
    <n v="45"/>
    <n v="45"/>
    <n v="0"/>
    <d v="2025-09-02T00:00:00"/>
    <n v="36"/>
    <m/>
    <s v="ENTREGUE"/>
    <n v="0.25"/>
    <n v="1"/>
    <n v="1.5"/>
    <n v="0.5"/>
    <n v="3.25"/>
  </r>
  <r>
    <s v="FERNANDA"/>
    <x v="335"/>
    <x v="166"/>
    <x v="7"/>
    <s v="COSMÉTICO"/>
    <x v="174"/>
    <s v="CAPA DE CORTE TACTEL 0,85 X 1,40"/>
    <s v="CAPA"/>
    <s v="LEVE"/>
    <n v="20"/>
    <n v="20"/>
    <n v="400"/>
    <n v="0"/>
    <d v="2025-09-02T00:00:00"/>
    <n v="36"/>
    <m/>
    <s v="ENTREGUE"/>
    <n v="5"/>
    <n v="20"/>
    <n v="30"/>
    <n v="10"/>
    <n v="65"/>
  </r>
  <r>
    <s v="LETICIA"/>
    <x v="336"/>
    <x v="167"/>
    <x v="7"/>
    <s v="COSMÉTICO"/>
    <x v="125"/>
    <s v="AVENTAL BARBEIRO COURO SINTETICO "/>
    <s v="AVENTAL"/>
    <s v="PESADA"/>
    <n v="60"/>
    <n v="55"/>
    <n v="3300"/>
    <n v="0"/>
    <d v="2025-08-29T00:00:00"/>
    <n v="35"/>
    <m/>
    <s v="ENTREGUE"/>
    <n v="15"/>
    <n v="60"/>
    <n v="180"/>
    <n v="60"/>
    <n v="315"/>
  </r>
  <r>
    <s v="LETICIA"/>
    <x v="337"/>
    <x v="167"/>
    <x v="7"/>
    <s v="PET"/>
    <x v="44"/>
    <s v="CAMISETA MALHA PV"/>
    <s v="CAMISETA"/>
    <s v="LEVE"/>
    <n v="353"/>
    <n v="25.5"/>
    <n v="9001.5"/>
    <n v="0"/>
    <d v="2025-08-08T00:00:00"/>
    <n v="32"/>
    <m/>
    <s v="ENTREGUE"/>
    <n v="88.25"/>
    <n v="353"/>
    <n v="529.5"/>
    <n v="176.5"/>
    <n v="1147.25"/>
  </r>
  <r>
    <s v="LETICIA"/>
    <x v="338"/>
    <x v="168"/>
    <x v="8"/>
    <s v="PET"/>
    <x v="73"/>
    <s v="AVENTAL NY EMBORRACHADO"/>
    <s v="AVENTAL"/>
    <s v="LEVE"/>
    <n v="450"/>
    <n v="21.5"/>
    <n v="9675"/>
    <n v="0"/>
    <d v="2025-09-03T00:00:00"/>
    <n v="36"/>
    <m/>
    <s v="ENTREGUE"/>
    <n v="112.5"/>
    <n v="450"/>
    <n v="828"/>
    <n v="225"/>
    <n v="1615.5"/>
  </r>
  <r>
    <s v="LETICIA"/>
    <x v="339"/>
    <x v="169"/>
    <x v="8"/>
    <s v="COSMÉTICO"/>
    <x v="69"/>
    <s v="CAMISETA 100% POLIESTER"/>
    <s v="CAMISETA"/>
    <s v="LEVE"/>
    <n v="70"/>
    <n v="22.5"/>
    <n v="1575"/>
    <n v="0"/>
    <d v="2025-09-04T00:00:00"/>
    <n v="36"/>
    <m/>
    <s v="ENTREGUE"/>
    <n v="17.5"/>
    <n v="70"/>
    <n v="105"/>
    <n v="35"/>
    <n v="227.5"/>
  </r>
  <r>
    <s v="LETICIA"/>
    <x v="340"/>
    <x v="169"/>
    <x v="8"/>
    <s v="COMÉRCIO"/>
    <x v="40"/>
    <s v="NECESSAIRE NY PLASTIFICADO"/>
    <s v="NECESSAIRE"/>
    <s v="PESADA"/>
    <n v="300"/>
    <n v="23"/>
    <n v="6900"/>
    <n v="0"/>
    <d v="2025-09-04T00:00:00"/>
    <n v="36"/>
    <m/>
    <s v="ENTREGUE"/>
    <n v="75"/>
    <n v="150"/>
    <n v="750"/>
    <n v="150"/>
    <n v="1125"/>
  </r>
  <r>
    <s v="LETICIA"/>
    <x v="341"/>
    <x v="170"/>
    <x v="8"/>
    <s v="COSMÉTICO"/>
    <x v="146"/>
    <s v="BABY LOOK MALHA PV"/>
    <s v="BABY LOOK"/>
    <s v="LEVE"/>
    <n v="100"/>
    <n v="25"/>
    <n v="2500"/>
    <n v="0"/>
    <d v="2025-08-15T00:00:00"/>
    <n v="33"/>
    <m/>
    <s v="ENTREGUE"/>
    <n v="25"/>
    <n v="100"/>
    <n v="150"/>
    <n v="50"/>
    <n v="325"/>
  </r>
  <r>
    <s v="LETICIA"/>
    <x v="341"/>
    <x v="170"/>
    <x v="8"/>
    <s v="COSMÉTICO"/>
    <x v="146"/>
    <s v="AVENTAL OXFORD MODELO PADRÃO"/>
    <s v="AVENTAL"/>
    <s v="LEVE"/>
    <n v="100"/>
    <n v="12.99"/>
    <n v="1299"/>
    <n v="0"/>
    <d v="2025-08-15T00:00:00"/>
    <n v="33"/>
    <m/>
    <s v="ENTREGUE"/>
    <n v="25"/>
    <n v="100"/>
    <n v="150"/>
    <n v="50"/>
    <n v="325"/>
  </r>
  <r>
    <s v="LETICIA"/>
    <x v="342"/>
    <x v="170"/>
    <x v="8"/>
    <s v="PET"/>
    <x v="175"/>
    <s v="AVENTAL NY EMBORRACHADO"/>
    <s v="AVENTAL"/>
    <s v="LEVE"/>
    <n v="300"/>
    <n v="23.5"/>
    <n v="7050"/>
    <n v="0"/>
    <d v="2025-09-02T00:00:00"/>
    <n v="36"/>
    <m/>
    <s v="ENTREGUE"/>
    <n v="75"/>
    <n v="300"/>
    <n v="552"/>
    <n v="150"/>
    <n v="1077"/>
  </r>
  <r>
    <s v="LETICIA"/>
    <x v="343"/>
    <x v="170"/>
    <x v="8"/>
    <s v="PET"/>
    <x v="41"/>
    <s v="AVENTAL NY EMBORRACHADO"/>
    <s v="AVENTAL"/>
    <s v="LEVE"/>
    <n v="250"/>
    <n v="21.5"/>
    <n v="5375"/>
    <n v="0"/>
    <d v="2025-08-11T00:00:00"/>
    <n v="33"/>
    <m/>
    <s v="ENTREGUE"/>
    <n v="62.5"/>
    <n v="250"/>
    <n v="460"/>
    <n v="125"/>
    <n v="897.5"/>
  </r>
  <r>
    <s v="LETICIA"/>
    <x v="344"/>
    <x v="170"/>
    <x v="8"/>
    <s v="PET"/>
    <x v="41"/>
    <s v="AVENTAL NY EMBORRACHADO"/>
    <s v="AVENTAL"/>
    <s v="LEVE"/>
    <n v="250"/>
    <n v="23.5"/>
    <n v="5875"/>
    <n v="0"/>
    <d v="2025-08-28T00:00:00"/>
    <n v="35"/>
    <m/>
    <s v="ENTREGUE"/>
    <n v="62.5"/>
    <n v="250"/>
    <n v="460"/>
    <n v="125"/>
    <n v="897.5"/>
  </r>
  <r>
    <s v="FERNANDA"/>
    <x v="345"/>
    <x v="171"/>
    <x v="8"/>
    <s v="HAVANNA"/>
    <x v="176"/>
    <s v="AVENTAL OXFORD MODELO PADRÃO"/>
    <s v="AVENTAL"/>
    <s v="LEVE"/>
    <n v="3"/>
    <n v="25"/>
    <n v="75"/>
    <n v="0"/>
    <d v="2025-09-03T00:00:00"/>
    <n v="36"/>
    <m/>
    <s v="ENTREGUE"/>
    <n v="0.75"/>
    <n v="3"/>
    <n v="4.5"/>
    <n v="1.5"/>
    <n v="9.75"/>
  </r>
  <r>
    <s v="FERNANDA"/>
    <x v="345"/>
    <x v="171"/>
    <x v="8"/>
    <s v="HAVANNA"/>
    <x v="176"/>
    <s v="CAMISETA MALHA 100% ALGODÃO"/>
    <s v="CAMISETA"/>
    <s v="LEVE"/>
    <n v="6"/>
    <n v="36.75"/>
    <n v="220.5"/>
    <n v="0"/>
    <d v="2025-09-03T00:00:00"/>
    <n v="36"/>
    <m/>
    <s v="ENTREGUE"/>
    <n v="1.5"/>
    <n v="6"/>
    <n v="9"/>
    <n v="3"/>
    <n v="19.5"/>
  </r>
  <r>
    <s v="FERNANDA"/>
    <x v="345"/>
    <x v="171"/>
    <x v="8"/>
    <s v="HAVANNA"/>
    <x v="176"/>
    <s v="BABY LOOK FEMININA MALHA 100% ALGODAO"/>
    <s v="BABY LOOK"/>
    <s v="LEVE"/>
    <n v="2"/>
    <n v="36.75"/>
    <n v="73.5"/>
    <n v="0"/>
    <d v="2025-09-03T00:00:00"/>
    <n v="36"/>
    <m/>
    <s v="ENTREGUE"/>
    <n v="0.5"/>
    <n v="2"/>
    <n v="3"/>
    <n v="1"/>
    <n v="6.5"/>
  </r>
  <r>
    <s v="FERNANDA"/>
    <x v="345"/>
    <x v="171"/>
    <x v="8"/>
    <s v="HAVANNA"/>
    <x v="176"/>
    <s v="CAMISETA POLO PIQUET"/>
    <s v="POLO"/>
    <s v="LEVE"/>
    <n v="2"/>
    <n v="65"/>
    <n v="130"/>
    <n v="0"/>
    <d v="2025-09-03T00:00:00"/>
    <n v="36"/>
    <m/>
    <s v="ENTREGUE"/>
    <n v="0"/>
    <n v="2"/>
    <n v="0"/>
    <n v="1"/>
    <n v="3"/>
  </r>
  <r>
    <s v="FERNANDA"/>
    <x v="346"/>
    <x v="171"/>
    <x v="8"/>
    <s v="PET"/>
    <x v="177"/>
    <s v="AVENTAL NY EMBORRACHADO"/>
    <s v="AVENTAL"/>
    <s v="LEVE"/>
    <n v="100"/>
    <n v="24.5"/>
    <n v="2450"/>
    <n v="0"/>
    <d v="2025-09-03T00:00:00"/>
    <n v="36"/>
    <m/>
    <s v="ENTREGUE"/>
    <n v="25"/>
    <n v="100"/>
    <n v="184"/>
    <n v="50"/>
    <n v="359"/>
  </r>
  <r>
    <s v="LETICIA"/>
    <x v="347"/>
    <x v="171"/>
    <x v="8"/>
    <s v="COSMÉTICO"/>
    <x v="99"/>
    <s v="SACOLA TNT LAMINADO"/>
    <s v="SACOLA"/>
    <s v="PESADA"/>
    <n v="200"/>
    <n v="9.9"/>
    <n v="1980"/>
    <n v="0"/>
    <d v="2025-08-29T00:00:00"/>
    <n v="35"/>
    <m/>
    <s v="ENTREGUE"/>
    <n v="50"/>
    <n v="140"/>
    <n v="200"/>
    <n v="200"/>
    <n v="590"/>
  </r>
  <r>
    <s v="LETICIA"/>
    <x v="348"/>
    <x v="171"/>
    <x v="8"/>
    <s v="COSMÉTICO"/>
    <x v="134"/>
    <s v="SACO ALGODÃO 30X40"/>
    <s v="SACO"/>
    <s v="LEVE"/>
    <n v="400"/>
    <n v="8.9"/>
    <n v="3560"/>
    <n v="0"/>
    <d v="2025-08-29T00:00:00"/>
    <n v="35"/>
    <m/>
    <s v="ENTREGUE"/>
    <n v="400"/>
    <n v="240"/>
    <n v="280"/>
    <n v="400"/>
    <n v="1320"/>
  </r>
  <r>
    <s v="LETICIA"/>
    <x v="348"/>
    <x v="171"/>
    <x v="8"/>
    <s v="COSMÉTICO"/>
    <x v="134"/>
    <s v="NECESSAIRE NYLON PLASTIFICADO "/>
    <s v="NECESSAIRE"/>
    <s v="PESADA"/>
    <n v="300"/>
    <n v="12.5"/>
    <n v="3750"/>
    <n v="0"/>
    <d v="2025-08-29T00:00:00"/>
    <n v="35"/>
    <m/>
    <s v="ENTREGUE"/>
    <n v="75"/>
    <n v="150"/>
    <n v="750"/>
    <n v="150"/>
    <n v="1125"/>
  </r>
  <r>
    <s v="LETICIA"/>
    <x v="349"/>
    <x v="172"/>
    <x v="8"/>
    <s v="COSMÉTICO"/>
    <x v="63"/>
    <s v="SACOCHILA LONITA 23X17"/>
    <s v="SACOCHILA "/>
    <s v="LEVE"/>
    <n v="3200"/>
    <n v="6.9"/>
    <n v="22080"/>
    <n v="0"/>
    <d v="2025-08-29T00:00:00"/>
    <n v="35"/>
    <m/>
    <s v="ENTREGUE"/>
    <n v="800"/>
    <n v="3200"/>
    <m/>
    <n v="1600"/>
    <m/>
  </r>
  <r>
    <s v="LETICIA"/>
    <x v="350"/>
    <x v="172"/>
    <x v="8"/>
    <s v="COSMÉTICO"/>
    <x v="148"/>
    <s v="NECESSAIRE PRADA JAQUES JANINE"/>
    <s v="NECESSAIRE"/>
    <s v="PESADA"/>
    <n v="350"/>
    <n v="15.5"/>
    <n v="5425"/>
    <n v="0"/>
    <d v="2025-09-04T00:00:00"/>
    <n v="36"/>
    <m/>
    <s v="ENTREGUE"/>
    <n v="87.5"/>
    <n v="175"/>
    <n v="700"/>
    <n v="175"/>
    <n v="1137.5"/>
  </r>
  <r>
    <s v="LETICIA"/>
    <x v="350"/>
    <x v="172"/>
    <x v="8"/>
    <s v="COSMÉTICO"/>
    <x v="148"/>
    <s v="PORTA CELULAR COM CHAVEIRO"/>
    <s v="PORTA CELULAR"/>
    <s v="PESADA"/>
    <n v="200"/>
    <n v="18.8"/>
    <n v="3760"/>
    <n v="0"/>
    <d v="2025-09-04T00:00:00"/>
    <n v="36"/>
    <m/>
    <s v="ENTREGUE"/>
    <n v="600"/>
    <n v="140"/>
    <n v="100"/>
    <n v="100"/>
    <n v="940"/>
  </r>
  <r>
    <s v="FERNANDA"/>
    <x v="351"/>
    <x v="172"/>
    <x v="8"/>
    <s v="COSMÉTICO"/>
    <x v="178"/>
    <s v="AVENTAL BARBEIRO COURO SINTETICO "/>
    <s v="AVENTAL"/>
    <s v="PESADA"/>
    <n v="100"/>
    <n v="67"/>
    <n v="6700"/>
    <n v="0"/>
    <d v="2025-09-03T00:00:00"/>
    <n v="36"/>
    <m/>
    <s v="ENTREGUE"/>
    <n v="25"/>
    <n v="100"/>
    <n v="300"/>
    <n v="100"/>
    <n v="525"/>
  </r>
  <r>
    <s v="LETICIA"/>
    <x v="352"/>
    <x v="173"/>
    <x v="9"/>
    <s v="COSMÉTICO"/>
    <x v="72"/>
    <s v="CAMISETA MALHA PV"/>
    <s v="CAMISETA"/>
    <s v="LEVE"/>
    <n v="100"/>
    <n v="26.5"/>
    <n v="2650"/>
    <n v="0"/>
    <d v="2025-09-05T00:00:00"/>
    <n v="36"/>
    <m/>
    <s v="ENTREGUE"/>
    <n v="25"/>
    <n v="100"/>
    <n v="150"/>
    <n v="50"/>
    <n v="325"/>
  </r>
  <r>
    <s v="LETICIA"/>
    <x v="353"/>
    <x v="173"/>
    <x v="9"/>
    <s v="COSMÉTICO"/>
    <x v="179"/>
    <s v="SACOLA TNT LAMINADO"/>
    <s v="SACOLA"/>
    <s v="PESADA"/>
    <n v="500"/>
    <n v="13"/>
    <n v="6500"/>
    <n v="0"/>
    <d v="2025-09-05T00:00:00"/>
    <n v="36"/>
    <m/>
    <s v="ENTREGUE"/>
    <n v="125"/>
    <n v="350"/>
    <n v="500"/>
    <n v="500"/>
    <n v="1475"/>
  </r>
  <r>
    <s v="LETICIA"/>
    <x v="354"/>
    <x v="173"/>
    <x v="9"/>
    <s v="COSMÉTICO"/>
    <x v="180"/>
    <s v="AVENTAL OXFORD MODELO PADRÃO"/>
    <s v="AVENTAL"/>
    <s v="LEVE"/>
    <n v="200"/>
    <n v="12.99"/>
    <n v="2598"/>
    <n v="0"/>
    <d v="2025-09-05T00:00:00"/>
    <n v="36"/>
    <m/>
    <s v="ENTREGUE"/>
    <n v="50"/>
    <n v="200"/>
    <n v="600"/>
    <n v="200"/>
    <n v="1050"/>
  </r>
  <r>
    <s v="LETICIA"/>
    <x v="355"/>
    <x v="173"/>
    <x v="9"/>
    <s v="COSMÉTICO"/>
    <x v="181"/>
    <s v="AVENTAL NY 210"/>
    <s v="AVENTAL"/>
    <s v="LEVE"/>
    <n v="100"/>
    <n v="14.99"/>
    <n v="1499"/>
    <n v="0"/>
    <d v="2025-09-05T00:00:00"/>
    <n v="36"/>
    <m/>
    <s v="ENTREGUE"/>
    <n v="25"/>
    <n v="100"/>
    <n v="300"/>
    <n v="100"/>
    <n v="525"/>
  </r>
  <r>
    <s v="FERNANDA"/>
    <x v="356"/>
    <x v="174"/>
    <x v="9"/>
    <s v="COSMÉTICO"/>
    <x v="182"/>
    <s v="AVENTAL NY 210"/>
    <s v="AVENTAL"/>
    <s v="LEVE"/>
    <n v="100"/>
    <n v="14.99"/>
    <n v="1499"/>
    <n v="0"/>
    <d v="2025-09-08T00:00:00"/>
    <n v="37"/>
    <m/>
    <s v="ENTREGUE"/>
    <n v="25"/>
    <n v="100"/>
    <n v="184"/>
    <n v="50"/>
    <n v="359"/>
  </r>
  <r>
    <s v="FERNANDA"/>
    <x v="357"/>
    <x v="174"/>
    <x v="9"/>
    <s v="HAVANNA"/>
    <x v="28"/>
    <s v="CAMISETA MALHA 100% ALGODÃO"/>
    <s v="CAMISETA"/>
    <s v="LEVE"/>
    <n v="6"/>
    <n v="36.75"/>
    <n v="220.5"/>
    <n v="0"/>
    <d v="2025-09-03T00:00:00"/>
    <n v="36"/>
    <m/>
    <s v="ENTREGUE"/>
    <n v="1.5"/>
    <n v="6"/>
    <n v="9"/>
    <n v="3"/>
    <n v="19.5"/>
  </r>
  <r>
    <s v="FERNANDA"/>
    <x v="357"/>
    <x v="174"/>
    <x v="9"/>
    <s v="HAVANNA"/>
    <x v="28"/>
    <s v="CALÇA BRIM"/>
    <s v="CALÇA "/>
    <s v="PESADA"/>
    <n v="2"/>
    <n v="75"/>
    <n v="150"/>
    <n v="0"/>
    <d v="2025-09-03T00:00:00"/>
    <n v="36"/>
    <m/>
    <s v="ENTREGUE"/>
    <n v="4"/>
    <n v="0"/>
    <n v="6"/>
    <n v="2"/>
    <n v="12"/>
  </r>
  <r>
    <s v="FERNANDA"/>
    <x v="358"/>
    <x v="175"/>
    <x v="9"/>
    <s v="COSMÉTICO"/>
    <x v="183"/>
    <s v="AVENTAL OXFORD MODELO PADRÃO"/>
    <s v="AVENTAL"/>
    <s v="LEVE"/>
    <n v="100"/>
    <n v="12.99"/>
    <n v="1299"/>
    <n v="0"/>
    <d v="2025-09-10T00:00:00"/>
    <n v="37"/>
    <m/>
    <s v="ENTREGUE"/>
    <n v="25"/>
    <n v="50"/>
    <n v="130"/>
    <n v="50"/>
    <n v="255"/>
  </r>
  <r>
    <s v="LETICIA"/>
    <x v="359"/>
    <x v="175"/>
    <x v="9"/>
    <s v="COSMÉTICO"/>
    <x v="63"/>
    <s v="AVENTAL SUBLIMADO COM BOLSO "/>
    <s v="AVENTAL"/>
    <s v="LEVE"/>
    <n v="1700"/>
    <n v="19.5"/>
    <n v="33150"/>
    <n v="0"/>
    <d v="2025-09-10T00:00:00"/>
    <n v="37"/>
    <m/>
    <s v="ENTREGUE"/>
    <n v="425"/>
    <n v="850"/>
    <n v="2210"/>
    <n v="850"/>
    <n v="4335"/>
  </r>
  <r>
    <s v="LETICIA"/>
    <x v="360"/>
    <x v="175"/>
    <x v="9"/>
    <s v="COSMÉTICO"/>
    <x v="63"/>
    <s v="AVENTAL SUBLIMADO COM BOLSO "/>
    <s v="AVENTAL"/>
    <s v="LEVE"/>
    <n v="300"/>
    <n v="19.5"/>
    <n v="5850"/>
    <n v="0"/>
    <d v="2025-09-10T00:00:00"/>
    <n v="37"/>
    <m/>
    <s v="ENTREGUE"/>
    <n v="75"/>
    <n v="150"/>
    <n v="390"/>
    <n v="150"/>
    <n v="765"/>
  </r>
  <r>
    <s v="LETICIA"/>
    <x v="361"/>
    <x v="176"/>
    <x v="10"/>
    <s v="BRINDES"/>
    <x v="140"/>
    <s v="NECESSAIRE NY IMPERMEAVEL COM FORRO"/>
    <s v="NECESSAIRE"/>
    <s v="PESADA"/>
    <n v="120"/>
    <n v="19.149999999999999"/>
    <n v="2298"/>
    <n v="0"/>
    <d v="2025-09-08T00:00:00"/>
    <n v="37"/>
    <m/>
    <s v="ENTREGUE"/>
    <n v="30"/>
    <n v="84"/>
    <n v="300"/>
    <n v="60"/>
    <n v="474"/>
  </r>
  <r>
    <s v="LETICIA"/>
    <x v="362"/>
    <x v="176"/>
    <x v="10"/>
    <s v="SAÚDE"/>
    <x v="184"/>
    <s v="SACOLA TNT 30X40"/>
    <s v="SACOLA"/>
    <s v="LEVE"/>
    <n v="400"/>
    <n v="7.9"/>
    <n v="3160"/>
    <n v="0"/>
    <d v="2025-09-12T00:00:00"/>
    <n v="37"/>
    <m/>
    <s v="ENTREGUE"/>
    <n v="100"/>
    <n v="280"/>
    <n v="400"/>
    <n v="400"/>
    <n v="1180"/>
  </r>
  <r>
    <s v="LETICIA"/>
    <x v="363"/>
    <x v="176"/>
    <x v="10"/>
    <s v="HAVANNA"/>
    <x v="185"/>
    <s v="BABY LOOK FEMININA MALHA 100% ALGODAO"/>
    <s v="BABY LOOK"/>
    <s v="LEVE"/>
    <n v="2"/>
    <n v="36.75"/>
    <n v="73.5"/>
    <n v="0"/>
    <d v="2025-09-05T00:00:00"/>
    <n v="36"/>
    <m/>
    <s v="ENTREGUE"/>
    <n v="0.5"/>
    <n v="2"/>
    <n v="3"/>
    <n v="1"/>
    <n v="6.5"/>
  </r>
  <r>
    <s v="LETICIA"/>
    <x v="363"/>
    <x v="176"/>
    <x v="10"/>
    <s v="HAVANNA"/>
    <x v="185"/>
    <s v="CAMISETA MANGA LONGA 100% ALGODÃO"/>
    <s v="CAMISETA"/>
    <s v="LEVE"/>
    <n v="2"/>
    <n v="47.5"/>
    <n v="95"/>
    <n v="0"/>
    <d v="2025-09-05T00:00:00"/>
    <n v="36"/>
    <m/>
    <s v="ENTREGUE"/>
    <n v="0.5"/>
    <n v="2"/>
    <n v="3"/>
    <n v="1"/>
    <n v="6.5"/>
  </r>
  <r>
    <s v="LETICIA"/>
    <x v="363"/>
    <x v="176"/>
    <x v="10"/>
    <s v="HAVANNA"/>
    <x v="185"/>
    <s v="CAMISETA MALHA 100% ALGODÃO"/>
    <s v="CAMISETA"/>
    <s v="LEVE"/>
    <n v="1"/>
    <n v="36.75"/>
    <n v="36.75"/>
    <n v="0"/>
    <d v="2025-09-05T00:00:00"/>
    <n v="36"/>
    <m/>
    <s v="ENTREGUE"/>
    <n v="0.25"/>
    <n v="1"/>
    <n v="1.5"/>
    <n v="0.5"/>
    <n v="3.25"/>
  </r>
  <r>
    <s v="LETICIA"/>
    <x v="363"/>
    <x v="176"/>
    <x v="10"/>
    <s v="HAVANNA"/>
    <x v="185"/>
    <s v="CAMISETA POLO PIQUET"/>
    <s v="POLO"/>
    <s v="LEVE"/>
    <n v="2"/>
    <n v="65"/>
    <n v="130"/>
    <n v="0"/>
    <d v="2025-09-05T00:00:00"/>
    <n v="36"/>
    <m/>
    <s v="ENTREGUE"/>
    <n v="0"/>
    <n v="2"/>
    <n v="0"/>
    <n v="1"/>
    <n v="3"/>
  </r>
  <r>
    <s v="LETICIA"/>
    <x v="364"/>
    <x v="177"/>
    <x v="10"/>
    <s v="COSMÉTICO"/>
    <x v="186"/>
    <s v="AVENTAL NY 210"/>
    <s v="AVENTAL"/>
    <s v="LEVE"/>
    <n v="50"/>
    <n v="14.99"/>
    <n v="749.5"/>
    <n v="0"/>
    <d v="2025-09-15T00:00:00"/>
    <n v="38"/>
    <m/>
    <s v="ENTREGUE"/>
    <n v="12.5"/>
    <n v="25"/>
    <n v="65"/>
    <n v="25"/>
    <n v="127.5"/>
  </r>
  <r>
    <s v="LETICIA"/>
    <x v="364"/>
    <x v="177"/>
    <x v="10"/>
    <s v="COSMÉTICO"/>
    <x v="186"/>
    <s v="AVENTAL OXFORD MODELO PADRÃO"/>
    <s v="AVENTAL"/>
    <s v="LEVE"/>
    <n v="50"/>
    <n v="12.99"/>
    <n v="649.5"/>
    <n v="0"/>
    <d v="2025-09-15T00:00:00"/>
    <n v="38"/>
    <m/>
    <s v="ENTREGUE"/>
    <n v="12.5"/>
    <n v="25"/>
    <n v="65"/>
    <n v="25"/>
    <n v="127.5"/>
  </r>
  <r>
    <s v="LETICIA"/>
    <x v="365"/>
    <x v="178"/>
    <x v="10"/>
    <s v="HAVANNA"/>
    <x v="4"/>
    <s v="CAMISETA POLO PIQUET"/>
    <s v="POLO"/>
    <s v="LEVE"/>
    <n v="6"/>
    <n v="65"/>
    <n v="390"/>
    <n v="0"/>
    <d v="2025-08-25T00:00:00"/>
    <n v="35"/>
    <m/>
    <s v="ENTREGUE"/>
    <n v="0"/>
    <n v="6"/>
    <n v="0"/>
    <n v="3"/>
    <n v="9"/>
  </r>
  <r>
    <s v="LETICIA"/>
    <x v="365"/>
    <x v="178"/>
    <x v="10"/>
    <s v="HAVANNA"/>
    <x v="4"/>
    <s v="CAMISETA MALHA 100% ALGODÃO"/>
    <s v="CAMISETA"/>
    <s v="LEVE"/>
    <n v="20"/>
    <n v="36.75"/>
    <n v="735"/>
    <n v="0"/>
    <d v="2025-08-25T00:00:00"/>
    <n v="35"/>
    <m/>
    <s v="ENTREGUE"/>
    <n v="5"/>
    <n v="20"/>
    <n v="30"/>
    <n v="10"/>
    <n v="65"/>
  </r>
  <r>
    <s v="LETICIA"/>
    <x v="365"/>
    <x v="178"/>
    <x v="10"/>
    <s v="HAVANNA"/>
    <x v="4"/>
    <s v="CAMISETA MANGA LONGA 100% ALGODÃO"/>
    <s v="CAMISETA"/>
    <s v="LEVE"/>
    <n v="11"/>
    <n v="47.5"/>
    <n v="522.5"/>
    <n v="0"/>
    <d v="2025-08-25T00:00:00"/>
    <n v="35"/>
    <m/>
    <s v="ENTREGUE"/>
    <n v="2.75"/>
    <n v="11"/>
    <n v="16.5"/>
    <n v="5.5"/>
    <n v="35.75"/>
  </r>
  <r>
    <s v="LETICIA"/>
    <x v="365"/>
    <x v="178"/>
    <x v="10"/>
    <s v="HAVANNA"/>
    <x v="4"/>
    <s v="BABY LOOK FEMININA MALHA 100% ALGODAO"/>
    <s v="BABY LOOK"/>
    <s v="LEVE"/>
    <n v="20"/>
    <n v="36.75"/>
    <n v="735"/>
    <n v="0"/>
    <d v="2025-08-25T00:00:00"/>
    <n v="35"/>
    <m/>
    <s v="ENTREGUE"/>
    <n v="5"/>
    <n v="20"/>
    <n v="30"/>
    <n v="10"/>
    <n v="65"/>
  </r>
  <r>
    <s v="LETICIA"/>
    <x v="365"/>
    <x v="178"/>
    <x v="10"/>
    <s v="HAVANNA"/>
    <x v="4"/>
    <s v="BLUSA DE MOLETOM "/>
    <s v="MOLETOM"/>
    <s v="LEVE"/>
    <n v="14"/>
    <n v="85"/>
    <n v="1190"/>
    <n v="0"/>
    <d v="2025-08-25T00:00:00"/>
    <n v="35"/>
    <m/>
    <s v="ENTREGUE"/>
    <n v="3.5"/>
    <n v="21"/>
    <n v="21"/>
    <n v="7"/>
    <n v="52.5"/>
  </r>
  <r>
    <s v="LETICIA"/>
    <x v="365"/>
    <x v="178"/>
    <x v="10"/>
    <s v="HAVANNA"/>
    <x v="4"/>
    <s v="CALÇA BRIM"/>
    <s v="CALÇA "/>
    <s v="PESADA"/>
    <n v="26"/>
    <n v="75"/>
    <n v="1950"/>
    <n v="0"/>
    <d v="2025-08-25T00:00:00"/>
    <n v="35"/>
    <m/>
    <s v="ENTREGUE"/>
    <n v="52"/>
    <n v="0"/>
    <n v="78"/>
    <n v="26"/>
    <n v="156"/>
  </r>
  <r>
    <s v="LETICIA"/>
    <x v="365"/>
    <x v="178"/>
    <x v="10"/>
    <s v="HAVANNA"/>
    <x v="4"/>
    <s v="FAIXA DE CABELO"/>
    <s v="FAIXA"/>
    <s v="LEVE"/>
    <n v="10"/>
    <n v="21"/>
    <n v="210"/>
    <n v="0"/>
    <d v="2025-08-25T00:00:00"/>
    <n v="35"/>
    <m/>
    <s v="ENTREGUE"/>
    <n v="2.5"/>
    <n v="10"/>
    <n v="12"/>
    <n v="5"/>
    <n v="29.5"/>
  </r>
  <r>
    <s v="LETICIA"/>
    <x v="365"/>
    <x v="178"/>
    <x v="10"/>
    <s v="HAVANNA"/>
    <x v="4"/>
    <s v="AVENTAL OXFORD MODELO PADRÃO"/>
    <s v="AVENTAL"/>
    <s v="LEVE"/>
    <n v="30"/>
    <n v="25"/>
    <n v="750"/>
    <n v="0"/>
    <d v="2025-08-25T00:00:00"/>
    <n v="35"/>
    <m/>
    <s v="ENTREGUE"/>
    <n v="7.5"/>
    <n v="15"/>
    <n v="39"/>
    <n v="15"/>
    <n v="76.5"/>
  </r>
  <r>
    <s v="LETICIA"/>
    <x v="366"/>
    <x v="178"/>
    <x v="10"/>
    <s v="BRINDES"/>
    <x v="187"/>
    <s v="BLUSA DE MOLETOM "/>
    <s v="MOLETOM"/>
    <s v="LEVE"/>
    <n v="111"/>
    <n v="110"/>
    <n v="12210"/>
    <n v="0"/>
    <d v="2025-09-17T00:00:00"/>
    <n v="38"/>
    <m/>
    <s v="ENTREGUE"/>
    <n v="27.75"/>
    <n v="166.5"/>
    <n v="166.5"/>
    <n v="55.5"/>
    <n v="416.25"/>
  </r>
  <r>
    <s v="LETICIA"/>
    <x v="367"/>
    <x v="179"/>
    <x v="10"/>
    <s v="COSMÉTICO"/>
    <x v="121"/>
    <s v="LUVA EM TNT PARA BANHO PET"/>
    <s v="LUVA"/>
    <s v="LEVE"/>
    <n v="4000"/>
    <n v="1"/>
    <n v="4000"/>
    <n v="0"/>
    <d v="2025-09-18T00:00:00"/>
    <n v="38"/>
    <m/>
    <s v="ENTREGUE"/>
    <n v="1000"/>
    <n v="4000"/>
    <n v="6000"/>
    <n v="2000"/>
    <n v="13000"/>
  </r>
  <r>
    <s v="ARACHELES"/>
    <x v="368"/>
    <x v="179"/>
    <x v="10"/>
    <s v="COSMÉTICO"/>
    <x v="188"/>
    <s v="CAMISETA MALHA PV"/>
    <s v="CAMISETA"/>
    <s v="LEVE"/>
    <n v="100"/>
    <n v="26.5"/>
    <n v="2650"/>
    <n v="0"/>
    <d v="2025-09-18T00:00:00"/>
    <n v="38"/>
    <m/>
    <s v="ENTREGUE"/>
    <n v="25"/>
    <n v="100"/>
    <n v="150"/>
    <n v="50"/>
    <n v="325"/>
  </r>
  <r>
    <s v="LETICIA"/>
    <x v="369"/>
    <x v="179"/>
    <x v="10"/>
    <s v="COSMÉTICO"/>
    <x v="189"/>
    <s v="AVENTAL OXFORD MODELO PADRÃO"/>
    <s v="AVENTAL"/>
    <s v="LEVE"/>
    <n v="100"/>
    <n v="17"/>
    <n v="1700"/>
    <n v="0"/>
    <d v="2025-09-05T00:00:00"/>
    <n v="36"/>
    <m/>
    <s v="ENTREGUE"/>
    <n v="25"/>
    <n v="50"/>
    <n v="130"/>
    <n v="50"/>
    <n v="255"/>
  </r>
  <r>
    <s v="LETICIA"/>
    <x v="370"/>
    <x v="180"/>
    <x v="10"/>
    <s v="COSMÉTICO"/>
    <x v="190"/>
    <s v="AVENTAL OXFORD MODELO PADRÃO"/>
    <s v="AVENTAL"/>
    <s v="LEVE"/>
    <n v="150"/>
    <n v="17"/>
    <n v="2550"/>
    <n v="0"/>
    <d v="2025-09-19T00:00:00"/>
    <n v="38"/>
    <m/>
    <s v="ENTREGUE"/>
    <n v="37.5"/>
    <n v="75"/>
    <n v="195"/>
    <n v="75"/>
    <n v="382.5"/>
  </r>
  <r>
    <s v="LETICIA"/>
    <x v="371"/>
    <x v="180"/>
    <x v="10"/>
    <s v="PET"/>
    <x v="44"/>
    <s v="CAMISETA MALHA PV"/>
    <s v="CAMISETA"/>
    <s v="LEVE"/>
    <n v="35"/>
    <n v="45"/>
    <n v="1575"/>
    <n v="0"/>
    <d v="2025-09-19T00:00:00"/>
    <n v="38"/>
    <m/>
    <s v="ENTREGUE"/>
    <n v="8.75"/>
    <n v="35"/>
    <n v="52.5"/>
    <n v="17.5"/>
    <n v="113.75"/>
  </r>
  <r>
    <s v="LETICIA"/>
    <x v="372"/>
    <x v="180"/>
    <x v="10"/>
    <s v="COSMÉTICO"/>
    <x v="37"/>
    <s v="AVENTAL NY 210"/>
    <s v="AVENTAL"/>
    <s v="LEVE"/>
    <n v="100"/>
    <n v="19.5"/>
    <n v="1950"/>
    <n v="0"/>
    <d v="2025-09-19T00:00:00"/>
    <n v="38"/>
    <m/>
    <s v="ENTREGUE"/>
    <n v="25"/>
    <n v="50"/>
    <n v="130"/>
    <n v="50"/>
    <n v="255"/>
  </r>
  <r>
    <s v="LETICIA"/>
    <x v="372"/>
    <x v="180"/>
    <x v="10"/>
    <s v="COSMÉTICO"/>
    <x v="37"/>
    <s v="AVENTAL NY 210"/>
    <s v="AVENTAL"/>
    <s v="LEVE"/>
    <n v="100"/>
    <n v="18"/>
    <n v="1800"/>
    <n v="0"/>
    <d v="2025-09-19T00:00:00"/>
    <n v="38"/>
    <m/>
    <s v="ENTREGUE"/>
    <n v="25"/>
    <n v="0"/>
    <n v="130"/>
    <n v="50"/>
    <n v="205"/>
  </r>
  <r>
    <s v="LETICIA"/>
    <x v="4"/>
    <x v="181"/>
    <x v="11"/>
    <s v="COSMÉTICO"/>
    <x v="63"/>
    <s v="CAMISETA MALHA 100% ALGODÃO"/>
    <s v="CAMISETA"/>
    <s v="LEVE"/>
    <n v="60"/>
    <n v="37"/>
    <n v="2220"/>
    <n v="0"/>
    <d v="2025-09-19T00:00:00"/>
    <n v="38"/>
    <m/>
    <s v="ENTREGUE"/>
    <n v="15"/>
    <n v="60"/>
    <n v="90"/>
    <n v="30"/>
    <n v="195"/>
  </r>
  <r>
    <s v="LETICIA"/>
    <x v="4"/>
    <x v="181"/>
    <x v="11"/>
    <s v="COSMÉTICO"/>
    <x v="63"/>
    <s v="BLASER FEMININO"/>
    <s v="BLAISER"/>
    <s v="LEVE"/>
    <n v="10"/>
    <n v="199"/>
    <n v="1990"/>
    <n v="0"/>
    <d v="2025-09-19T00:00:00"/>
    <n v="38"/>
    <m/>
    <s v="ENTREGUE"/>
    <n v="2.5"/>
    <m/>
    <m/>
    <n v="5"/>
    <m/>
  </r>
  <r>
    <s v="AMANDA"/>
    <x v="373"/>
    <x v="182"/>
    <x v="11"/>
    <s v="COSMÉTICO"/>
    <x v="191"/>
    <s v="CAMISETA MALHA 100% ALGODÃO"/>
    <s v="CAMISETA"/>
    <s v="LEVE"/>
    <n v="10"/>
    <n v="47"/>
    <n v="470"/>
    <n v="0"/>
    <d v="2025-09-05T00:00:00"/>
    <n v="36"/>
    <m/>
    <s v="ENTREGUE"/>
    <n v="2.5"/>
    <n v="10"/>
    <n v="15"/>
    <n v="5"/>
    <n v="32.5"/>
  </r>
  <r>
    <s v="AMANDA"/>
    <x v="373"/>
    <x v="182"/>
    <x v="11"/>
    <s v="COSMÉTICO"/>
    <x v="191"/>
    <s v="BABY LOOK MALHA 100% ALGODÃO "/>
    <s v="BABY LOOK"/>
    <s v="LEVE"/>
    <n v="20"/>
    <n v="47"/>
    <n v="940"/>
    <n v="0"/>
    <d v="2025-09-05T00:00:00"/>
    <n v="36"/>
    <m/>
    <s v="ENTREGUE"/>
    <n v="5"/>
    <n v="20"/>
    <n v="30"/>
    <n v="10"/>
    <n v="65"/>
  </r>
  <r>
    <s v="FERNANDA"/>
    <x v="374"/>
    <x v="182"/>
    <x v="11"/>
    <s v="COSMÉTICO"/>
    <x v="192"/>
    <s v="CAMISETA MALHA PV"/>
    <s v="CAMISETA"/>
    <s v="LEVE"/>
    <n v="90"/>
    <n v="28.5"/>
    <n v="2565"/>
    <n v="0"/>
    <d v="2025-09-19T00:00:00"/>
    <n v="38"/>
    <m/>
    <s v="ENTREGUE"/>
    <n v="22.5"/>
    <n v="90"/>
    <n v="135"/>
    <n v="45"/>
    <n v="292.5"/>
  </r>
  <r>
    <s v="FERNANDA"/>
    <x v="374"/>
    <x v="182"/>
    <x v="11"/>
    <s v="COSMÉTICO"/>
    <x v="192"/>
    <s v="CAMISETA MALHA PV - TAM G2"/>
    <s v="CAMISETA"/>
    <s v="LEVE"/>
    <n v="10"/>
    <n v="37"/>
    <n v="370"/>
    <n v="0"/>
    <d v="2025-09-19T00:00:00"/>
    <n v="38"/>
    <m/>
    <s v="ENTREGUE"/>
    <n v="2.5"/>
    <n v="10"/>
    <n v="15"/>
    <n v="5"/>
    <n v="32.5"/>
  </r>
  <r>
    <s v="ARACHELES"/>
    <x v="375"/>
    <x v="182"/>
    <x v="11"/>
    <s v="COSMÉTICO"/>
    <x v="193"/>
    <s v="AVENTAL NY EMBORRACHADO"/>
    <s v="AVENTAL"/>
    <s v="LEVE"/>
    <n v="100"/>
    <n v="27"/>
    <n v="2700"/>
    <n v="0"/>
    <d v="2025-09-22T00:00:00"/>
    <n v="39"/>
    <m/>
    <s v="ENTREGUE"/>
    <n v="25"/>
    <n v="50"/>
    <n v="130"/>
    <n v="50"/>
    <n v="255"/>
  </r>
  <r>
    <s v="LETICIA"/>
    <x v="376"/>
    <x v="182"/>
    <x v="11"/>
    <s v="COMÉRCIO"/>
    <x v="111"/>
    <s v="SACO ALGODÃO COM VISOR"/>
    <s v="SACO"/>
    <s v="LEVE"/>
    <n v="100"/>
    <n v="12"/>
    <n v="1200"/>
    <n v="0"/>
    <d v="2025-09-22T00:00:00"/>
    <n v="39"/>
    <m/>
    <s v="ENTREGUE"/>
    <n v="100"/>
    <n v="60"/>
    <n v="70"/>
    <n v="100"/>
    <n v="330"/>
  </r>
  <r>
    <s v="FERNANDA"/>
    <x v="377"/>
    <x v="182"/>
    <x v="11"/>
    <s v="PET"/>
    <x v="161"/>
    <s v="AVENTAL NY EMBORRACHADO"/>
    <s v="AVENTAL"/>
    <s v="LEVE"/>
    <n v="100"/>
    <n v="27"/>
    <n v="2700"/>
    <n v="0"/>
    <d v="2025-09-22T00:00:00"/>
    <n v="39"/>
    <m/>
    <s v="ENTREGUE"/>
    <n v="25"/>
    <n v="100"/>
    <n v="184"/>
    <n v="50"/>
    <n v="359"/>
  </r>
  <r>
    <s v="FERNANDA"/>
    <x v="377"/>
    <x v="182"/>
    <x v="11"/>
    <s v="PET"/>
    <x v="161"/>
    <s v="CAMISETA DRYFIT"/>
    <s v="CAMISETA"/>
    <s v="LEVE"/>
    <n v="100"/>
    <n v="32"/>
    <n v="3200"/>
    <n v="0"/>
    <d v="2025-09-22T00:00:00"/>
    <n v="39"/>
    <m/>
    <s v="ENTREGUE"/>
    <n v="25"/>
    <n v="100"/>
    <n v="184"/>
    <n v="50"/>
    <n v="359"/>
  </r>
  <r>
    <s v="FERNANDA"/>
    <x v="377"/>
    <x v="182"/>
    <x v="11"/>
    <s v="PET"/>
    <x v="161"/>
    <s v="JALECO GROOMER"/>
    <s v="JALECO"/>
    <s v="LEVE"/>
    <n v="50"/>
    <n v="65"/>
    <n v="3250"/>
    <n v="0"/>
    <d v="2025-09-22T00:00:00"/>
    <n v="39"/>
    <m/>
    <s v="ENTREGUE"/>
    <n v="12.5"/>
    <n v="50"/>
    <n v="92"/>
    <n v="25"/>
    <n v="179.5"/>
  </r>
  <r>
    <s v="FERNANDA"/>
    <x v="377"/>
    <x v="182"/>
    <x v="11"/>
    <s v="PET"/>
    <x v="161"/>
    <s v="NECESSAIRE EXECUTIVE"/>
    <s v="NECESSAIRE"/>
    <s v="PESADA"/>
    <n v="100"/>
    <n v="13"/>
    <n v="1300"/>
    <n v="0"/>
    <d v="2025-09-22T00:00:00"/>
    <n v="39"/>
    <m/>
    <s v="ENTREGUE"/>
    <n v="25"/>
    <n v="70"/>
    <n v="250"/>
    <n v="50"/>
    <n v="395"/>
  </r>
  <r>
    <s v="ARACHELES"/>
    <x v="378"/>
    <x v="182"/>
    <x v="11"/>
    <s v="COSMÉTICO"/>
    <x v="194"/>
    <s v="AVENTAL OXFORD MODELO PADRÃO"/>
    <s v="AVENTAL"/>
    <s v="LEVE"/>
    <n v="50"/>
    <n v="20"/>
    <n v="1000"/>
    <n v="0"/>
    <d v="2025-09-22T00:00:00"/>
    <n v="39"/>
    <m/>
    <s v="ENTREGUE"/>
    <n v="12.5"/>
    <n v="25"/>
    <n v="65"/>
    <n v="25"/>
    <n v="127.5"/>
  </r>
  <r>
    <s v="LETICIA"/>
    <x v="379"/>
    <x v="183"/>
    <x v="11"/>
    <s v="COSMÉTICO"/>
    <x v="63"/>
    <s v="CAMISETA MALHA 100% ALGODÃO"/>
    <s v="CAMISETA"/>
    <s v="LEVE"/>
    <n v="10"/>
    <n v="37"/>
    <n v="370"/>
    <n v="0"/>
    <d v="2025-09-23T00:00:00"/>
    <n v="39"/>
    <m/>
    <s v="ENTREGUE"/>
    <n v="2.5"/>
    <n v="10"/>
    <n v="15"/>
    <n v="5"/>
    <n v="32.5"/>
  </r>
  <r>
    <s v="LETICIA"/>
    <x v="379"/>
    <x v="183"/>
    <x v="11"/>
    <s v="COSMÉTICO"/>
    <x v="63"/>
    <s v="BABY LOOK MALHA 100% ALGODÃO "/>
    <s v="BABY LOOK"/>
    <s v="LEVE"/>
    <n v="28"/>
    <n v="37"/>
    <n v="1036"/>
    <n v="0"/>
    <d v="2025-09-23T00:00:00"/>
    <n v="39"/>
    <m/>
    <s v="ENTREGUE"/>
    <n v="7"/>
    <n v="28"/>
    <n v="42"/>
    <n v="14"/>
    <n v="91"/>
  </r>
  <r>
    <s v="LETICIA"/>
    <x v="380"/>
    <x v="183"/>
    <x v="11"/>
    <s v="EDITORA"/>
    <x v="78"/>
    <s v="SAQUINHO ALGODÃO CRU"/>
    <s v="SACO"/>
    <s v="LEVE"/>
    <n v="600"/>
    <n v="6.5"/>
    <n v="3900"/>
    <n v="0"/>
    <d v="2025-09-23T00:00:00"/>
    <n v="39"/>
    <n v="38"/>
    <s v="ENTREGUE"/>
    <n v="600"/>
    <n v="360"/>
    <n v="420"/>
    <n v="600"/>
    <n v="1980"/>
  </r>
  <r>
    <s v="ARACHELES"/>
    <x v="381"/>
    <x v="184"/>
    <x v="12"/>
    <s v="COSMÉTICO"/>
    <x v="195"/>
    <s v="LUVA EM TNT PARA BANHO PET"/>
    <s v="AVENTAL"/>
    <s v="PESADA"/>
    <n v="100"/>
    <n v="37"/>
    <n v="3700"/>
    <n v="0"/>
    <d v="2025-09-26T00:00:00"/>
    <n v="39"/>
    <m/>
    <s v="ENTREGUE"/>
    <n v="25"/>
    <n v="50"/>
    <n v="130"/>
    <n v="50"/>
    <n v="255"/>
  </r>
  <r>
    <s v="LETICIA"/>
    <x v="382"/>
    <x v="184"/>
    <x v="12"/>
    <s v="EVENTOS"/>
    <x v="196"/>
    <s v="SACOLA NYLON 600 35X 38"/>
    <s v="SACOLA"/>
    <s v="LEVE"/>
    <n v="200"/>
    <n v="25.45"/>
    <n v="5090"/>
    <n v="0"/>
    <d v="2025-09-04T00:00:00"/>
    <n v="36"/>
    <m/>
    <s v="ENTREGUE"/>
    <n v="50"/>
    <n v="140"/>
    <n v="200"/>
    <n v="200"/>
    <n v="590"/>
  </r>
  <r>
    <s v="LETICIA"/>
    <x v="3"/>
    <x v="185"/>
    <x v="12"/>
    <s v="PET"/>
    <x v="41"/>
    <s v="AVENTAL NY EMBORRACHADO"/>
    <s v="AVENTAL"/>
    <s v="LEVE"/>
    <n v="250"/>
    <n v="23.5"/>
    <n v="5875"/>
    <n v="0"/>
    <d v="2025-10-01T00:00:00"/>
    <n v="40"/>
    <m/>
    <s v="ENTREGUE"/>
    <n v="62.5"/>
    <n v="250"/>
    <n v="375"/>
    <n v="125"/>
    <n v="812.5"/>
  </r>
  <r>
    <s v="LETICIA"/>
    <x v="383"/>
    <x v="185"/>
    <x v="12"/>
    <s v="PET"/>
    <x v="44"/>
    <s v="SACOLA DE ALGODÃO"/>
    <s v="SACOLA"/>
    <s v="LEVE"/>
    <n v="100"/>
    <n v="12.9"/>
    <n v="1290"/>
    <n v="0"/>
    <d v="2025-10-01T00:00:00"/>
    <n v="40"/>
    <m/>
    <s v="ENTREGUE"/>
    <n v="25"/>
    <n v="70"/>
    <n v="100"/>
    <n v="100"/>
    <n v="295"/>
  </r>
  <r>
    <s v="LETICIA"/>
    <x v="384"/>
    <x v="185"/>
    <x v="12"/>
    <s v="COSMÉTICO"/>
    <x v="39"/>
    <s v="SACO ALGODÃO CRU 77X60"/>
    <s v="SACO"/>
    <s v="LEVE"/>
    <n v="200"/>
    <n v="16.5"/>
    <n v="3300"/>
    <n v="0"/>
    <d v="2025-10-01T00:00:00"/>
    <n v="40"/>
    <m/>
    <s v="ENTREGUE"/>
    <n v="200"/>
    <n v="120"/>
    <n v="140"/>
    <n v="200"/>
    <n v="660"/>
  </r>
  <r>
    <s v="AMANDA"/>
    <x v="385"/>
    <x v="186"/>
    <x v="12"/>
    <s v="COSMÉTICO"/>
    <x v="90"/>
    <s v="CAMISETA POLO PIQUET"/>
    <s v="POLO"/>
    <s v="LEVE"/>
    <n v="7"/>
    <n v="65"/>
    <n v="455"/>
    <n v="0"/>
    <d v="2025-09-06T00:00:00"/>
    <n v="36"/>
    <m/>
    <s v="ENTREGUE"/>
    <n v="0"/>
    <n v="7"/>
    <n v="0"/>
    <n v="3.5"/>
    <n v="10.5"/>
  </r>
  <r>
    <s v="FERNANDA"/>
    <x v="386"/>
    <x v="186"/>
    <x v="12"/>
    <s v="HAVANNA"/>
    <x v="164"/>
    <s v="CAMISETA MALHA 100% ALGODÃO"/>
    <s v="CAMISETA"/>
    <s v="LEVE"/>
    <n v="2"/>
    <n v="36.75"/>
    <n v="73.5"/>
    <n v="0"/>
    <d v="2025-09-25T00:00:00"/>
    <n v="39"/>
    <m/>
    <s v="ENTREGUE"/>
    <n v="0.5"/>
    <n v="2"/>
    <n v="3"/>
    <n v="1"/>
    <n v="6.5"/>
  </r>
  <r>
    <s v="FERNANDA"/>
    <x v="386"/>
    <x v="186"/>
    <x v="12"/>
    <s v="HAVANNA"/>
    <x v="164"/>
    <s v="CAMISETA MALHA 100% ALGODÃO (TAM G1)"/>
    <s v="CAMISETA"/>
    <s v="LEVE"/>
    <n v="2"/>
    <n v="45"/>
    <n v="90"/>
    <n v="0"/>
    <d v="2025-09-25T00:00:00"/>
    <n v="39"/>
    <m/>
    <s v="ENTREGUE"/>
    <n v="0.5"/>
    <n v="2"/>
    <n v="3"/>
    <n v="1"/>
    <n v="6.5"/>
  </r>
  <r>
    <s v="FERNANDA"/>
    <x v="386"/>
    <x v="186"/>
    <x v="12"/>
    <s v="HAVANNA"/>
    <x v="164"/>
    <s v="BABY LOOK FEMININA MALHA 100% ALGODAO"/>
    <s v="BABY LOOK"/>
    <s v="LEVE"/>
    <n v="3"/>
    <n v="36.75"/>
    <n v="110.25"/>
    <n v="0"/>
    <d v="2025-09-25T00:00:00"/>
    <n v="39"/>
    <m/>
    <s v="ENTREGUE"/>
    <n v="0.75"/>
    <n v="3"/>
    <n v="4.5"/>
    <n v="1.5"/>
    <n v="9.75"/>
  </r>
  <r>
    <s v="FERNANDA"/>
    <x v="386"/>
    <x v="186"/>
    <x v="12"/>
    <s v="HAVANNA"/>
    <x v="164"/>
    <s v="AVENTAL OXFORD MODELO PADRÃO"/>
    <s v="AVENTAL"/>
    <s v="LEVE"/>
    <n v="2"/>
    <n v="25"/>
    <n v="50"/>
    <n v="0"/>
    <d v="2025-09-25T00:00:00"/>
    <n v="39"/>
    <m/>
    <s v="ENTREGUE"/>
    <n v="0.5"/>
    <n v="1"/>
    <n v="2.6"/>
    <n v="1"/>
    <n v="5.0999999999999996"/>
  </r>
  <r>
    <s v="FERNANDA"/>
    <x v="387"/>
    <x v="186"/>
    <x v="12"/>
    <s v="HAVANNA"/>
    <x v="197"/>
    <s v="CAMISETA POLO PIQUET"/>
    <s v="POLO"/>
    <s v="LEVE"/>
    <n v="2"/>
    <n v="65"/>
    <n v="130"/>
    <n v="0"/>
    <d v="2025-09-25T00:00:00"/>
    <n v="39"/>
    <m/>
    <s v="ENTREGUE"/>
    <n v="0"/>
    <n v="2"/>
    <n v="0"/>
    <n v="1"/>
    <n v="3"/>
  </r>
  <r>
    <s v="FERNANDA"/>
    <x v="387"/>
    <x v="186"/>
    <x v="12"/>
    <s v="HAVANNA"/>
    <x v="197"/>
    <s v="CAMISETA MALHA 100% ALGODÃO"/>
    <s v="CAMISETA"/>
    <s v="LEVE"/>
    <n v="2"/>
    <n v="36.75"/>
    <n v="73.5"/>
    <n v="0"/>
    <d v="2025-09-25T00:00:00"/>
    <n v="39"/>
    <m/>
    <s v="ENTREGUE"/>
    <n v="0.5"/>
    <n v="2"/>
    <n v="3"/>
    <n v="1"/>
    <n v="6.5"/>
  </r>
  <r>
    <s v="FERNANDA"/>
    <x v="387"/>
    <x v="186"/>
    <x v="12"/>
    <s v="HAVANNA"/>
    <x v="197"/>
    <s v="CAMISETA MANGA LONGA 100% ALGODÃO"/>
    <s v="CAMISETA"/>
    <s v="LEVE"/>
    <n v="3"/>
    <n v="47.5"/>
    <n v="142.5"/>
    <n v="0"/>
    <d v="2025-09-25T00:00:00"/>
    <n v="39"/>
    <m/>
    <s v="ENTREGUE"/>
    <n v="0.75"/>
    <n v="3"/>
    <n v="4.5"/>
    <n v="1.5"/>
    <n v="9.75"/>
  </r>
  <r>
    <s v="LETICIA"/>
    <x v="388"/>
    <x v="186"/>
    <x v="12"/>
    <s v="COSMÉTICO"/>
    <x v="42"/>
    <s v="SACOLA CRISTAL TRANSPARENTE"/>
    <s v="SACOLA"/>
    <s v="PESADA"/>
    <n v="1500"/>
    <n v="9.85"/>
    <n v="14775"/>
    <n v="0"/>
    <d v="2025-09-09T00:00:00"/>
    <n v="37"/>
    <m/>
    <s v="ENTREGUE"/>
    <n v="375"/>
    <n v="1050"/>
    <n v="1500"/>
    <n v="1500"/>
    <n v="4425"/>
  </r>
  <r>
    <s v="LETICIA"/>
    <x v="388"/>
    <x v="186"/>
    <x v="12"/>
    <s v="COSMÉTICO"/>
    <x v="42"/>
    <s v="SACOLA CRISTAL COLORIDO"/>
    <s v="SACOLA"/>
    <s v="PESADA"/>
    <n v="40"/>
    <n v="11.5"/>
    <n v="460"/>
    <n v="0"/>
    <d v="2025-09-09T00:00:00"/>
    <n v="37"/>
    <m/>
    <s v="ENTREGUE"/>
    <n v="10"/>
    <n v="28"/>
    <n v="40"/>
    <n v="40"/>
    <n v="118"/>
  </r>
  <r>
    <s v="LETICIA"/>
    <x v="5"/>
    <x v="186"/>
    <x v="12"/>
    <s v="COSMÉTICO"/>
    <x v="42"/>
    <s v="AVENTAL TACTEL REGULAVEL "/>
    <s v="AVENTAL"/>
    <s v="LEVE"/>
    <n v="300"/>
    <n v="15"/>
    <n v="4500"/>
    <n v="0"/>
    <d v="2025-10-02T00:00:00"/>
    <n v="40"/>
    <m/>
    <s v="ENTREGUE"/>
    <n v="75"/>
    <n v="150"/>
    <n v="390"/>
    <n v="150"/>
    <n v="765"/>
  </r>
  <r>
    <s v="LETICIA"/>
    <x v="389"/>
    <x v="186"/>
    <x v="12"/>
    <s v="COMÉRCIO"/>
    <x v="198"/>
    <s v="CAMISETA MALHA 100% ALGODÃO"/>
    <s v="CAMISETA"/>
    <s v="LEVE"/>
    <n v="100"/>
    <n v="28"/>
    <n v="2800"/>
    <n v="0"/>
    <d v="2025-10-02T00:00:00"/>
    <n v="40"/>
    <m/>
    <s v="ENTREGUE"/>
    <n v="25"/>
    <n v="100"/>
    <n v="150"/>
    <n v="50"/>
    <n v="325"/>
  </r>
  <r>
    <s v="LETICIA"/>
    <x v="390"/>
    <x v="186"/>
    <x v="12"/>
    <s v="PET"/>
    <x v="44"/>
    <s v="AVENTAL NY EMBORRACHADO"/>
    <s v="AVENTAL"/>
    <s v="LEVE"/>
    <n v="20"/>
    <n v="45"/>
    <n v="900"/>
    <n v="0"/>
    <d v="2025-09-09T00:00:00"/>
    <n v="37"/>
    <m/>
    <s v="ENTREGUE"/>
    <n v="5"/>
    <n v="10"/>
    <n v="26"/>
    <n v="10"/>
    <n v="51"/>
  </r>
  <r>
    <s v="LETICIA"/>
    <x v="390"/>
    <x v="186"/>
    <x v="12"/>
    <s v="PET"/>
    <x v="44"/>
    <s v="SACOLA DE ALGODÃO"/>
    <s v="SACOLA"/>
    <s v="PESADA"/>
    <n v="50"/>
    <n v="19"/>
    <n v="950"/>
    <n v="0"/>
    <d v="2025-09-09T00:00:00"/>
    <n v="37"/>
    <m/>
    <s v="ENTREGUE"/>
    <n v="12.5"/>
    <n v="35"/>
    <n v="50"/>
    <n v="50"/>
    <n v="147.5"/>
  </r>
  <r>
    <s v="LETICIA"/>
    <x v="391"/>
    <x v="187"/>
    <x v="12"/>
    <s v="PET"/>
    <x v="119"/>
    <s v="AVENTAL NYLON EMBORRACHADO"/>
    <s v="AVENTAL"/>
    <s v="LEVE"/>
    <n v="150"/>
    <n v="23"/>
    <n v="3450"/>
    <n v="0"/>
    <d v="2025-09-19T00:00:00"/>
    <n v="38"/>
    <m/>
    <s v="ENTREGUE"/>
    <n v="37.5"/>
    <n v="75"/>
    <n v="195"/>
    <n v="75"/>
    <n v="382.5"/>
  </r>
  <r>
    <s v="ARACHELES"/>
    <x v="392"/>
    <x v="187"/>
    <x v="12"/>
    <s v="COSMÉTICO"/>
    <x v="199"/>
    <s v="AVENTAL OXFORD MODELO PADRÃO"/>
    <s v="AVENTAL"/>
    <s v="LEVE"/>
    <n v="100"/>
    <n v="17"/>
    <n v="1700"/>
    <n v="0"/>
    <d v="2025-10-03T00:00:00"/>
    <n v="40"/>
    <m/>
    <s v="ENTREGUE"/>
    <n v="25"/>
    <n v="50"/>
    <n v="130"/>
    <n v="50"/>
    <n v="255"/>
  </r>
  <r>
    <s v="LETICIA"/>
    <x v="393"/>
    <x v="187"/>
    <x v="12"/>
    <s v="COSMÉTICO"/>
    <x v="148"/>
    <s v="CAMISETA MALHA PV"/>
    <s v="CAMISETA"/>
    <s v="LEVE"/>
    <n v="64"/>
    <n v="35"/>
    <n v="2240"/>
    <n v="0"/>
    <d v="2025-09-05T00:00:00"/>
    <n v="36"/>
    <m/>
    <s v="ENTREGUE"/>
    <n v="16"/>
    <n v="64"/>
    <n v="96"/>
    <n v="32"/>
    <n v="208"/>
  </r>
  <r>
    <s v="LETICIA"/>
    <x v="394"/>
    <x v="187"/>
    <x v="12"/>
    <s v="COSMÉTICO"/>
    <x v="200"/>
    <s v="CAMISETA MALHA PV"/>
    <s v="CAMISETA"/>
    <s v="LEVE"/>
    <n v="100"/>
    <n v="26"/>
    <n v="2600"/>
    <n v="0"/>
    <d v="2025-10-21T00:00:00"/>
    <n v="43"/>
    <m/>
    <s v="ENTREGUE"/>
    <n v="25"/>
    <n v="100"/>
    <n v="150"/>
    <n v="50"/>
    <n v="325"/>
  </r>
  <r>
    <s v="LETICIA"/>
    <x v="395"/>
    <x v="188"/>
    <x v="13"/>
    <s v="COSMÉTICO"/>
    <x v="201"/>
    <s v="AVENTAL NY 210"/>
    <s v="AVENTAL"/>
    <s v="LEVE"/>
    <n v="100"/>
    <n v="19.5"/>
    <n v="1950"/>
    <n v="0"/>
    <d v="2025-10-07T00:00:00"/>
    <n v="41"/>
    <m/>
    <s v="ENTREGUE"/>
    <n v="25"/>
    <n v="50"/>
    <n v="130"/>
    <n v="50"/>
    <n v="255"/>
  </r>
  <r>
    <s v="LETICIA"/>
    <x v="395"/>
    <x v="188"/>
    <x v="13"/>
    <s v="COSMÉTICO"/>
    <x v="201"/>
    <s v="CAPA DE CORTE CETIM"/>
    <s v="CAPA"/>
    <s v="LEVE"/>
    <n v="100"/>
    <n v="18"/>
    <n v="1800"/>
    <n v="0"/>
    <d v="2025-10-07T00:00:00"/>
    <n v="41"/>
    <m/>
    <s v="ENTREGUE"/>
    <n v="25"/>
    <n v="100"/>
    <n v="150"/>
    <n v="50"/>
    <n v="325"/>
  </r>
  <r>
    <s v="LETICIA"/>
    <x v="396"/>
    <x v="188"/>
    <x v="13"/>
    <s v="PET"/>
    <x v="44"/>
    <s v="CAMISETA MALHA PV"/>
    <s v="CAMISETA"/>
    <s v="LEVE"/>
    <n v="2500"/>
    <n v="23.5"/>
    <n v="58750"/>
    <n v="0"/>
    <d v="2025-10-07T00:00:00"/>
    <n v="41"/>
    <m/>
    <s v="ENTREGUE"/>
    <n v="625"/>
    <n v="2500"/>
    <n v="3750"/>
    <n v="1250"/>
    <n v="8125"/>
  </r>
  <r>
    <s v="LETICIA"/>
    <x v="397"/>
    <x v="189"/>
    <x v="13"/>
    <s v="COSMÉTICO"/>
    <x v="63"/>
    <s v="BLUSA DE MOLETOM "/>
    <s v="MOLETOM"/>
    <s v="LEVE"/>
    <n v="80"/>
    <n v="80"/>
    <n v="6400"/>
    <n v="0"/>
    <d v="2025-09-19T00:00:00"/>
    <n v="38"/>
    <m/>
    <s v="ENTREGUE"/>
    <n v="20"/>
    <n v="120"/>
    <n v="120"/>
    <n v="40"/>
    <n v="300"/>
  </r>
  <r>
    <s v="CONSERV"/>
    <x v="398"/>
    <x v="189"/>
    <x v="13"/>
    <s v="COSMÉTICO"/>
    <x v="0"/>
    <s v="KIMONO TACTEL"/>
    <s v="KIMONO"/>
    <s v="LEVE"/>
    <n v="600"/>
    <n v="24.5"/>
    <n v="14700"/>
    <n v="0"/>
    <d v="2025-10-08T00:00:00"/>
    <n v="41"/>
    <m/>
    <s v="ENTREGUE"/>
    <n v="150"/>
    <n v="900"/>
    <n v="3120"/>
    <n v="300"/>
    <n v="4470"/>
  </r>
  <r>
    <s v="LETICIA"/>
    <x v="398"/>
    <x v="189"/>
    <x v="13"/>
    <s v="COSMÉTICO"/>
    <x v="0"/>
    <s v="CAPA DE CORTE TACTEL"/>
    <s v="CAPA"/>
    <s v="LEVE"/>
    <n v="200"/>
    <n v="24.5"/>
    <n v="4900"/>
    <n v="0"/>
    <d v="2025-10-08T00:00:00"/>
    <n v="41"/>
    <m/>
    <s v="ENTREGUE"/>
    <n v="50"/>
    <n v="200"/>
    <n v="300"/>
    <n v="100"/>
    <n v="650"/>
  </r>
  <r>
    <s v="LETICIA"/>
    <x v="398"/>
    <x v="189"/>
    <x v="13"/>
    <s v="COSMÉTICO"/>
    <x v="0"/>
    <s v="CAMISETA MALHA PV"/>
    <s v="CAMISETA"/>
    <s v="LEVE"/>
    <n v="300"/>
    <n v="24.5"/>
    <n v="7350"/>
    <n v="0"/>
    <d v="2025-10-08T00:00:00"/>
    <n v="41"/>
    <m/>
    <s v="ENTREGUE"/>
    <n v="75"/>
    <n v="300"/>
    <n v="450"/>
    <n v="150"/>
    <n v="975"/>
  </r>
  <r>
    <s v="LETICIA"/>
    <x v="399"/>
    <x v="189"/>
    <x v="13"/>
    <s v="COSMÉTICO"/>
    <x v="0"/>
    <s v="KIMONO TACTEL"/>
    <s v="KIMONO"/>
    <s v="LEVE"/>
    <n v="300"/>
    <n v="24.5"/>
    <n v="7350"/>
    <n v="0"/>
    <d v="2025-10-08T00:00:00"/>
    <n v="41"/>
    <m/>
    <s v="ENTREGUE"/>
    <n v="75"/>
    <n v="450"/>
    <n v="1560"/>
    <n v="150"/>
    <n v="2235"/>
  </r>
  <r>
    <s v="LETICIA"/>
    <x v="399"/>
    <x v="189"/>
    <x v="13"/>
    <s v="COSMÉTICO"/>
    <x v="0"/>
    <s v="AVENTAL OXFORD MODELO PADRÃO"/>
    <s v="AVENTAL"/>
    <s v="LEVE"/>
    <n v="150"/>
    <n v="14"/>
    <n v="2100"/>
    <n v="0"/>
    <d v="2025-10-08T00:00:00"/>
    <n v="41"/>
    <m/>
    <s v="ENTREGUE"/>
    <n v="37.5"/>
    <n v="75"/>
    <n v="195"/>
    <n v="75"/>
    <n v="382.5"/>
  </r>
  <r>
    <s v="LETICIA"/>
    <x v="400"/>
    <x v="189"/>
    <x v="13"/>
    <s v="PET"/>
    <x v="44"/>
    <s v="CAPA PROTETOR PREMIER"/>
    <s v="CAPA PROTETOR"/>
    <s v="LEVE"/>
    <n v="1800"/>
    <n v="16"/>
    <n v="28800"/>
    <n v="0"/>
    <d v="2025-10-08T00:00:00"/>
    <n v="41"/>
    <m/>
    <s v="ENTREGUE"/>
    <n v="450"/>
    <n v="1440"/>
    <n v="3600"/>
    <n v="900"/>
    <n v="6390"/>
  </r>
  <r>
    <s v="ARACHELES"/>
    <x v="401"/>
    <x v="189"/>
    <x v="13"/>
    <s v="COSMÉTICO"/>
    <x v="202"/>
    <s v="AVENTAL OXFORD MODELO PADRÃO"/>
    <s v="AVENTAL"/>
    <s v="LEVE"/>
    <n v="100"/>
    <n v="17"/>
    <n v="1700"/>
    <n v="0"/>
    <d v="2025-10-14T00:00:00"/>
    <n v="42"/>
    <m/>
    <s v="ENTREGUE"/>
    <n v="25"/>
    <n v="50"/>
    <n v="130"/>
    <n v="50"/>
    <n v="255"/>
  </r>
  <r>
    <s v="ARACHELES"/>
    <x v="401"/>
    <x v="189"/>
    <x v="13"/>
    <s v="COSMÉTICO"/>
    <x v="202"/>
    <s v="KIMONO TACTEL"/>
    <s v="KIMONO"/>
    <s v="LEVE"/>
    <n v="20"/>
    <n v="45"/>
    <n v="900"/>
    <n v="0"/>
    <d v="2025-10-14T00:00:00"/>
    <n v="42"/>
    <m/>
    <s v="ENTREGUE"/>
    <n v="5"/>
    <n v="30"/>
    <n v="104"/>
    <n v="10"/>
    <n v="149"/>
  </r>
  <r>
    <s v="LETICIA"/>
    <x v="402"/>
    <x v="190"/>
    <x v="13"/>
    <s v="PET"/>
    <x v="1"/>
    <s v="CAMISETA MALHA 100% POLIESTER "/>
    <s v="CAMISETA"/>
    <s v="LEVE"/>
    <n v="65"/>
    <n v="35"/>
    <n v="2275"/>
    <n v="0"/>
    <d v="2025-10-10T00:00:00"/>
    <n v="41"/>
    <n v="6"/>
    <s v="ENTREGUE"/>
    <n v="16.25"/>
    <n v="65"/>
    <n v="97.5"/>
    <n v="32.5"/>
    <n v="211.25"/>
  </r>
  <r>
    <s v="ARACHELES"/>
    <x v="403"/>
    <x v="190"/>
    <x v="13"/>
    <s v="COSMÉTICO"/>
    <x v="71"/>
    <s v="CAMISETA MALHA PV"/>
    <s v="CAMISETA"/>
    <s v="LEVE"/>
    <n v="200"/>
    <n v="25.5"/>
    <n v="5100"/>
    <n v="0"/>
    <d v="2025-10-22T00:00:00"/>
    <n v="43"/>
    <m/>
    <s v="ENTREGUE"/>
    <n v="50"/>
    <n v="200"/>
    <n v="300"/>
    <n v="100"/>
    <n v="650"/>
  </r>
  <r>
    <s v="LETICIA"/>
    <x v="404"/>
    <x v="190"/>
    <x v="13"/>
    <s v="COMÉRCIO"/>
    <x v="203"/>
    <s v="SACO ALGODÃO 1X100"/>
    <s v="SACO"/>
    <s v="LEVE"/>
    <n v="200"/>
    <n v="32.5"/>
    <n v="6500"/>
    <n v="0"/>
    <d v="2025-10-10T00:00:00"/>
    <n v="41"/>
    <m/>
    <s v="ENTREGUE"/>
    <n v="200"/>
    <n v="120"/>
    <n v="140"/>
    <n v="200"/>
    <n v="660"/>
  </r>
  <r>
    <s v="LETICIA"/>
    <x v="405"/>
    <x v="191"/>
    <x v="14"/>
    <s v="COMÉRCIO"/>
    <x v="40"/>
    <s v="NECESSAIRE NY PLASTIFICADO"/>
    <s v="NECESSAIRE"/>
    <s v="PESADA"/>
    <n v="300"/>
    <n v="23"/>
    <n v="6900"/>
    <n v="0"/>
    <d v="2025-09-30T00:00:00"/>
    <n v="40"/>
    <m/>
    <s v="ENTREGUE"/>
    <n v="75"/>
    <n v="210"/>
    <n v="750"/>
    <n v="150"/>
    <n v="1185"/>
  </r>
  <r>
    <s v="LETICIA"/>
    <x v="406"/>
    <x v="192"/>
    <x v="14"/>
    <s v="COSMÉTICO"/>
    <x v="157"/>
    <s v="AVENTAL NY 210"/>
    <s v="AVENTAL"/>
    <s v="LEVE"/>
    <n v="100"/>
    <n v="19.7"/>
    <n v="1970"/>
    <n v="0"/>
    <d v="2025-09-30T00:00:00"/>
    <n v="40"/>
    <m/>
    <s v="ENTREGUE"/>
    <n v="25"/>
    <n v="50"/>
    <n v="130"/>
    <n v="50"/>
    <n v="255"/>
  </r>
  <r>
    <s v="FERNANDA"/>
    <x v="407"/>
    <x v="192"/>
    <x v="14"/>
    <s v="COSMÉTICO"/>
    <x v="204"/>
    <s v="KIMONO TACTEL"/>
    <s v="KIMONO"/>
    <s v="LEVE"/>
    <n v="20"/>
    <n v="45"/>
    <n v="900"/>
    <n v="0"/>
    <d v="2025-10-13T00:00:00"/>
    <n v="42"/>
    <m/>
    <s v="ENTREGUE"/>
    <n v="5"/>
    <n v="30"/>
    <n v="104"/>
    <n v="10"/>
    <n v="149"/>
  </r>
  <r>
    <s v="FERNANDA"/>
    <x v="407"/>
    <x v="192"/>
    <x v="14"/>
    <s v="COSMÉTICO"/>
    <x v="204"/>
    <s v="AVENTAL OXFORD MODELO PADRÃO"/>
    <s v="AVENTAL"/>
    <s v="LEVE"/>
    <n v="30"/>
    <n v="25"/>
    <n v="750"/>
    <n v="0"/>
    <d v="2025-10-13T00:00:00"/>
    <n v="42"/>
    <m/>
    <s v="ENTREGUE"/>
    <n v="7.5"/>
    <n v="15"/>
    <n v="39"/>
    <n v="15"/>
    <n v="76.5"/>
  </r>
  <r>
    <s v="FERNANDA"/>
    <x v="407"/>
    <x v="192"/>
    <x v="14"/>
    <s v="COSMÉTICO"/>
    <x v="204"/>
    <s v="CAMISETA POLO PIQUET"/>
    <s v="POLO"/>
    <s v="LEVE"/>
    <n v="2"/>
    <n v="75"/>
    <n v="150"/>
    <n v="0"/>
    <d v="2025-10-13T00:00:00"/>
    <n v="42"/>
    <m/>
    <s v="ENTREGUE"/>
    <n v="0"/>
    <n v="2"/>
    <n v="0"/>
    <n v="1"/>
    <n v="3"/>
  </r>
  <r>
    <s v="FERNANDA"/>
    <x v="407"/>
    <x v="192"/>
    <x v="14"/>
    <s v="COSMÉTICO"/>
    <x v="204"/>
    <s v="CAMISETA MALHA PV"/>
    <s v="CAMISETA"/>
    <s v="LEVE"/>
    <n v="1"/>
    <n v="35"/>
    <n v="35"/>
    <n v="0"/>
    <d v="2025-10-13T00:00:00"/>
    <n v="42"/>
    <m/>
    <s v="ENTREGUE"/>
    <n v="0.25"/>
    <n v="1"/>
    <n v="1.5"/>
    <n v="0.5"/>
    <n v="3.25"/>
  </r>
  <r>
    <s v="AMANDA"/>
    <x v="408"/>
    <x v="193"/>
    <x v="14"/>
    <s v="COSMÉTICO"/>
    <x v="205"/>
    <s v="AVENTAL OXFORD MODELO PADRÃO"/>
    <s v="AVENTAL"/>
    <s v="LEVE"/>
    <n v="100"/>
    <n v="17"/>
    <n v="1700"/>
    <n v="0"/>
    <d v="2025-10-13T00:00:00"/>
    <n v="42"/>
    <m/>
    <s v="ENTREGUE"/>
    <n v="25"/>
    <n v="50"/>
    <n v="130"/>
    <n v="50"/>
    <n v="255"/>
  </r>
  <r>
    <s v="AMANDA"/>
    <x v="409"/>
    <x v="194"/>
    <x v="14"/>
    <s v="COSMÉTICO"/>
    <x v="206"/>
    <s v="NECESSAIRE MALETA MAKE"/>
    <s v="NECESSAIRE"/>
    <s v="PESADA"/>
    <n v="200"/>
    <n v="12.5"/>
    <n v="2500"/>
    <n v="0"/>
    <d v="2025-10-15T00:00:00"/>
    <n v="42"/>
    <m/>
    <s v="ENTREGUE"/>
    <n v="50"/>
    <n v="140"/>
    <n v="500"/>
    <n v="100"/>
    <n v="790"/>
  </r>
  <r>
    <s v="LETICIA"/>
    <x v="410"/>
    <x v="194"/>
    <x v="14"/>
    <s v="COSMÉTICO"/>
    <x v="207"/>
    <s v="AVENTAL TACTEL MODELO PADRÃO "/>
    <s v="AVENTAL"/>
    <s v="LEVE"/>
    <n v="100"/>
    <n v="15.5"/>
    <n v="1550"/>
    <n v="0"/>
    <d v="2025-10-15T00:00:00"/>
    <n v="42"/>
    <m/>
    <s v="ENTREGUE"/>
    <n v="25"/>
    <n v="50"/>
    <n v="130"/>
    <n v="50"/>
    <n v="255"/>
  </r>
  <r>
    <s v="LETICIA"/>
    <x v="410"/>
    <x v="194"/>
    <x v="14"/>
    <s v="COSMÉTICO"/>
    <x v="207"/>
    <s v="CAPA DE CORTE CETIM"/>
    <s v="CAPA"/>
    <s v="LEVE"/>
    <n v="50"/>
    <n v="18"/>
    <n v="900"/>
    <n v="0"/>
    <d v="2025-10-15T00:00:00"/>
    <n v="42"/>
    <m/>
    <s v="ENTREGUE"/>
    <n v="12.5"/>
    <n v="50"/>
    <n v="75"/>
    <n v="25"/>
    <n v="162.5"/>
  </r>
  <r>
    <s v="LETICIA"/>
    <x v="411"/>
    <x v="194"/>
    <x v="14"/>
    <s v="COSMÉTICO"/>
    <x v="180"/>
    <s v="CAMISETA MALHA PV"/>
    <s v="CAMISETA"/>
    <s v="LEVE"/>
    <n v="200"/>
    <n v="22"/>
    <n v="4400"/>
    <n v="0"/>
    <d v="2025-10-24T00:00:00"/>
    <n v="43"/>
    <m/>
    <s v="ENTREGUE"/>
    <n v="50"/>
    <n v="200"/>
    <n v="300"/>
    <n v="100"/>
    <n v="650"/>
  </r>
  <r>
    <s v="LETICIA"/>
    <x v="412"/>
    <x v="194"/>
    <x v="14"/>
    <s v="PET"/>
    <x v="73"/>
    <s v="AVENTAL NY EMBORRACHADO"/>
    <s v="AVENTAL"/>
    <s v="LEVE"/>
    <n v="250"/>
    <n v="23.5"/>
    <n v="5875"/>
    <n v="0"/>
    <d v="2025-10-15T00:00:00"/>
    <n v="42"/>
    <m/>
    <s v="ENTREGUE"/>
    <n v="62.5"/>
    <n v="125"/>
    <n v="325"/>
    <n v="125"/>
    <n v="637.5"/>
  </r>
  <r>
    <s v="LETICIA"/>
    <x v="413"/>
    <x v="195"/>
    <x v="14"/>
    <s v="COSMÉTICO"/>
    <x v="94"/>
    <s v="CAMISETA MALHA PV"/>
    <s v="CAMISETA"/>
    <s v="LEVE"/>
    <n v="400"/>
    <n v="22.5"/>
    <n v="9000"/>
    <n v="0"/>
    <d v="2025-10-20T00:00:00"/>
    <n v="43"/>
    <m/>
    <s v="ENTREGUE"/>
    <n v="100"/>
    <n v="400"/>
    <n v="600"/>
    <n v="200"/>
    <n v="1300"/>
  </r>
  <r>
    <s v="ARACHELES"/>
    <x v="365"/>
    <x v="195"/>
    <x v="14"/>
    <s v="COSMÉTICO"/>
    <x v="82"/>
    <s v="AVENTAL OXFORD MODELO PADRÃO"/>
    <s v="AVENTAL"/>
    <s v="LEVE"/>
    <n v="15"/>
    <n v="25"/>
    <n v="375"/>
    <n v="0"/>
    <d v="2025-09-19T00:00:00"/>
    <n v="38"/>
    <m/>
    <s v="ENTREGUE"/>
    <n v="3.75"/>
    <n v="7.5"/>
    <n v="19.5"/>
    <n v="7.5"/>
    <n v="38.25"/>
  </r>
  <r>
    <s v="ARACHELES"/>
    <x v="365"/>
    <x v="195"/>
    <x v="14"/>
    <s v="COSMÉTICO"/>
    <x v="82"/>
    <s v="CAPA DE CORTE CETIM"/>
    <s v="CAPA"/>
    <s v="LEVE"/>
    <n v="65"/>
    <n v="25"/>
    <n v="1625"/>
    <n v="0"/>
    <d v="2025-09-19T00:00:00"/>
    <n v="38"/>
    <m/>
    <s v="ENTREGUE"/>
    <n v="16.25"/>
    <n v="65"/>
    <n v="97.5"/>
    <n v="32.5"/>
    <n v="211.25"/>
  </r>
  <r>
    <s v="LETICIA"/>
    <x v="414"/>
    <x v="196"/>
    <x v="15"/>
    <s v="HAVANNA"/>
    <x v="208"/>
    <s v="CAMISETA POLO PIQUET"/>
    <s v="POLO"/>
    <s v="LEVE"/>
    <n v="2"/>
    <n v="65"/>
    <n v="130"/>
    <n v="0"/>
    <d v="2025-10-13T00:00:00"/>
    <n v="42"/>
    <m/>
    <s v="ENTREGUE"/>
    <n v="0"/>
    <n v="2"/>
    <n v="0"/>
    <n v="1"/>
    <n v="3"/>
  </r>
  <r>
    <s v="LETICIA"/>
    <x v="414"/>
    <x v="196"/>
    <x v="15"/>
    <s v="HAVANNA"/>
    <x v="208"/>
    <s v="BABY LOOK FEMININA MALHA 100% ALGODAO"/>
    <s v="BABY LOOK"/>
    <s v="LEVE"/>
    <n v="2"/>
    <n v="36.75"/>
    <n v="73.5"/>
    <n v="0"/>
    <d v="2025-10-13T00:00:00"/>
    <n v="42"/>
    <m/>
    <s v="ENTREGUE"/>
    <n v="0.5"/>
    <n v="2"/>
    <n v="3"/>
    <n v="1"/>
    <n v="6.5"/>
  </r>
  <r>
    <s v="LETICIA"/>
    <x v="414"/>
    <x v="196"/>
    <x v="15"/>
    <s v="HAVANNA"/>
    <x v="208"/>
    <s v="CAMISETA MALHA 100% ALGODÃO"/>
    <s v="CAMISETA"/>
    <s v="LEVE"/>
    <n v="2"/>
    <n v="36.75"/>
    <n v="73.5"/>
    <n v="0"/>
    <d v="2025-10-13T00:00:00"/>
    <n v="42"/>
    <m/>
    <s v="ENTREGUE"/>
    <n v="0.5"/>
    <n v="2"/>
    <n v="3"/>
    <n v="1"/>
    <n v="6.5"/>
  </r>
  <r>
    <s v="LETICIA"/>
    <x v="415"/>
    <x v="196"/>
    <x v="15"/>
    <s v="COSMÉTICO"/>
    <x v="189"/>
    <s v="AVENTAL OXFORD MODELO PADRÃO"/>
    <s v="AVENTAL"/>
    <s v="LEVE"/>
    <n v="100"/>
    <n v="17"/>
    <n v="1700"/>
    <n v="0"/>
    <d v="2025-10-27T00:00:00"/>
    <n v="44"/>
    <m/>
    <s v="ENTREGUE"/>
    <n v="25"/>
    <n v="50"/>
    <n v="130"/>
    <n v="50"/>
    <n v="255"/>
  </r>
  <r>
    <s v="LETICIA"/>
    <x v="416"/>
    <x v="196"/>
    <x v="15"/>
    <s v="PET"/>
    <x v="73"/>
    <s v="AVENTAL NY EMBORRACHADO"/>
    <s v="AVENTAL"/>
    <s v="LEVE"/>
    <n v="700"/>
    <n v="22.5"/>
    <n v="15750"/>
    <n v="0"/>
    <d v="2025-10-20T00:00:00"/>
    <n v="43"/>
    <m/>
    <s v="ENTREGUE"/>
    <n v="175"/>
    <n v="350"/>
    <n v="910"/>
    <n v="350"/>
    <n v="1785"/>
  </r>
  <r>
    <s v="ARACHELES"/>
    <x v="417"/>
    <x v="197"/>
    <x v="15"/>
    <s v="INDUSTRIA"/>
    <x v="209"/>
    <s v="POLO PIQUET"/>
    <s v="POLO"/>
    <s v="LEVE"/>
    <n v="155"/>
    <n v="47"/>
    <n v="7285"/>
    <n v="0"/>
    <d v="2025-10-22T00:00:00"/>
    <n v="43"/>
    <m/>
    <s v="ENTREGUE"/>
    <n v="0"/>
    <n v="155"/>
    <n v="0"/>
    <n v="77.5"/>
    <n v="232.5"/>
  </r>
  <r>
    <s v="ARACHELES"/>
    <x v="417"/>
    <x v="197"/>
    <x v="15"/>
    <s v="INDUSTRIA"/>
    <x v="209"/>
    <s v="CAMISETA DRYFIT"/>
    <s v="CAMISETA"/>
    <s v="LEVE"/>
    <n v="80"/>
    <n v="35"/>
    <n v="2800"/>
    <n v="0"/>
    <d v="2025-10-22T00:00:00"/>
    <n v="43"/>
    <m/>
    <s v="ENTREGUE"/>
    <n v="20"/>
    <n v="80"/>
    <n v="120"/>
    <n v="40"/>
    <n v="260"/>
  </r>
  <r>
    <s v="LETICIA"/>
    <x v="418"/>
    <x v="197"/>
    <x v="15"/>
    <s v="COSMÉTICO"/>
    <x v="97"/>
    <s v="AVENTAL POLIESTER COM BOLSO"/>
    <s v="AVENTAL"/>
    <s v="PESADA"/>
    <n v="270"/>
    <n v="34"/>
    <n v="9180"/>
    <n v="0"/>
    <d v="2025-10-24T00:00:00"/>
    <n v="43"/>
    <m/>
    <s v="ENTREGUE"/>
    <n v="67.5"/>
    <n v="135"/>
    <n v="351"/>
    <n v="135"/>
    <n v="688.5"/>
  </r>
  <r>
    <s v="FERNANDA"/>
    <x v="419"/>
    <x v="198"/>
    <x v="16"/>
    <s v="COMÉRCIO"/>
    <x v="210"/>
    <s v="CAMISETA MALHA 100% ALGODÃO "/>
    <s v="CAMISETA"/>
    <s v="LEVE"/>
    <n v="50"/>
    <n v="26.5"/>
    <n v="1325"/>
    <n v="0"/>
    <d v="2025-10-23T00:00:00"/>
    <n v="43"/>
    <m/>
    <s v="ENTREGUE"/>
    <n v="12.5"/>
    <n v="50"/>
    <n v="75"/>
    <n v="25"/>
    <n v="162.5"/>
  </r>
  <r>
    <s v="LETICIA"/>
    <x v="420"/>
    <x v="199"/>
    <x v="16"/>
    <s v="COSMÉTICO"/>
    <x v="211"/>
    <s v="NECESSAIRE MALETA MAKE"/>
    <s v="NECESSAIRE"/>
    <s v="PESADA"/>
    <n v="200"/>
    <n v="15"/>
    <n v="3000"/>
    <n v="0"/>
    <d v="2025-10-27T00:00:00"/>
    <n v="44"/>
    <m/>
    <s v="ENTREGUE"/>
    <n v="50"/>
    <n v="140"/>
    <n v="500"/>
    <n v="100"/>
    <n v="790"/>
  </r>
  <r>
    <s v="FERNANDA"/>
    <x v="421"/>
    <x v="199"/>
    <x v="16"/>
    <s v="HAVANNA"/>
    <x v="185"/>
    <s v="BABY LOOK FEMININA MALHA 100% ALGODAO"/>
    <s v="BABY LOOK"/>
    <s v="LEVE"/>
    <n v="2"/>
    <n v="45"/>
    <n v="90"/>
    <n v="0"/>
    <d v="2025-10-24T00:00:00"/>
    <n v="43"/>
    <m/>
    <s v="ENTREGUE"/>
    <n v="0.5"/>
    <n v="2"/>
    <n v="3"/>
    <n v="1"/>
    <n v="6.5"/>
  </r>
  <r>
    <s v="FERNANDA"/>
    <x v="421"/>
    <x v="199"/>
    <x v="16"/>
    <s v="HAVANNA"/>
    <x v="185"/>
    <s v="CALÇA LEGGING"/>
    <s v="CALÇA "/>
    <s v="LEVE"/>
    <n v="1"/>
    <n v="65"/>
    <n v="65"/>
    <n v="0"/>
    <d v="2025-10-24T00:00:00"/>
    <n v="43"/>
    <m/>
    <s v="ENTREGUE"/>
    <n v="0.25"/>
    <m/>
    <m/>
    <n v="0.5"/>
    <m/>
  </r>
  <r>
    <s v="FERNANDA"/>
    <x v="421"/>
    <x v="199"/>
    <x v="16"/>
    <s v="HAVANNA"/>
    <x v="185"/>
    <s v="CAMISETA MALHA 100% ALGODÃO"/>
    <s v="CAMISETA"/>
    <s v="LEVE"/>
    <n v="1"/>
    <n v="36.75"/>
    <n v="36.75"/>
    <n v="0"/>
    <d v="2025-10-24T00:00:00"/>
    <n v="43"/>
    <m/>
    <s v="ENTREGUE"/>
    <n v="0.25"/>
    <n v="1"/>
    <n v="1.5"/>
    <n v="0.5"/>
    <n v="3.25"/>
  </r>
  <r>
    <s v="FERNANDA"/>
    <x v="421"/>
    <x v="199"/>
    <x v="16"/>
    <s v="HAVANNA"/>
    <x v="185"/>
    <s v="CAMISETA MANGA LONGA 100% ALGODÃO"/>
    <s v="CAMISETA"/>
    <s v="LEVE"/>
    <n v="1"/>
    <n v="55"/>
    <n v="55"/>
    <n v="0"/>
    <d v="2025-10-24T00:00:00"/>
    <n v="43"/>
    <m/>
    <s v="ENTREGUE"/>
    <n v="0.25"/>
    <n v="1"/>
    <n v="1.5"/>
    <n v="0.5"/>
    <n v="3.25"/>
  </r>
  <r>
    <s v="LETICIA"/>
    <x v="422"/>
    <x v="200"/>
    <x v="16"/>
    <s v="PET"/>
    <x v="212"/>
    <s v="AVENTAL NY EMBORRACHADO"/>
    <s v="AVENTAL"/>
    <s v="LEVE"/>
    <n v="200"/>
    <n v="25.5"/>
    <n v="5100"/>
    <n v="0"/>
    <d v="2025-10-28T00:00:00"/>
    <n v="44"/>
    <m/>
    <s v="ENTREGUE"/>
    <n v="50"/>
    <n v="100"/>
    <n v="260"/>
    <n v="100"/>
    <n v="510"/>
  </r>
  <r>
    <s v="LETICIA"/>
    <x v="423"/>
    <x v="200"/>
    <x v="16"/>
    <s v="COSMÉTICO"/>
    <x v="153"/>
    <s v="AVENTAL OXFORD MODELO PADRÃO"/>
    <s v="AVENTAL"/>
    <s v="LEVE"/>
    <n v="50"/>
    <n v="18.5"/>
    <n v="925"/>
    <n v="0"/>
    <d v="2025-10-28T00:00:00"/>
    <n v="44"/>
    <m/>
    <s v="ENTREGUE"/>
    <n v="12.5"/>
    <n v="25"/>
    <n v="65"/>
    <n v="25"/>
    <n v="127.5"/>
  </r>
  <r>
    <s v="LETICIA"/>
    <x v="423"/>
    <x v="200"/>
    <x v="16"/>
    <s v="COSMÉTICO"/>
    <x v="153"/>
    <s v="KIMONO TACTEL"/>
    <s v="KIMONO"/>
    <s v="LEVE"/>
    <n v="50"/>
    <n v="26.5"/>
    <n v="1325"/>
    <n v="0"/>
    <d v="2025-10-28T00:00:00"/>
    <n v="44"/>
    <m/>
    <s v="ENTREGUE"/>
    <n v="12.5"/>
    <n v="75"/>
    <n v="260"/>
    <n v="25"/>
    <n v="372.5"/>
  </r>
  <r>
    <s v="FERNANDA"/>
    <x v="424"/>
    <x v="200"/>
    <x v="16"/>
    <s v="PET"/>
    <x v="213"/>
    <s v="AVENTAL NY EMBORRACHADO"/>
    <s v="AVENTAL"/>
    <s v="LEVE"/>
    <n v="100"/>
    <n v="25"/>
    <n v="2500"/>
    <n v="0"/>
    <d v="2025-10-28T00:00:00"/>
    <n v="44"/>
    <m/>
    <s v="ENTREGUE"/>
    <n v="25"/>
    <n v="50"/>
    <n v="130"/>
    <n v="50"/>
    <n v="255"/>
  </r>
  <r>
    <s v="LETICIA"/>
    <x v="425"/>
    <x v="200"/>
    <x v="16"/>
    <s v="PET"/>
    <x v="214"/>
    <s v="AVENTAL NY EMBORRACHADO"/>
    <s v="AVENTAL"/>
    <s v="LEVE"/>
    <n v="100"/>
    <n v="28"/>
    <n v="2800"/>
    <n v="0"/>
    <d v="2025-10-28T00:00:00"/>
    <n v="44"/>
    <m/>
    <s v="ENTREGUE"/>
    <n v="25"/>
    <n v="50"/>
    <n v="130"/>
    <n v="50"/>
    <n v="255"/>
  </r>
  <r>
    <s v="LETICIA"/>
    <x v="426"/>
    <x v="201"/>
    <x v="16"/>
    <s v="PET"/>
    <x v="215"/>
    <s v="AVENTAL NY EMBORRACHADO"/>
    <s v="AVENTAL"/>
    <s v="LEVE"/>
    <n v="100"/>
    <n v="28"/>
    <n v="2800"/>
    <n v="0"/>
    <d v="2025-10-29T00:00:00"/>
    <n v="44"/>
    <m/>
    <s v="ENTREGUE"/>
    <n v="25"/>
    <n v="50"/>
    <n v="130"/>
    <n v="50"/>
    <n v="255"/>
  </r>
  <r>
    <s v="LETICIA"/>
    <x v="427"/>
    <x v="201"/>
    <x v="16"/>
    <s v="COSMÉTICO"/>
    <x v="74"/>
    <s v="AVENTAL BARBEIRO COURO SINTETICO "/>
    <s v="AVENTAL"/>
    <s v="PESADA"/>
    <n v="100"/>
    <n v="67"/>
    <n v="6700"/>
    <n v="0"/>
    <d v="2025-10-29T00:00:00"/>
    <n v="44"/>
    <m/>
    <s v="ENTREGUE"/>
    <n v="25"/>
    <n v="100"/>
    <n v="300"/>
    <n v="100"/>
    <n v="525"/>
  </r>
  <r>
    <s v="LETICIA"/>
    <x v="427"/>
    <x v="201"/>
    <x v="16"/>
    <s v="COSMÉTICO"/>
    <x v="74"/>
    <s v="CAPA DE CORTE CETIM"/>
    <s v="CAPA"/>
    <s v="LEVE"/>
    <n v="100"/>
    <n v="17"/>
    <n v="1700"/>
    <n v="0"/>
    <d v="2025-10-29T00:00:00"/>
    <n v="44"/>
    <m/>
    <s v="ENTREGUE"/>
    <n v="25"/>
    <n v="100"/>
    <n v="150"/>
    <n v="50"/>
    <n v="325"/>
  </r>
  <r>
    <s v="LETICIA"/>
    <x v="428"/>
    <x v="201"/>
    <x v="16"/>
    <s v="HAVANNA"/>
    <x v="4"/>
    <s v="CAMISETA POLO PIQUET"/>
    <s v="POLO"/>
    <s v="LEVE"/>
    <n v="3"/>
    <n v="65"/>
    <n v="195"/>
    <n v="0"/>
    <d v="2025-10-29T00:00:00"/>
    <n v="44"/>
    <m/>
    <s v="ENTREGUE"/>
    <n v="0"/>
    <n v="3"/>
    <n v="0"/>
    <n v="1.5"/>
    <n v="4.5"/>
  </r>
  <r>
    <s v="LETICIA"/>
    <x v="428"/>
    <x v="201"/>
    <x v="16"/>
    <s v="HAVANNA"/>
    <x v="4"/>
    <s v="CAMISETA MALHA 100% ALGODÃO"/>
    <s v="CAMISETA"/>
    <s v="LEVE"/>
    <n v="24"/>
    <n v="36.75"/>
    <n v="882"/>
    <n v="0"/>
    <d v="2025-10-29T00:00:00"/>
    <n v="44"/>
    <m/>
    <s v="ENTREGUE"/>
    <n v="6"/>
    <n v="24"/>
    <n v="36"/>
    <n v="12"/>
    <n v="78"/>
  </r>
  <r>
    <s v="LETICIA"/>
    <x v="428"/>
    <x v="201"/>
    <x v="16"/>
    <s v="HAVANNA"/>
    <x v="4"/>
    <s v="CAMISETA MANGA LONGA 100% ALGODÃO"/>
    <s v="CAMISETA"/>
    <s v="LEVE"/>
    <n v="20"/>
    <n v="47.5"/>
    <n v="950"/>
    <n v="0"/>
    <d v="2025-10-29T00:00:00"/>
    <n v="44"/>
    <m/>
    <s v="ENTREGUE"/>
    <n v="5"/>
    <n v="20"/>
    <n v="30"/>
    <n v="10"/>
    <n v="65"/>
  </r>
  <r>
    <s v="LETICIA"/>
    <x v="428"/>
    <x v="201"/>
    <x v="16"/>
    <s v="HAVANNA"/>
    <x v="4"/>
    <s v="CAMISETA MALHA 100% ALGODÃO"/>
    <s v="CAMISETA"/>
    <s v="LEVE"/>
    <n v="25"/>
    <n v="36.75"/>
    <n v="918.75"/>
    <n v="0"/>
    <d v="2025-10-29T00:00:00"/>
    <n v="44"/>
    <m/>
    <s v="ENTREGUE"/>
    <n v="6.25"/>
    <n v="25"/>
    <n v="37.5"/>
    <n v="12.5"/>
    <n v="81.25"/>
  </r>
  <r>
    <s v="LETICIA"/>
    <x v="428"/>
    <x v="201"/>
    <x v="16"/>
    <s v="HAVANNA"/>
    <x v="4"/>
    <s v="CALÇA BRIM"/>
    <s v="CALÇA "/>
    <s v="PESADA"/>
    <n v="25"/>
    <n v="75"/>
    <n v="1875"/>
    <n v="0"/>
    <d v="2025-10-29T00:00:00"/>
    <n v="44"/>
    <m/>
    <s v="ENTREGUE"/>
    <n v="6.25"/>
    <n v="0"/>
    <n v="37.5"/>
    <n v="12.5"/>
    <n v="56.25"/>
  </r>
  <r>
    <s v="LETICIA"/>
    <x v="428"/>
    <x v="201"/>
    <x v="16"/>
    <s v="HAVANNA"/>
    <x v="4"/>
    <s v="FAIXA DE CABELO"/>
    <s v="FAIXA"/>
    <s v="LEVE"/>
    <n v="30"/>
    <n v="25"/>
    <n v="750"/>
    <n v="0"/>
    <d v="2025-10-29T00:00:00"/>
    <n v="44"/>
    <m/>
    <s v="ENTREGUE"/>
    <n v="7.5"/>
    <n v="30"/>
    <n v="36"/>
    <n v="15"/>
    <n v="88.5"/>
  </r>
  <r>
    <s v="LETICIA"/>
    <x v="428"/>
    <x v="201"/>
    <x v="16"/>
    <s v="HAVANNA"/>
    <x v="4"/>
    <s v="AVENTAL OXFORD MODELO PADRÃO"/>
    <s v="AVENTAL"/>
    <s v="LEVE"/>
    <n v="30"/>
    <n v="21"/>
    <n v="630"/>
    <n v="0"/>
    <d v="2025-10-29T00:00:00"/>
    <n v="44"/>
    <m/>
    <s v="ENTREGUE"/>
    <n v="7.5"/>
    <n v="15"/>
    <n v="39"/>
    <n v="15"/>
    <n v="76.5"/>
  </r>
  <r>
    <s v="RENATO"/>
    <x v="429"/>
    <x v="201"/>
    <x v="16"/>
    <s v="COSMÉTICO"/>
    <x v="216"/>
    <s v="SACOLA DE ALGODÃO"/>
    <s v="SACOLA"/>
    <s v="LEVE"/>
    <n v="100"/>
    <n v="35"/>
    <n v="3500"/>
    <n v="0"/>
    <d v="2025-10-22T00:00:00"/>
    <n v="43"/>
    <m/>
    <s v="ENTREGUE"/>
    <n v="25"/>
    <n v="70"/>
    <n v="100"/>
    <n v="100"/>
    <n v="295"/>
  </r>
  <r>
    <s v="LETICIA"/>
    <x v="430"/>
    <x v="201"/>
    <x v="16"/>
    <s v="COSMÉTICO"/>
    <x v="190"/>
    <s v="CAPA DE CORTE CETIM"/>
    <s v="CAPA"/>
    <s v="LEVE"/>
    <n v="100"/>
    <n v="16"/>
    <n v="1600"/>
    <n v="0"/>
    <d v="2025-10-28T00:00:00"/>
    <n v="44"/>
    <m/>
    <s v="ENTREGUE"/>
    <n v="25"/>
    <n v="100"/>
    <n v="150"/>
    <n v="50"/>
    <n v="325"/>
  </r>
  <r>
    <s v="LETICIA"/>
    <x v="431"/>
    <x v="202"/>
    <x v="16"/>
    <s v="COSMÉTICO"/>
    <x v="217"/>
    <s v="NECESSAIRE CRISTAL TNT LAMINADO"/>
    <s v="NECESSAIRE"/>
    <s v="PESADA"/>
    <n v="1500"/>
    <n v="7.8"/>
    <n v="11700"/>
    <n v="0"/>
    <d v="2025-10-30T00:00:00"/>
    <n v="44"/>
    <m/>
    <s v="ENTREGUE"/>
    <n v="375"/>
    <n v="1050"/>
    <n v="3750"/>
    <n v="750"/>
    <n v="5925"/>
  </r>
  <r>
    <s v="LETICIA"/>
    <x v="432"/>
    <x v="203"/>
    <x v="51"/>
    <s v="PET"/>
    <x v="1"/>
    <s v="AVENTAL NY EMBORRACHADO"/>
    <s v="AVENTAL"/>
    <s v="LEVE"/>
    <n v="300"/>
    <n v="23.5"/>
    <n v="7050"/>
    <n v="0"/>
    <d v="2025-10-31T00:00:00"/>
    <n v="44"/>
    <m/>
    <s v="ENTREGUE"/>
    <n v="75"/>
    <n v="150"/>
    <n v="390"/>
    <n v="150"/>
    <n v="765"/>
  </r>
  <r>
    <s v="LETICIA"/>
    <x v="433"/>
    <x v="204"/>
    <x v="51"/>
    <s v="PET"/>
    <x v="44"/>
    <s v="AVENTAL NY EMBORRACHADO"/>
    <s v="AVENTAL"/>
    <s v="LEVE"/>
    <n v="1000"/>
    <n v="23"/>
    <n v="23000"/>
    <n v="0"/>
    <d v="2025-10-31T00:00:00"/>
    <n v="44"/>
    <m/>
    <s v="ENTREGUE"/>
    <n v="250"/>
    <n v="500"/>
    <n v="1300"/>
    <n v="500"/>
    <n v="2550"/>
  </r>
  <r>
    <s v="LETICIA"/>
    <x v="434"/>
    <x v="205"/>
    <x v="51"/>
    <s v="COSMÉTICO"/>
    <x v="180"/>
    <s v="CAMISETA MALHA PV"/>
    <s v="CAMISETA"/>
    <s v="LEVE"/>
    <n v="200"/>
    <n v="22"/>
    <n v="4400"/>
    <n v="0"/>
    <d v="2025-11-03T00:00:00"/>
    <n v="45"/>
    <m/>
    <s v="ENTREGUE"/>
    <n v="50"/>
    <n v="200"/>
    <n v="300"/>
    <n v="100"/>
    <n v="650"/>
  </r>
  <r>
    <s v="FERNANDA"/>
    <x v="435"/>
    <x v="206"/>
    <x v="51"/>
    <s v="COSMÉTICO"/>
    <x v="218"/>
    <s v="CAMISETA MALHA PV"/>
    <s v="CAMISETA"/>
    <s v="LEVE"/>
    <n v="100"/>
    <n v="24.5"/>
    <n v="2450"/>
    <n v="0"/>
    <d v="2025-10-30T00:00:00"/>
    <n v="44"/>
    <m/>
    <s v="ENTREGUE"/>
    <n v="25"/>
    <n v="100"/>
    <n v="150"/>
    <n v="50"/>
    <n v="325"/>
  </r>
  <r>
    <s v="LETICIA"/>
    <x v="8"/>
    <x v="206"/>
    <x v="51"/>
    <s v="COSMÉTICO"/>
    <x v="0"/>
    <s v="AVENTAL OXFORD MODELO PADRÃO"/>
    <s v="AVENTAL"/>
    <s v="LEVE"/>
    <n v="1000"/>
    <n v="14"/>
    <n v="14000"/>
    <n v="0"/>
    <d v="2025-11-04T00:00:00"/>
    <n v="45"/>
    <m/>
    <s v="ENTREGUE"/>
    <n v="250"/>
    <n v="500"/>
    <n v="1300"/>
    <n v="500"/>
    <n v="2550"/>
  </r>
  <r>
    <s v="LETICIA"/>
    <x v="8"/>
    <x v="206"/>
    <x v="51"/>
    <s v="COSMÉTICO"/>
    <x v="0"/>
    <s v="KIMONO TACTEL"/>
    <s v="KIMONO"/>
    <s v="LEVE"/>
    <n v="500"/>
    <n v="24.5"/>
    <n v="12250"/>
    <n v="0"/>
    <d v="2025-11-01T00:00:00"/>
    <n v="44"/>
    <m/>
    <s v="ENTREGUE"/>
    <n v="125"/>
    <n v="750"/>
    <n v="2600"/>
    <n v="250"/>
    <n v="3725"/>
  </r>
  <r>
    <s v="LETICIA"/>
    <x v="10"/>
    <x v="206"/>
    <x v="51"/>
    <s v="COMÉRCIO"/>
    <x v="39"/>
    <s v="SACO ALGODÃO CRU 77X60"/>
    <s v="SACO"/>
    <s v="LEVE"/>
    <n v="200"/>
    <n v="16.5"/>
    <n v="3300"/>
    <n v="0"/>
    <d v="2025-11-04T00:00:00"/>
    <n v="45"/>
    <m/>
    <s v="ENTREGUE"/>
    <n v="200"/>
    <n v="120"/>
    <n v="140"/>
    <n v="200"/>
    <n v="660"/>
  </r>
  <r>
    <s v="LETICIA"/>
    <x v="10"/>
    <x v="206"/>
    <x v="51"/>
    <s v="COMÉRCIO"/>
    <x v="39"/>
    <s v="ETIQUETA LONITA"/>
    <s v="ETIQUETA "/>
    <s v="LEVE"/>
    <n v="500"/>
    <n v="2.5"/>
    <n v="1250"/>
    <n v="0"/>
    <d v="2025-11-04T00:00:00"/>
    <n v="45"/>
    <m/>
    <s v="ENTREGUE"/>
    <n v="125"/>
    <n v="250"/>
    <n v="250"/>
    <n v="250"/>
    <n v="875"/>
  </r>
  <r>
    <s v="FERNANDA"/>
    <x v="436"/>
    <x v="207"/>
    <x v="51"/>
    <s v="HAVANNA"/>
    <x v="219"/>
    <s v="AVENTAL OXFORD MODELO PADRÃO"/>
    <s v="AVENTAL"/>
    <s v="LEVE"/>
    <n v="3"/>
    <n v="25"/>
    <n v="75"/>
    <n v="0"/>
    <d v="2025-10-29T00:00:00"/>
    <n v="44"/>
    <m/>
    <s v="ENTREGUE"/>
    <n v="0.75"/>
    <n v="1.5"/>
    <n v="3.9000000000000004"/>
    <n v="1.5"/>
    <n v="7.65"/>
  </r>
  <r>
    <s v="FERNANDA"/>
    <x v="436"/>
    <x v="207"/>
    <x v="51"/>
    <s v="HAVANNA"/>
    <x v="219"/>
    <s v="BABY LOOK FEMININA MALHA 100% ALGODAO"/>
    <s v="BABY LOOK"/>
    <s v="LEVE"/>
    <n v="7"/>
    <n v="36.75"/>
    <n v="257.25"/>
    <n v="0"/>
    <d v="2025-10-29T00:00:00"/>
    <n v="44"/>
    <m/>
    <s v="ENTREGUE"/>
    <n v="1.75"/>
    <n v="7"/>
    <n v="10.5"/>
    <n v="3.5"/>
    <n v="22.75"/>
  </r>
  <r>
    <s v="FERNANDA"/>
    <x v="436"/>
    <x v="207"/>
    <x v="51"/>
    <s v="HAVANNA"/>
    <x v="219"/>
    <s v="FAIXA DE CABELO"/>
    <s v="FAIXA"/>
    <s v="LEVE"/>
    <n v="4"/>
    <n v="21"/>
    <n v="84"/>
    <n v="0"/>
    <d v="2025-10-29T00:00:00"/>
    <n v="44"/>
    <m/>
    <s v="ENTREGUE"/>
    <n v="1"/>
    <n v="4"/>
    <n v="4.8"/>
    <n v="2"/>
    <n v="11.8"/>
  </r>
  <r>
    <s v="FERNANDA"/>
    <x v="436"/>
    <x v="207"/>
    <x v="51"/>
    <s v="HAVANNA"/>
    <x v="219"/>
    <s v="CAMISETA POLO PIQUET"/>
    <s v="POLO"/>
    <s v="LEVE"/>
    <n v="2"/>
    <n v="65"/>
    <n v="130"/>
    <n v="0"/>
    <d v="2025-10-29T00:00:00"/>
    <n v="44"/>
    <m/>
    <s v="ENTREGUE"/>
    <n v="0"/>
    <n v="2"/>
    <n v="0"/>
    <n v="1"/>
    <n v="3"/>
  </r>
  <r>
    <s v="FERNANDA"/>
    <x v="437"/>
    <x v="207"/>
    <x v="51"/>
    <s v="HAVANNA"/>
    <x v="220"/>
    <s v="AVENTAL OXFORD MODELO PADRÃO"/>
    <s v="AVENTAL"/>
    <s v="LEVE"/>
    <n v="9"/>
    <n v="25"/>
    <n v="225"/>
    <n v="0"/>
    <d v="2025-11-04T00:00:00"/>
    <n v="45"/>
    <m/>
    <s v="ENTREGUE"/>
    <n v="2.25"/>
    <n v="4.5"/>
    <n v="11.700000000000001"/>
    <n v="4.5"/>
    <n v="22.950000000000003"/>
  </r>
  <r>
    <s v="FERNANDA"/>
    <x v="437"/>
    <x v="207"/>
    <x v="51"/>
    <s v="HAVANNA"/>
    <x v="220"/>
    <s v="CAMISETA MALHA 100% ALGODÃO"/>
    <s v="CAMISETA"/>
    <s v="LEVE"/>
    <n v="25"/>
    <n v="36.75"/>
    <n v="918.75"/>
    <n v="0"/>
    <d v="2025-11-04T00:00:00"/>
    <n v="45"/>
    <m/>
    <s v="ENTREGUE"/>
    <n v="6.25"/>
    <n v="25"/>
    <n v="37.5"/>
    <n v="12.5"/>
    <n v="81.25"/>
  </r>
  <r>
    <s v="FERNANDA"/>
    <x v="437"/>
    <x v="207"/>
    <x v="51"/>
    <s v="HAVANNA"/>
    <x v="220"/>
    <s v="CAMISETA POLO PIQUET"/>
    <s v="POLO"/>
    <s v="LEVE"/>
    <n v="4"/>
    <n v="65"/>
    <n v="260"/>
    <n v="0"/>
    <d v="2025-11-04T00:00:00"/>
    <n v="45"/>
    <m/>
    <s v="ENTREGUE"/>
    <n v="0"/>
    <n v="4"/>
    <n v="0"/>
    <n v="2"/>
    <n v="6"/>
  </r>
  <r>
    <s v="FERNANDA"/>
    <x v="437"/>
    <x v="207"/>
    <x v="51"/>
    <s v="HAVANNA"/>
    <x v="220"/>
    <s v="BLUSA DE MOLETOM "/>
    <s v="MOLETOM"/>
    <s v="LEVE"/>
    <n v="7"/>
    <n v="85"/>
    <n v="595"/>
    <n v="0"/>
    <d v="2025-11-04T00:00:00"/>
    <n v="45"/>
    <m/>
    <s v="ENTREGUE"/>
    <n v="1.75"/>
    <n v="10.5"/>
    <n v="10.5"/>
    <n v="3.5"/>
    <n v="26.25"/>
  </r>
  <r>
    <s v="FERNANDA"/>
    <x v="437"/>
    <x v="207"/>
    <x v="51"/>
    <s v="HAVANNA"/>
    <x v="220"/>
    <s v="FAIXA DE CABELO"/>
    <s v="FAIXA"/>
    <s v="LEVE"/>
    <n v="10"/>
    <n v="21"/>
    <n v="210"/>
    <n v="0"/>
    <d v="2025-11-04T00:00:00"/>
    <n v="45"/>
    <m/>
    <s v="ENTREGUE"/>
    <n v="2.5"/>
    <n v="10"/>
    <n v="12"/>
    <n v="5"/>
    <n v="29.5"/>
  </r>
  <r>
    <s v="LETICIA"/>
    <x v="438"/>
    <x v="207"/>
    <x v="51"/>
    <s v="COSMÉTICO"/>
    <x v="0"/>
    <s v="CAMISETA MALHA PV"/>
    <s v="CAMISETA"/>
    <s v="LEVE"/>
    <n v="99"/>
    <n v="24.5"/>
    <n v="2425.5"/>
    <n v="0"/>
    <d v="2025-10-29T00:00:00"/>
    <n v="44"/>
    <m/>
    <s v="ENTREGUE"/>
    <n v="24.75"/>
    <n v="99"/>
    <n v="148.5"/>
    <n v="49.5"/>
    <n v="321.75"/>
  </r>
  <r>
    <s v="LETICIA"/>
    <x v="439"/>
    <x v="208"/>
    <x v="51"/>
    <s v="COSMÉTICO"/>
    <x v="221"/>
    <s v="NECESSAIRE MALETA MAKE"/>
    <s v="NECESSAIRE"/>
    <s v="PESADA"/>
    <n v="100"/>
    <n v="19.5"/>
    <n v="1950"/>
    <n v="0"/>
    <d v="2025-11-05T00:00:00"/>
    <n v="45"/>
    <m/>
    <s v="ENTREGUE"/>
    <n v="25"/>
    <n v="150"/>
    <n v="150"/>
    <n v="50"/>
    <n v="375"/>
  </r>
  <r>
    <s v="LETICIA"/>
    <x v="439"/>
    <x v="208"/>
    <x v="51"/>
    <s v="COSMÉTICO"/>
    <x v="221"/>
    <s v="NECESSAIRE MALETA MAKE"/>
    <s v="NECESSAIRE"/>
    <s v="PESADA"/>
    <n v="100"/>
    <n v="17.5"/>
    <n v="1750"/>
    <n v="0"/>
    <d v="2025-11-05T00:00:00"/>
    <n v="45"/>
    <m/>
    <s v="ENTREGUE"/>
    <n v="25"/>
    <n v="150"/>
    <n v="150"/>
    <n v="50"/>
    <n v="375"/>
  </r>
  <r>
    <s v="LETICIA"/>
    <x v="440"/>
    <x v="208"/>
    <x v="51"/>
    <s v="COSMÉTICO"/>
    <x v="222"/>
    <s v="AVENTAL NY EMBORRACHADO"/>
    <s v="AVENTAL"/>
    <s v="LEVE"/>
    <n v="100"/>
    <n v="23.5"/>
    <n v="2350"/>
    <n v="0"/>
    <d v="2025-10-30T00:00:00"/>
    <n v="44"/>
    <m/>
    <s v="ENTREGUE"/>
    <n v="25"/>
    <n v="50"/>
    <n v="130"/>
    <n v="50"/>
    <n v="255"/>
  </r>
  <r>
    <s v="LETICIA"/>
    <x v="441"/>
    <x v="208"/>
    <x v="51"/>
    <s v="COSMÉTICO"/>
    <x v="223"/>
    <s v="TOUCA PARA CABELO COM TULE"/>
    <s v="TOUCA "/>
    <s v="LEVE"/>
    <n v="100"/>
    <n v="11"/>
    <n v="1100"/>
    <n v="0"/>
    <d v="2025-11-06T00:00:00"/>
    <n v="45"/>
    <m/>
    <s v="ENTREGUE"/>
    <n v="25"/>
    <n v="60"/>
    <n v="187"/>
    <n v="50"/>
    <n v="322"/>
  </r>
  <r>
    <s v="LETICIA"/>
    <x v="12"/>
    <x v="208"/>
    <x v="51"/>
    <s v="COSMÉTICO"/>
    <x v="94"/>
    <s v="AVENTAL NY 210"/>
    <s v="AVENTAL"/>
    <s v="LEVE"/>
    <n v="300"/>
    <n v="19.5"/>
    <n v="5850"/>
    <n v="0"/>
    <d v="2025-11-05T00:00:00"/>
    <n v="45"/>
    <m/>
    <s v="ENTREGUE"/>
    <n v="75"/>
    <n v="150"/>
    <n v="390"/>
    <n v="150"/>
    <n v="765"/>
  </r>
  <r>
    <s v="LETICIA"/>
    <x v="12"/>
    <x v="208"/>
    <x v="51"/>
    <s v="COSMÉTICO"/>
    <x v="94"/>
    <s v="CAPA DE CORTE IMPERMEAVEL"/>
    <s v="CAPA"/>
    <s v="LEVE"/>
    <n v="300"/>
    <n v="26.5"/>
    <n v="7950"/>
    <n v="0"/>
    <d v="2025-11-05T00:00:00"/>
    <n v="45"/>
    <m/>
    <s v="ENTREGUE"/>
    <n v="75"/>
    <n v="300"/>
    <n v="450"/>
    <n v="150"/>
    <n v="975"/>
  </r>
  <r>
    <s v="FERNANDA"/>
    <x v="442"/>
    <x v="208"/>
    <x v="51"/>
    <s v="COSMÉTICO"/>
    <x v="224"/>
    <s v="NECESSAIRE NY PLASTIFICADO"/>
    <s v="NECESSAIRE"/>
    <s v="PESADA"/>
    <n v="100"/>
    <n v="14.2"/>
    <n v="1420"/>
    <n v="0"/>
    <d v="2025-11-05T00:00:00"/>
    <n v="45"/>
    <m/>
    <s v="ENTREGUE"/>
    <n v="25"/>
    <n v="70"/>
    <n v="250"/>
    <n v="50"/>
    <n v="395"/>
  </r>
  <r>
    <s v="FERNANDA"/>
    <x v="443"/>
    <x v="209"/>
    <x v="17"/>
    <s v="HAVANNA"/>
    <x v="10"/>
    <s v="CAMISETA POLO PIQUET"/>
    <s v="POLO"/>
    <s v="LEVE"/>
    <n v="1"/>
    <n v="65"/>
    <n v="65"/>
    <n v="0"/>
    <d v="2025-11-07T00:00:00"/>
    <n v="45"/>
    <m/>
    <s v="ENTREGUE"/>
    <n v="0.25"/>
    <m/>
    <m/>
    <n v="0.5"/>
    <m/>
  </r>
  <r>
    <s v="FERNANDA"/>
    <x v="443"/>
    <x v="209"/>
    <x v="17"/>
    <s v="HAVANNA"/>
    <x v="10"/>
    <s v="CAMISETA MALHA 100% ALGODÃO"/>
    <s v="CAMISETA"/>
    <s v="LEVE "/>
    <n v="5"/>
    <n v="36.75"/>
    <n v="183.75"/>
    <n v="0"/>
    <d v="2025-11-07T00:00:00"/>
    <n v="45"/>
    <m/>
    <s v="ENTREGUE"/>
    <n v="1.25"/>
    <m/>
    <m/>
    <n v="2.5"/>
    <m/>
  </r>
  <r>
    <s v="FERNANDA"/>
    <x v="443"/>
    <x v="209"/>
    <x v="17"/>
    <s v="HAVANNA"/>
    <x v="10"/>
    <s v="BABY LOOK FEMININA MALHA 100% ALGODAO"/>
    <s v="BABY LOOK"/>
    <s v="LEVE"/>
    <n v="12"/>
    <n v="36.75"/>
    <n v="441"/>
    <n v="0"/>
    <d v="2025-11-07T00:00:00"/>
    <n v="45"/>
    <m/>
    <s v="ENTREGUE"/>
    <n v="3"/>
    <m/>
    <m/>
    <n v="6"/>
    <m/>
  </r>
  <r>
    <s v="FERNANDA"/>
    <x v="444"/>
    <x v="209"/>
    <x v="17"/>
    <s v="COSMÉTICO"/>
    <x v="225"/>
    <s v="AVENTAL OXFORD MODELO PADRÃO"/>
    <s v="AVENTAL"/>
    <s v="LEVE"/>
    <n v="100"/>
    <n v="12.99"/>
    <n v="1299"/>
    <n v="0"/>
    <d v="2025-11-07T00:00:00"/>
    <n v="45"/>
    <m/>
    <s v="ENTREGUE"/>
    <n v="25"/>
    <n v="50"/>
    <n v="130"/>
    <n v="50"/>
    <n v="255"/>
  </r>
  <r>
    <s v="LETICIA"/>
    <x v="445"/>
    <x v="209"/>
    <x v="17"/>
    <s v="PET"/>
    <x v="226"/>
    <s v="AVENTAL NY EMBORRACHADO"/>
    <s v="AVENTAL"/>
    <s v="LEVE"/>
    <n v="10"/>
    <n v="45"/>
    <n v="450"/>
    <n v="0"/>
    <d v="2025-10-15T00:00:00"/>
    <n v="42"/>
    <m/>
    <s v="ENTREGUE"/>
    <n v="2.5"/>
    <m/>
    <m/>
    <n v="5"/>
    <m/>
  </r>
  <r>
    <s v="LETICIA"/>
    <x v="9"/>
    <x v="210"/>
    <x v="17"/>
    <s v="PET"/>
    <x v="44"/>
    <s v="CAMISETA MALHA PV"/>
    <s v="CAMISETA"/>
    <s v="LEVE"/>
    <n v="10"/>
    <n v="35"/>
    <n v="350"/>
    <n v="0"/>
    <d v="2025-10-20T00:00:00"/>
    <n v="43"/>
    <m/>
    <s v="ENTREGUE"/>
    <n v="2.5"/>
    <n v="15"/>
    <n v="15"/>
    <n v="5"/>
    <n v="37.5"/>
  </r>
  <r>
    <s v="LETICIA"/>
    <x v="446"/>
    <x v="210"/>
    <x v="17"/>
    <s v="COMÉRCIO"/>
    <x v="40"/>
    <s v="NECESSAIRE NY PLASTIFICADO"/>
    <s v="NECESSAIRE"/>
    <s v="PESADA"/>
    <n v="300"/>
    <n v="23"/>
    <n v="6900"/>
    <n v="0"/>
    <d v="2025-11-10T00:00:00"/>
    <n v="46"/>
    <m/>
    <s v="ENTREGUE"/>
    <n v="75"/>
    <m/>
    <m/>
    <n v="150"/>
    <m/>
  </r>
  <r>
    <s v="LETICIA"/>
    <x v="447"/>
    <x v="210"/>
    <x v="17"/>
    <s v="COMÉRCIO"/>
    <x v="40"/>
    <s v="NECESSAIRE NY PLASTIFICADO"/>
    <s v="NECESSAIRE"/>
    <s v="PESADA"/>
    <n v="300"/>
    <n v="23"/>
    <n v="6900"/>
    <n v="0"/>
    <d v="2025-12-10T00:00:00"/>
    <n v="50"/>
    <m/>
    <s v="ENTREGUE"/>
    <n v="75"/>
    <n v="180"/>
    <n v="450"/>
    <n v="150"/>
    <n v="855"/>
  </r>
  <r>
    <s v="LETICIA"/>
    <x v="448"/>
    <x v="211"/>
    <x v="17"/>
    <s v="COSMÉTICO"/>
    <x v="151"/>
    <s v="CAPA DE CORTE IMPERMEAVEL"/>
    <s v="CAPA"/>
    <s v="LEVE"/>
    <n v="600"/>
    <n v="26.5"/>
    <n v="15900"/>
    <n v="0"/>
    <d v="2025-11-13T00:00:00"/>
    <n v="46"/>
    <m/>
    <s v="ENTREGUE"/>
    <n v="150"/>
    <n v="420"/>
    <n v="900"/>
    <n v="300"/>
    <n v="1770"/>
  </r>
  <r>
    <s v="LETICIA"/>
    <x v="448"/>
    <x v="211"/>
    <x v="17"/>
    <s v="COSMÉTICO"/>
    <x v="151"/>
    <s v="AVENTAL NY EMBORRACHADO"/>
    <s v="AVENTAL"/>
    <s v="LEVE"/>
    <n v="600"/>
    <n v="24.5"/>
    <n v="14700"/>
    <n v="0"/>
    <d v="2025-11-13T00:00:00"/>
    <n v="46"/>
    <m/>
    <s v="ENTREGUE"/>
    <n v="150"/>
    <n v="900"/>
    <n v="900"/>
    <n v="300"/>
    <n v="2250"/>
  </r>
  <r>
    <s v="LETICIA"/>
    <x v="449"/>
    <x v="212"/>
    <x v="17"/>
    <s v="COSMÉTICO"/>
    <x v="37"/>
    <s v="AVENTAL NY 210"/>
    <s v="AVENTAL"/>
    <s v="LEVE"/>
    <n v="100"/>
    <n v="19.5"/>
    <n v="1950"/>
    <n v="0"/>
    <d v="2025-11-14T00:00:00"/>
    <n v="46"/>
    <m/>
    <s v="ENTREGUE"/>
    <n v="25"/>
    <n v="150"/>
    <n v="150"/>
    <n v="50"/>
    <n v="375"/>
  </r>
  <r>
    <s v="LETICIA"/>
    <x v="449"/>
    <x v="212"/>
    <x v="17"/>
    <s v="COSMÉTICO"/>
    <x v="37"/>
    <s v="CAPA DE CORTE CETIM"/>
    <s v="CAPA"/>
    <s v="LEVE"/>
    <n v="50"/>
    <n v="17"/>
    <n v="850"/>
    <n v="0"/>
    <d v="2025-11-14T00:00:00"/>
    <n v="46"/>
    <m/>
    <s v="ENTREGUE"/>
    <n v="12.5"/>
    <n v="75"/>
    <n v="75"/>
    <n v="25"/>
    <n v="187.5"/>
  </r>
  <r>
    <s v="SANDY"/>
    <x v="450"/>
    <x v="212"/>
    <x v="17"/>
    <s v=" PET"/>
    <x v="227"/>
    <s v="AVENTAL NY EMBORRACHADO"/>
    <s v="AVENTAL"/>
    <s v="LEVE"/>
    <n v="100"/>
    <n v="25"/>
    <n v="2500"/>
    <n v="0"/>
    <d v="2025-11-14T00:00:00"/>
    <n v="46"/>
    <m/>
    <s v="ENTREGUE"/>
    <n v="25"/>
    <n v="150"/>
    <n v="150"/>
    <n v="50"/>
    <n v="375"/>
  </r>
  <r>
    <s v="SANDY"/>
    <x v="451"/>
    <x v="212"/>
    <x v="17"/>
    <s v="COSMÉTICO"/>
    <x v="228"/>
    <s v="NECESSAIRE MALETA MAKE"/>
    <s v="NECESSAIRE"/>
    <s v="PESADA"/>
    <n v="100"/>
    <n v="14.99"/>
    <n v="1499"/>
    <n v="0"/>
    <d v="2025-10-30T00:00:00"/>
    <n v="44"/>
    <m/>
    <s v="ENTREGUE"/>
    <n v="25"/>
    <n v="150"/>
    <n v="150"/>
    <n v="50"/>
    <n v="375"/>
  </r>
  <r>
    <s v="LETICIA"/>
    <x v="452"/>
    <x v="213"/>
    <x v="18"/>
    <s v="COMÉRCIO"/>
    <x v="229"/>
    <s v="SACOLA LONITA"/>
    <s v="SACOLA"/>
    <s v="LEVE"/>
    <n v="200"/>
    <n v="13.5"/>
    <n v="2700"/>
    <n v="0"/>
    <d v="2025-10-14T00:00:00"/>
    <n v="42"/>
    <m/>
    <s v="ENTREGUE"/>
    <n v="50"/>
    <n v="300"/>
    <n v="300"/>
    <n v="100"/>
    <n v="750"/>
  </r>
  <r>
    <s v="LETICIA"/>
    <x v="453"/>
    <x v="213"/>
    <x v="18"/>
    <s v="COMÉRCIO"/>
    <x v="230"/>
    <s v="CAMISETA POLO PIQUET"/>
    <s v="CAMISETA"/>
    <s v="LEVE"/>
    <n v="17"/>
    <n v="55"/>
    <n v="1045"/>
    <n v="0"/>
    <d v="2025-11-17T00:00:00"/>
    <n v="47"/>
    <m/>
    <s v="ENTREGUE"/>
    <n v="4.25"/>
    <n v="25.5"/>
    <n v="25.5"/>
    <n v="8.5"/>
    <n v="63.75"/>
  </r>
  <r>
    <s v="LETICIA"/>
    <x v="453"/>
    <x v="213"/>
    <x v="18"/>
    <s v="COMÉRCIO"/>
    <x v="230"/>
    <s v="CAMISETA MALHA PV"/>
    <s v="POLO"/>
    <s v="LEVE"/>
    <n v="22"/>
    <n v="35"/>
    <n v="2975"/>
    <n v="0"/>
    <d v="2025-11-17T00:00:00"/>
    <n v="47"/>
    <m/>
    <s v="ENTREGUE"/>
    <n v="5.5"/>
    <n v="33"/>
    <n v="33"/>
    <n v="11"/>
    <n v="82.5"/>
  </r>
  <r>
    <s v="LETICIA"/>
    <x v="454"/>
    <x v="213"/>
    <x v="18"/>
    <s v="COSMÉTICO"/>
    <x v="37"/>
    <s v="KIMONO CETIM"/>
    <s v="KIMONO"/>
    <s v="PESADA"/>
    <n v="150"/>
    <n v="28"/>
    <n v="4200"/>
    <n v="0"/>
    <d v="2025-11-14T00:00:00"/>
    <n v="46"/>
    <m/>
    <s v="ENTREGUE"/>
    <n v="37.5"/>
    <n v="225"/>
    <n v="450"/>
    <n v="75"/>
    <n v="787.5"/>
  </r>
  <r>
    <s v="SANDY"/>
    <x v="455"/>
    <x v="214"/>
    <x v="18"/>
    <s v="COMÉRCIO"/>
    <x v="231"/>
    <s v="CAMISETA MALHA PV"/>
    <s v="CAMISETA"/>
    <s v="LEVE"/>
    <n v="50"/>
    <n v="35"/>
    <n v="1750"/>
    <n v="0"/>
    <d v="2025-11-20T00:00:00"/>
    <n v="47"/>
    <m/>
    <s v="ENTREGUE"/>
    <n v="12.5"/>
    <n v="75"/>
    <n v="75"/>
    <n v="25"/>
    <n v="187.5"/>
  </r>
  <r>
    <s v="SANDY"/>
    <x v="455"/>
    <x v="214"/>
    <x v="18"/>
    <s v="COMÉRCIO"/>
    <x v="231"/>
    <s v="CAPA DE CORTE TACTEL 1,40X1,50"/>
    <s v="CAPA"/>
    <s v="LEVE"/>
    <n v="6"/>
    <n v="35"/>
    <n v="210"/>
    <n v="0"/>
    <d v="2025-11-20T00:00:00"/>
    <n v="47"/>
    <m/>
    <s v="ENTREGUE"/>
    <n v="1.5"/>
    <n v="9"/>
    <n v="9"/>
    <n v="3"/>
    <n v="22.5"/>
  </r>
  <r>
    <s v="SANDY"/>
    <x v="455"/>
    <x v="214"/>
    <x v="18"/>
    <s v="COMÉRCIO"/>
    <x v="231"/>
    <s v="AVENTAL OXFORD MODELO PADRÃO"/>
    <s v="AVENTAL"/>
    <s v="LEVE"/>
    <n v="10"/>
    <n v="25"/>
    <n v="250"/>
    <n v="0"/>
    <d v="2025-11-20T00:00:00"/>
    <n v="47"/>
    <m/>
    <s v="ENTREGUE"/>
    <n v="2.5"/>
    <n v="7"/>
    <n v="18.400000000000002"/>
    <n v="5"/>
    <n v="32.900000000000006"/>
  </r>
  <r>
    <s v="LETICIA"/>
    <x v="456"/>
    <x v="214"/>
    <x v="18"/>
    <s v="COMÉRCIO"/>
    <x v="229"/>
    <s v="SACOLA DE ALGODÃO"/>
    <s v="SACOLA"/>
    <s v="LEVE"/>
    <n v="200"/>
    <n v="11.9"/>
    <n v="2380"/>
    <n v="0"/>
    <d v="2025-11-17T00:00:00"/>
    <n v="47"/>
    <m/>
    <s v="ENTREGUE"/>
    <n v="50"/>
    <n v="300"/>
    <n v="300"/>
    <n v="100"/>
    <n v="750"/>
  </r>
  <r>
    <s v="LETICIA"/>
    <x v="457"/>
    <x v="215"/>
    <x v="18"/>
    <s v="COSMÉTICO"/>
    <x v="131"/>
    <s v="CAPA DE CORTE CETIM 0,85X1,40"/>
    <s v="CAPA"/>
    <s v="LEVE"/>
    <n v="100"/>
    <n v="20"/>
    <n v="2000"/>
    <n v="0"/>
    <d v="2025-11-25T00:00:00"/>
    <n v="48"/>
    <m/>
    <s v="ENTREGUE"/>
    <n v="25"/>
    <n v="150"/>
    <n v="150"/>
    <n v="50"/>
    <n v="375"/>
  </r>
  <r>
    <s v="LETICIA"/>
    <x v="457"/>
    <x v="215"/>
    <x v="18"/>
    <s v="COSMÉTICO"/>
    <x v="131"/>
    <s v="AVENTAL OXFORD MODELO PADRÃO"/>
    <s v="AVENTAL"/>
    <s v="LEVE"/>
    <n v="100"/>
    <n v="16"/>
    <n v="1600"/>
    <n v="0"/>
    <d v="2025-11-25T00:00:00"/>
    <n v="48"/>
    <m/>
    <s v="ENTREGUE"/>
    <n v="25"/>
    <n v="70"/>
    <n v="184"/>
    <n v="50"/>
    <n v="329"/>
  </r>
  <r>
    <s v="LETICIA"/>
    <x v="458"/>
    <x v="216"/>
    <x v="18"/>
    <s v="PET"/>
    <x v="1"/>
    <s v="AVENTAL NYLON EMBORRACHADO"/>
    <s v="AVENTAL"/>
    <s v="LEVE "/>
    <n v="2500"/>
    <n v="23.5"/>
    <n v="58750"/>
    <n v="0"/>
    <d v="2025-12-10T00:00:00"/>
    <n v="50"/>
    <m/>
    <s v="ENTREGUE"/>
    <n v="625"/>
    <n v="2500"/>
    <n v="4600"/>
    <n v="1250"/>
    <n v="8975"/>
  </r>
  <r>
    <s v="LETICIA"/>
    <x v="459"/>
    <x v="216"/>
    <x v="18"/>
    <s v="PET"/>
    <x v="41"/>
    <s v="AVENTAL NY EMBORRACHADO"/>
    <s v="AVENTAL"/>
    <s v="LEVE"/>
    <n v="250"/>
    <n v="23.5"/>
    <n v="5875"/>
    <n v="0"/>
    <d v="2025-11-17T00:00:00"/>
    <n v="47"/>
    <m/>
    <s v="ENTREGUE"/>
    <n v="62.5"/>
    <n v="250"/>
    <n v="460"/>
    <n v="125"/>
    <n v="897.5"/>
  </r>
  <r>
    <s v="LETICIA"/>
    <x v="460"/>
    <x v="216"/>
    <x v="18"/>
    <s v="COMÉRCIO"/>
    <x v="232"/>
    <s v="SACOLA POLIESTER 30X30X10"/>
    <s v="SACOLA"/>
    <s v="PESADA"/>
    <n v="55"/>
    <n v="17.5"/>
    <n v="962.5"/>
    <n v="0"/>
    <d v="2025-11-26T00:00:00"/>
    <n v="48"/>
    <m/>
    <s v="ENTREGUE"/>
    <n v="13.75"/>
    <n v="82.5"/>
    <n v="82.5"/>
    <n v="27.5"/>
    <n v="206.25"/>
  </r>
  <r>
    <s v="LETICIA"/>
    <x v="461"/>
    <x v="216"/>
    <x v="18"/>
    <s v="PET"/>
    <x v="50"/>
    <s v="JALECO GROOMER"/>
    <s v="JALECO"/>
    <s v="LEVE"/>
    <n v="200"/>
    <n v="50"/>
    <n v="10000"/>
    <n v="0"/>
    <d v="2025-12-04T00:00:00"/>
    <n v="49"/>
    <m/>
    <s v="ENTREGUE"/>
    <n v="50"/>
    <n v="2169"/>
    <n v="1084.5"/>
    <n v="361.5"/>
    <n v="3665"/>
  </r>
  <r>
    <s v="LETICIA"/>
    <x v="462"/>
    <x v="217"/>
    <x v="18"/>
    <s v="COSMÉTICO"/>
    <x v="233"/>
    <s v="CAMISETA MALHA PV"/>
    <s v="CAMISETA"/>
    <s v="LEVE"/>
    <n v="50"/>
    <n v="22.5"/>
    <n v="1125"/>
    <n v="0"/>
    <d v="2025-11-17T00:00:00"/>
    <n v="47"/>
    <m/>
    <s v="ENTREGUE"/>
    <n v="12.5"/>
    <n v="75"/>
    <n v="75"/>
    <n v="25"/>
    <n v="187.5"/>
  </r>
  <r>
    <s v="LETICIA"/>
    <x v="462"/>
    <x v="217"/>
    <x v="18"/>
    <s v="COSMÉTICO"/>
    <x v="233"/>
    <s v="CAPADE CORTE CETIM DOURADA 0,85X1,40"/>
    <s v="CAPA"/>
    <s v="LEVE "/>
    <n v="50"/>
    <n v="17"/>
    <n v="850"/>
    <n v="0"/>
    <d v="2025-11-17T00:00:00"/>
    <n v="47"/>
    <m/>
    <s v="ENTREGUE"/>
    <n v="12.5"/>
    <n v="75"/>
    <n v="75"/>
    <n v="25"/>
    <n v="187.5"/>
  </r>
  <r>
    <s v="LETICIA"/>
    <x v="463"/>
    <x v="217"/>
    <x v="18"/>
    <s v="COMÉRCIO"/>
    <x v="168"/>
    <s v="CAMISETA MALHA 100% ALGODÃO"/>
    <s v="CAMISETA"/>
    <s v="LEVE "/>
    <n v="40"/>
    <n v="45"/>
    <n v="1800"/>
    <n v="0"/>
    <d v="2025-11-18T00:00:00"/>
    <n v="47"/>
    <m/>
    <s v="ENTREGUE"/>
    <n v="10"/>
    <n v="60"/>
    <n v="60"/>
    <n v="20"/>
    <n v="150"/>
  </r>
  <r>
    <s v="LETICIA"/>
    <x v="464"/>
    <x v="217"/>
    <x v="18"/>
    <s v="COSMÉTICO"/>
    <x v="200"/>
    <s v="AVENTAL OXFORD MODELO PADRÃO"/>
    <s v="AVENTAL"/>
    <s v="LEVE"/>
    <n v="100"/>
    <n v="18"/>
    <n v="1800"/>
    <n v="0"/>
    <d v="2025-11-25T00:00:00"/>
    <n v="48"/>
    <m/>
    <s v="ENTREGUE"/>
    <n v="25"/>
    <n v="70"/>
    <n v="184"/>
    <n v="50"/>
    <n v="329"/>
  </r>
  <r>
    <s v="AMANDA"/>
    <x v="465"/>
    <x v="218"/>
    <x v="19"/>
    <s v="COSMÉTICO"/>
    <x v="234"/>
    <s v="AVENTAL NY 210"/>
    <s v="AVENTAL"/>
    <s v="LEVE"/>
    <n v="500"/>
    <n v="14.99"/>
    <n v="7495"/>
    <n v="0"/>
    <d v="2025-11-28T00:00:00"/>
    <n v="48"/>
    <m/>
    <s v="ENTREGUE"/>
    <n v="125"/>
    <n v="750"/>
    <n v="750"/>
    <n v="250"/>
    <n v="1875"/>
  </r>
  <r>
    <s v="FERNANDA"/>
    <x v="466"/>
    <x v="218"/>
    <x v="19"/>
    <s v="HAVANNA"/>
    <x v="10"/>
    <s v="FAIXA DE CABELO"/>
    <s v="FAIXA"/>
    <s v="LEVE"/>
    <n v="6"/>
    <n v="21"/>
    <n v="126"/>
    <n v="0"/>
    <d v="2025-11-28T00:00:00"/>
    <n v="48"/>
    <m/>
    <s v="ENTREGUE"/>
    <n v="1.5"/>
    <n v="6"/>
    <n v="7.1999999999999993"/>
    <n v="3"/>
    <n v="17.7"/>
  </r>
  <r>
    <s v="FERNANDA"/>
    <x v="466"/>
    <x v="218"/>
    <x v="19"/>
    <s v="HAVANNA"/>
    <x v="10"/>
    <s v="AVENTAL OXFORD MODELO PADRÃO"/>
    <s v="AVENTAL"/>
    <s v="LEVE"/>
    <n v="6"/>
    <n v="25"/>
    <n v="150"/>
    <n v="0"/>
    <d v="2025-11-28T00:00:00"/>
    <n v="48"/>
    <m/>
    <s v="ENTREGUE"/>
    <n v="1.5"/>
    <n v="4.1999999999999993"/>
    <n v="11.040000000000001"/>
    <n v="3"/>
    <n v="19.740000000000002"/>
  </r>
  <r>
    <s v="FERNANDA"/>
    <x v="466"/>
    <x v="218"/>
    <x v="19"/>
    <s v="HAVANNA"/>
    <x v="10"/>
    <s v="BABY LOOK FEMININA MALHA 100% ALGODAO"/>
    <s v="BABY LOOK"/>
    <s v="LEVE"/>
    <n v="10"/>
    <n v="36.75"/>
    <n v="367.5"/>
    <n v="0"/>
    <d v="2025-11-28T00:00:00"/>
    <n v="48"/>
    <m/>
    <s v="ENTREGUE"/>
    <n v="2.5"/>
    <n v="15"/>
    <n v="15"/>
    <n v="5"/>
    <n v="37.5"/>
  </r>
  <r>
    <s v="FERNANDA"/>
    <x v="466"/>
    <x v="218"/>
    <x v="19"/>
    <s v="HAVANNA"/>
    <x v="10"/>
    <s v="CAMISETA 100% ALGODÃO"/>
    <s v="CAMISETA"/>
    <s v="LEVE"/>
    <n v="4"/>
    <n v="36.75"/>
    <n v="147"/>
    <n v="0"/>
    <d v="2025-11-28T00:00:00"/>
    <n v="48"/>
    <m/>
    <s v="ENTREGUE"/>
    <n v="1"/>
    <n v="6"/>
    <n v="6"/>
    <n v="2"/>
    <n v="15"/>
  </r>
  <r>
    <s v="FERNANDA"/>
    <x v="466"/>
    <x v="218"/>
    <x v="19"/>
    <s v="HAVANNA"/>
    <x v="10"/>
    <s v="CAMISETA POLO PIQUET"/>
    <s v="POLO"/>
    <s v="LEVE"/>
    <n v="2"/>
    <n v="65"/>
    <n v="130"/>
    <n v="0"/>
    <d v="2025-11-28T00:00:00"/>
    <n v="48"/>
    <m/>
    <s v="ENTREGUE"/>
    <n v="0.5"/>
    <n v="3"/>
    <n v="3"/>
    <n v="1"/>
    <n v="7.5"/>
  </r>
  <r>
    <s v="FERNANDA"/>
    <x v="467"/>
    <x v="218"/>
    <x v="19"/>
    <s v="HAVANNA"/>
    <x v="10"/>
    <s v="FAIXA DE CABELO"/>
    <s v="FAIXA"/>
    <s v="LEVE"/>
    <n v="4"/>
    <n v="21"/>
    <n v="84"/>
    <n v="0"/>
    <d v="2025-11-28T00:00:00"/>
    <n v="48"/>
    <m/>
    <s v="ENTREGUE"/>
    <n v="1"/>
    <n v="4"/>
    <n v="4.8"/>
    <n v="2"/>
    <n v="11.8"/>
  </r>
  <r>
    <s v="FERNANDA"/>
    <x v="467"/>
    <x v="218"/>
    <x v="19"/>
    <s v="HAVANNA"/>
    <x v="10"/>
    <s v="AVENTAL OXFORD MODELO PADRÃO"/>
    <s v="AVENTAL"/>
    <s v="LEVE"/>
    <n v="8"/>
    <n v="25"/>
    <n v="200"/>
    <n v="0"/>
    <d v="2025-11-28T00:00:00"/>
    <n v="48"/>
    <m/>
    <s v="ENTREGUE"/>
    <n v="2"/>
    <n v="8"/>
    <n v="14.72"/>
    <n v="4"/>
    <n v="28.72"/>
  </r>
  <r>
    <s v="FERNANDA"/>
    <x v="467"/>
    <x v="218"/>
    <x v="19"/>
    <s v="HAVANNA"/>
    <x v="10"/>
    <s v="CAMISETA 100% ALGODÃO"/>
    <s v="CAMISETA"/>
    <s v="LEVE"/>
    <n v="8"/>
    <n v="36.75"/>
    <n v="294"/>
    <n v="0"/>
    <d v="2025-11-28T00:00:00"/>
    <n v="48"/>
    <m/>
    <s v="ENTREGUE"/>
    <n v="2"/>
    <n v="12"/>
    <n v="12"/>
    <n v="4"/>
    <n v="30"/>
  </r>
  <r>
    <s v="FERNANDA"/>
    <x v="467"/>
    <x v="218"/>
    <x v="19"/>
    <s v="HAVANNA"/>
    <x v="10"/>
    <s v="BABY LOOK FEMININA MALHA 100% ALGODAO"/>
    <s v="BABY LOOK"/>
    <s v="LEVE"/>
    <n v="6"/>
    <n v="36.75"/>
    <n v="220.5"/>
    <n v="0"/>
    <d v="2025-11-28T00:00:00"/>
    <n v="48"/>
    <m/>
    <s v="ENTREGUE"/>
    <n v="1.5"/>
    <n v="9"/>
    <n v="9"/>
    <n v="3"/>
    <n v="22.5"/>
  </r>
  <r>
    <s v="FERNANDA"/>
    <x v="467"/>
    <x v="218"/>
    <x v="19"/>
    <s v="HAVANNA"/>
    <x v="10"/>
    <s v="CAMISETA POLO PIQUET"/>
    <s v="POLO"/>
    <s v="LEVE"/>
    <n v="2"/>
    <n v="65"/>
    <n v="130"/>
    <n v="0"/>
    <d v="2025-11-28T00:00:00"/>
    <n v="48"/>
    <m/>
    <s v="ENTREGUE"/>
    <n v="0.5"/>
    <n v="3"/>
    <n v="3"/>
    <n v="1"/>
    <n v="7.5"/>
  </r>
  <r>
    <s v="FERNANDA"/>
    <x v="468"/>
    <x v="218"/>
    <x v="19"/>
    <s v="COSMÉTICO"/>
    <x v="235"/>
    <s v="AVENTAL BARBEIRO COURO SINTETICO "/>
    <s v="AVENTAL"/>
    <s v="PESADA"/>
    <n v="100"/>
    <n v="67"/>
    <n v="6700"/>
    <n v="0"/>
    <d v="2025-11-28T00:00:00"/>
    <n v="48"/>
    <m/>
    <s v="ENTREGUE"/>
    <n v="25"/>
    <n v="100"/>
    <n v="300"/>
    <n v="100"/>
    <n v="525"/>
  </r>
  <r>
    <s v="AMANDA"/>
    <x v="469"/>
    <x v="219"/>
    <x v="19"/>
    <s v="COSMÉTICO"/>
    <x v="236"/>
    <s v="NECESSAIRE MALETA MAKE"/>
    <s v="NECESSAIRE"/>
    <s v="PESADA"/>
    <n v="2000"/>
    <n v="15"/>
    <n v="30000"/>
    <n v="0"/>
    <d v="2025-11-15T00:00:00"/>
    <n v="46"/>
    <m/>
    <s v="ENTREGUE"/>
    <n v="500"/>
    <n v="502.5"/>
    <n v="3000"/>
    <n v="1000"/>
    <n v="5002.5"/>
  </r>
  <r>
    <s v="LETICIA"/>
    <x v="470"/>
    <x v="219"/>
    <x v="19"/>
    <s v="COSMÉTICO"/>
    <x v="189"/>
    <s v="BABY LOOK MALHA PV"/>
    <s v="BABY LOOK"/>
    <s v="LEVE"/>
    <n v="9"/>
    <n v="45"/>
    <n v="405"/>
    <n v="0"/>
    <d v="2025-10-31T00:00:00"/>
    <n v="44"/>
    <m/>
    <s v="ENTREGUE"/>
    <n v="2.25"/>
    <n v="13.5"/>
    <n v="13.5"/>
    <n v="4.5"/>
    <n v="33.75"/>
  </r>
  <r>
    <s v="LETICIA"/>
    <x v="470"/>
    <x v="219"/>
    <x v="19"/>
    <s v="COSMÉTICO"/>
    <x v="189"/>
    <s v="CAMISETA MALHA PV"/>
    <s v="CAMISETA"/>
    <s v="LEVE"/>
    <n v="5"/>
    <n v="45"/>
    <n v="225"/>
    <n v="0"/>
    <d v="2025-10-31T00:00:00"/>
    <n v="44"/>
    <m/>
    <s v="ENTREGUE"/>
    <n v="1.25"/>
    <n v="7.5"/>
    <n v="7.5"/>
    <n v="2.5"/>
    <n v="18.75"/>
  </r>
  <r>
    <s v="LETICIA"/>
    <x v="471"/>
    <x v="220"/>
    <x v="19"/>
    <s v="PET"/>
    <x v="41"/>
    <s v="JALECO GROOMER"/>
    <s v="JALECO"/>
    <s v="LEVE"/>
    <n v="40"/>
    <n v="52"/>
    <n v="2080"/>
    <n v="0"/>
    <d v="2026-01-06T00:00:00"/>
    <n v="2"/>
    <m/>
    <s v="ENTREGUE"/>
    <n v="10"/>
    <n v="60"/>
    <n v="120"/>
    <n v="20"/>
    <n v="210"/>
  </r>
  <r>
    <s v="LETICIA"/>
    <x v="15"/>
    <x v="220"/>
    <x v="19"/>
    <s v="PET"/>
    <x v="41"/>
    <s v="JALECO GROOMER"/>
    <s v="JALECO"/>
    <s v="LEVE"/>
    <n v="50"/>
    <n v="50"/>
    <n v="2500"/>
    <n v="0"/>
    <d v="2026-01-06T00:00:00"/>
    <n v="2"/>
    <m/>
    <s v="ENTREGUE"/>
    <n v="12.5"/>
    <n v="75"/>
    <n v="150"/>
    <n v="25"/>
    <n v="262.5"/>
  </r>
  <r>
    <s v="AMANDA"/>
    <x v="472"/>
    <x v="221"/>
    <x v="19"/>
    <s v="COSMÉTICO"/>
    <x v="99"/>
    <s v="SACOLA TNT LAMINADO"/>
    <s v="SACOLA"/>
    <s v="LEVE"/>
    <n v="400"/>
    <n v="9.1999999999999993"/>
    <n v="3679.9999999999995"/>
    <n v="0"/>
    <d v="2025-11-17T00:00:00"/>
    <n v="47"/>
    <m/>
    <s v="ENTREGUE"/>
    <n v="100"/>
    <n v="600"/>
    <n v="600"/>
    <n v="200"/>
    <n v="1500"/>
  </r>
  <r>
    <s v="AMANDA"/>
    <x v="473"/>
    <x v="221"/>
    <x v="19"/>
    <s v="COSMÉTICO"/>
    <x v="237"/>
    <s v="AVENTAL OXFORD MODELO PADRÃO"/>
    <s v="AVENTAL"/>
    <s v="LEVE"/>
    <n v="100"/>
    <n v="12.99"/>
    <n v="1299"/>
    <n v="0"/>
    <d v="2025-12-05T00:00:00"/>
    <n v="49"/>
    <m/>
    <s v="ENTREGUE"/>
    <n v="25"/>
    <n v="70"/>
    <n v="150"/>
    <n v="50"/>
    <n v="295"/>
  </r>
  <r>
    <s v="AMANDA"/>
    <x v="473"/>
    <x v="221"/>
    <x v="19"/>
    <s v="COSMÉTICO"/>
    <x v="237"/>
    <s v="CAPA DE CORTE TACTEL 1X1,4"/>
    <s v="CAPA"/>
    <s v="LEVE"/>
    <n v="100"/>
    <n v="17.5"/>
    <n v="1750"/>
    <n v="0"/>
    <d v="2025-12-05T00:00:00"/>
    <n v="49"/>
    <m/>
    <s v="ENTREGUE"/>
    <n v="25"/>
    <n v="150"/>
    <n v="150"/>
    <n v="50"/>
    <n v="375"/>
  </r>
  <r>
    <s v="AMANDA"/>
    <x v="474"/>
    <x v="221"/>
    <x v="19"/>
    <s v="COSMÉTICO"/>
    <x v="238"/>
    <s v="AVENTAL BARBEIRO SARJA E COURO SINTÉTICO"/>
    <s v="AVENTAL"/>
    <s v="PESADA"/>
    <n v="50"/>
    <n v="57"/>
    <n v="2850"/>
    <n v="0"/>
    <d v="2025-12-05T00:00:00"/>
    <n v="49"/>
    <m/>
    <s v="ENTREGUE"/>
    <n v="12.5"/>
    <n v="50"/>
    <n v="150"/>
    <n v="50"/>
    <n v="262.5"/>
  </r>
  <r>
    <s v="AMANDA"/>
    <x v="474"/>
    <x v="221"/>
    <x v="19"/>
    <s v="COSMÉTICO"/>
    <x v="238"/>
    <s v="AVENTAL TACTEL MODELO PADRÃO"/>
    <s v="AVENTAL"/>
    <s v="LEVE"/>
    <n v="100"/>
    <n v="17"/>
    <n v="1700"/>
    <n v="0"/>
    <d v="2025-12-05T00:00:00"/>
    <n v="49"/>
    <m/>
    <s v="ENTREGUE"/>
    <n v="25"/>
    <n v="70"/>
    <n v="184"/>
    <n v="50"/>
    <n v="329"/>
  </r>
  <r>
    <s v="AMANDA"/>
    <x v="475"/>
    <x v="221"/>
    <x v="19"/>
    <s v="COSMÉTICO"/>
    <x v="239"/>
    <s v="AVENTAL OXFORD MODELO PADRÃO"/>
    <s v="AVENTAL"/>
    <s v="LEVE"/>
    <n v="200"/>
    <n v="15"/>
    <n v="3000"/>
    <n v="0"/>
    <d v="2025-12-05T00:00:00"/>
    <n v="49"/>
    <m/>
    <s v="ENTREGUE"/>
    <n v="50"/>
    <n v="140"/>
    <n v="300"/>
    <n v="100"/>
    <n v="590"/>
  </r>
  <r>
    <s v="AMANDA"/>
    <x v="475"/>
    <x v="221"/>
    <x v="19"/>
    <s v="COSMÉTICO"/>
    <x v="239"/>
    <s v="BABY LOOK"/>
    <s v="BABY LOOK"/>
    <s v="LEVE"/>
    <n v="150"/>
    <n v="23.5"/>
    <n v="3525"/>
    <n v="0"/>
    <d v="2025-12-05T00:00:00"/>
    <n v="49"/>
    <m/>
    <s v="ENTREGUE"/>
    <n v="37.5"/>
    <n v="225"/>
    <n v="225"/>
    <n v="75"/>
    <n v="562.5"/>
  </r>
  <r>
    <s v="AMANDA"/>
    <x v="475"/>
    <x v="221"/>
    <x v="19"/>
    <s v="COSMÉTICO"/>
    <x v="239"/>
    <s v="CAMISETA MALHA PV "/>
    <s v="CAMISETA"/>
    <s v="LEVE"/>
    <n v="150"/>
    <n v="23.5"/>
    <n v="3525"/>
    <n v="0"/>
    <d v="2025-12-05T00:00:00"/>
    <n v="49"/>
    <m/>
    <s v="ENTREGUE"/>
    <n v="37.5"/>
    <n v="225"/>
    <n v="225"/>
    <n v="75"/>
    <n v="562.5"/>
  </r>
  <r>
    <s v="LETICIA"/>
    <x v="476"/>
    <x v="221"/>
    <x v="19"/>
    <s v="COSMÉTICO"/>
    <x v="137"/>
    <s v="AVENTAL BARBEIRO COURO SINTETICO "/>
    <s v="AVENTAL"/>
    <s v="PESADA"/>
    <n v="10"/>
    <n v="98"/>
    <n v="980"/>
    <n v="0"/>
    <d v="2025-11-28T00:00:00"/>
    <n v="48"/>
    <m/>
    <s v="ENTREGUE"/>
    <n v="2.5"/>
    <n v="10"/>
    <n v="30"/>
    <n v="10"/>
    <n v="52.5"/>
  </r>
  <r>
    <s v="AMANDA"/>
    <x v="477"/>
    <x v="222"/>
    <x v="19"/>
    <s v="COSMÉTICO"/>
    <x v="240"/>
    <s v="CAPA DE CORTE TACTEL 1,4X1,5"/>
    <s v="CAPA"/>
    <s v="LEVE"/>
    <n v="10"/>
    <n v="85"/>
    <n v="850"/>
    <n v="0"/>
    <d v="2025-12-05T00:00:00"/>
    <n v="49"/>
    <m/>
    <s v="ENTREGUE"/>
    <n v="2.5"/>
    <n v="15"/>
    <n v="15"/>
    <n v="5"/>
    <n v="37.5"/>
  </r>
  <r>
    <s v="AMANDA"/>
    <x v="478"/>
    <x v="222"/>
    <x v="19"/>
    <s v="HAVANNA"/>
    <x v="2"/>
    <s v="CAMISETA POLO PIQUET"/>
    <s v="POLO"/>
    <s v="LEVE"/>
    <n v="1"/>
    <n v="65"/>
    <n v="65"/>
    <n v="0"/>
    <d v="2025-11-28T00:00:00"/>
    <n v="48"/>
    <m/>
    <s v="ENTREGUE"/>
    <n v="0.25"/>
    <n v="1.5"/>
    <n v="1.5"/>
    <n v="0.5"/>
    <n v="3.75"/>
  </r>
  <r>
    <s v="AMANDA"/>
    <x v="478"/>
    <x v="222"/>
    <x v="19"/>
    <s v="HAVANNA"/>
    <x v="2"/>
    <s v="CAMISETA MALHA 100% ALGODÃO"/>
    <s v="CAMISETA"/>
    <s v="LEVE"/>
    <n v="2"/>
    <n v="36.75"/>
    <n v="73.5"/>
    <n v="0"/>
    <d v="2025-11-28T00:00:00"/>
    <n v="48"/>
    <m/>
    <s v="ENTREGUE"/>
    <n v="0.5"/>
    <n v="3"/>
    <n v="3"/>
    <n v="1"/>
    <n v="7.5"/>
  </r>
  <r>
    <s v="AMANDA"/>
    <x v="478"/>
    <x v="222"/>
    <x v="19"/>
    <s v="HAVANNA"/>
    <x v="2"/>
    <s v="AVENTAL OXFORD MODELO PADRÃO"/>
    <s v="AVENTAL"/>
    <s v="LEVE"/>
    <n v="2"/>
    <n v="25"/>
    <n v="50"/>
    <n v="0"/>
    <d v="2025-11-28T00:00:00"/>
    <n v="48"/>
    <m/>
    <s v="ENTREGUE"/>
    <n v="0.5"/>
    <n v="1.4"/>
    <n v="3"/>
    <n v="1"/>
    <n v="5.9"/>
  </r>
  <r>
    <s v="AMANDA"/>
    <x v="479"/>
    <x v="223"/>
    <x v="20"/>
    <s v="PET"/>
    <x v="177"/>
    <s v="AVENTAL NY EMBORRACHADO"/>
    <s v="AVENTAL"/>
    <s v="LEVE"/>
    <n v="100"/>
    <n v="25"/>
    <n v="2500"/>
    <n v="0"/>
    <d v="2025-11-21T00:00:00"/>
    <n v="47"/>
    <m/>
    <s v="ENTREGUE"/>
    <n v="25"/>
    <n v="100"/>
    <n v="184"/>
    <n v="50"/>
    <n v="359"/>
  </r>
  <r>
    <s v="AMANDA"/>
    <x v="480"/>
    <x v="223"/>
    <x v="20"/>
    <s v="COSMÉTICO"/>
    <x v="241"/>
    <s v="AVENTAL NY 210"/>
    <s v="AVENTAL"/>
    <s v="LEVE"/>
    <n v="100"/>
    <n v="17.5"/>
    <n v="1750"/>
    <n v="0"/>
    <d v="2025-12-08T00:00:00"/>
    <n v="50"/>
    <m/>
    <s v="ENTREGUE"/>
    <n v="25"/>
    <n v="150"/>
    <n v="150"/>
    <n v="50"/>
    <n v="375"/>
  </r>
  <r>
    <s v="LETICIA"/>
    <x v="481"/>
    <x v="223"/>
    <x v="20"/>
    <s v="COMÉRCIO"/>
    <x v="242"/>
    <s v="CAMISETA MALHA 100% ALGODÃO"/>
    <s v="CAMISETA"/>
    <s v="LEVE"/>
    <n v="120"/>
    <n v="32"/>
    <n v="3840"/>
    <n v="0"/>
    <d v="2025-11-14T00:00:00"/>
    <n v="46"/>
    <m/>
    <s v="ENTREGUE"/>
    <n v="30"/>
    <n v="180"/>
    <n v="180"/>
    <n v="60"/>
    <n v="450"/>
  </r>
  <r>
    <s v="LETICIA"/>
    <x v="482"/>
    <x v="224"/>
    <x v="20"/>
    <s v="PET"/>
    <x v="119"/>
    <s v="AVENTAL NY EMBORRACHADO"/>
    <s v="AVENTAL"/>
    <s v="LEVE"/>
    <n v="150"/>
    <n v="23"/>
    <n v="3135"/>
    <n v="0"/>
    <d v="2025-12-08T00:00:00"/>
    <n v="50"/>
    <m/>
    <s v="ENTREGUE"/>
    <n v="37.5"/>
    <n v="150"/>
    <n v="276"/>
    <n v="75"/>
    <n v="538.5"/>
  </r>
  <r>
    <s v="LETICIA"/>
    <x v="483"/>
    <x v="224"/>
    <x v="20"/>
    <s v="COSMÉTICO"/>
    <x v="42"/>
    <s v="NECESSAIRE MALETA MAKE"/>
    <s v="NECESSAIRE"/>
    <s v="PESADA"/>
    <n v="750"/>
    <n v="14"/>
    <n v="10500"/>
    <n v="0"/>
    <d v="2025-12-08T00:00:00"/>
    <n v="50"/>
    <m/>
    <s v="ENTREGUE"/>
    <n v="187.5"/>
    <n v="502.5"/>
    <n v="1125"/>
    <n v="375"/>
    <n v="2190"/>
  </r>
  <r>
    <s v="LETICIA"/>
    <x v="483"/>
    <x v="224"/>
    <x v="20"/>
    <s v="COSMÉTICO"/>
    <x v="42"/>
    <s v="NECESSAIRE MALETA MAKE"/>
    <s v="NECESSAIRE"/>
    <s v="PESADA"/>
    <n v="250"/>
    <n v="14"/>
    <n v="3500"/>
    <n v="0"/>
    <d v="2025-12-08T00:00:00"/>
    <n v="50"/>
    <m/>
    <s v="ENTREGUE"/>
    <n v="62.5"/>
    <n v="502.5"/>
    <n v="375"/>
    <n v="125"/>
    <n v="1065"/>
  </r>
  <r>
    <s v="LETICIA"/>
    <x v="484"/>
    <x v="224"/>
    <x v="20"/>
    <s v="COMÉRCIO"/>
    <x v="243"/>
    <s v="NECESSAIRE 100% ALGODÃO"/>
    <s v="NECESSAIRE"/>
    <s v="PESADA"/>
    <n v="20"/>
    <n v="8"/>
    <n v="160"/>
    <n v="0"/>
    <d v="2025-12-05T00:00:00"/>
    <n v="49"/>
    <m/>
    <s v="ENTREGUE"/>
    <n v="5"/>
    <n v="502.5"/>
    <n v="30"/>
    <n v="10"/>
    <n v="547.5"/>
  </r>
  <r>
    <s v="LETICIA"/>
    <x v="484"/>
    <x v="224"/>
    <x v="20"/>
    <s v="COMÉRCIO"/>
    <x v="243"/>
    <s v="SACOLA DE ALGODÃO"/>
    <s v="SACOLA"/>
    <s v="LEVE"/>
    <n v="20"/>
    <n v="8"/>
    <n v="160"/>
    <n v="0"/>
    <d v="2025-12-05T00:00:00"/>
    <n v="49"/>
    <m/>
    <s v="ENTREGUE"/>
    <n v="5"/>
    <n v="30"/>
    <n v="30"/>
    <n v="10"/>
    <n v="75"/>
  </r>
  <r>
    <s v="LETICIA"/>
    <x v="485"/>
    <x v="224"/>
    <x v="20"/>
    <s v="PET"/>
    <x v="44"/>
    <s v="CAPA PROTETOR PREMIER"/>
    <s v="CAPA"/>
    <s v="LEVE"/>
    <n v="300"/>
    <n v="16"/>
    <n v="4800"/>
    <n v="0"/>
    <d v="2025-11-21T00:00:00"/>
    <n v="47"/>
    <m/>
    <s v="ENTREGUE"/>
    <n v="75"/>
    <n v="450"/>
    <n v="450"/>
    <n v="150"/>
    <n v="1125"/>
  </r>
  <r>
    <s v="LETICIA"/>
    <x v="486"/>
    <x v="225"/>
    <x v="20"/>
    <s v="COSMÉTICO"/>
    <x v="74"/>
    <s v="AVENTAL OXFORD MODELO PADRÃO"/>
    <s v="AVENTAL"/>
    <s v="LEVE"/>
    <n v="200"/>
    <n v="18"/>
    <n v="3600"/>
    <n v="0"/>
    <d v="2025-12-08T00:00:00"/>
    <n v="49"/>
    <m/>
    <s v="ENTREGUE"/>
    <n v="50"/>
    <n v="140"/>
    <n v="300"/>
    <n v="100"/>
    <n v="590"/>
  </r>
  <r>
    <s v="LETICIA"/>
    <x v="487"/>
    <x v="225"/>
    <x v="20"/>
    <s v="PET"/>
    <x v="244"/>
    <s v="AVENTAL NY EMBORRACHADO"/>
    <s v="AVENTAL"/>
    <s v="LEVE"/>
    <n v="500"/>
    <n v="21"/>
    <n v="10500"/>
    <n v="0"/>
    <d v="2025-12-08T00:00:00"/>
    <n v="50"/>
    <m/>
    <s v="ENTREGUE"/>
    <n v="125"/>
    <n v="500"/>
    <n v="920"/>
    <n v="250"/>
    <n v="1795"/>
  </r>
  <r>
    <s v="LETICIA"/>
    <x v="488"/>
    <x v="225"/>
    <x v="20"/>
    <s v="COSMÉTICO"/>
    <x v="42"/>
    <s v="AVENTAL NY EMBORRACHADO BOLSOS COM DIVISÓRIOS"/>
    <s v="AVENTAL"/>
    <s v="LEVE"/>
    <n v="500"/>
    <n v="19.5"/>
    <n v="9750"/>
    <n v="0"/>
    <d v="2025-12-04T00:00:00"/>
    <n v="49"/>
    <m/>
    <s v="ENTREGUE"/>
    <n v="125"/>
    <n v="500"/>
    <n v="920"/>
    <n v="250"/>
    <n v="1795"/>
  </r>
  <r>
    <s v="LETICIA"/>
    <x v="489"/>
    <x v="225"/>
    <x v="20"/>
    <s v="HAVANNA"/>
    <x v="30"/>
    <s v="CAMISETA 100% ALGODÃO"/>
    <s v="CAMISETA"/>
    <s v="LEVE"/>
    <n v="12"/>
    <n v="36.75"/>
    <n v="441"/>
    <n v="0"/>
    <d v="2025-12-08T00:00:00"/>
    <n v="50"/>
    <m/>
    <s v="ENTREGUE"/>
    <n v="3"/>
    <n v="18"/>
    <n v="18"/>
    <n v="6"/>
    <n v="45"/>
  </r>
  <r>
    <s v="LETICIA"/>
    <x v="22"/>
    <x v="226"/>
    <x v="20"/>
    <s v="PET"/>
    <x v="57"/>
    <s v="AVENTAL NY EMBORRACHADO"/>
    <s v="AVENTAL"/>
    <s v="LEVE"/>
    <n v="10"/>
    <n v="45"/>
    <n v="450"/>
    <n v="0"/>
    <d v="2025-11-22T00:00:00"/>
    <n v="47"/>
    <m/>
    <s v="ENTREGUE"/>
    <n v="2.5"/>
    <n v="10"/>
    <n v="18.400000000000002"/>
    <n v="5"/>
    <n v="35.900000000000006"/>
  </r>
  <r>
    <s v="LETICIA"/>
    <x v="490"/>
    <x v="226"/>
    <x v="20"/>
    <s v="COSMÉTICO"/>
    <x v="229"/>
    <s v="SACOLA LONITA"/>
    <s v="SACOLA"/>
    <s v="LEVE"/>
    <n v="1500"/>
    <n v="9"/>
    <n v="13500"/>
    <n v="0"/>
    <d v="2026-01-06T00:00:00"/>
    <n v="2"/>
    <m/>
    <s v="ENTREGUE"/>
    <n v="375"/>
    <n v="2250"/>
    <n v="2250"/>
    <n v="750"/>
    <n v="5625"/>
  </r>
  <r>
    <s v="LETICIA"/>
    <x v="491"/>
    <x v="227"/>
    <x v="20"/>
    <s v="COSMÉTICO"/>
    <x v="245"/>
    <s v="AVENTAL NY 210"/>
    <s v="AVENTAL"/>
    <s v="LEVE"/>
    <n v="100"/>
    <n v="19.899999999999999"/>
    <n v="1989.9999999999998"/>
    <n v="0"/>
    <d v="2025-12-12T00:00:00"/>
    <n v="50"/>
    <m/>
    <s v="ENTREGUE"/>
    <n v="25"/>
    <n v="100"/>
    <n v="184"/>
    <n v="50"/>
    <n v="359"/>
  </r>
  <r>
    <s v="LETICIA"/>
    <x v="491"/>
    <x v="227"/>
    <x v="20"/>
    <s v="COSMÉTICO"/>
    <x v="245"/>
    <s v="CAMISETA GOLA CARECA MALHA 100% ALGODÃO "/>
    <s v="CAMISETA"/>
    <s v="LEVE"/>
    <n v="150"/>
    <n v="31"/>
    <n v="4650"/>
    <n v="0"/>
    <d v="2025-12-12T00:00:00"/>
    <n v="50"/>
    <m/>
    <s v="ENTREGUE"/>
    <n v="37.5"/>
    <n v="225"/>
    <n v="225"/>
    <n v="75"/>
    <n v="562.5"/>
  </r>
  <r>
    <s v="LETICIA"/>
    <x v="491"/>
    <x v="227"/>
    <x v="20"/>
    <s v="COSMÉTICO"/>
    <x v="245"/>
    <s v="AVENTAL BARBEIRO COURO SINTETICO "/>
    <s v="AVENTAL"/>
    <s v="PESADA"/>
    <n v="10"/>
    <n v="85"/>
    <n v="850"/>
    <n v="0"/>
    <d v="2025-12-12T00:00:00"/>
    <n v="50"/>
    <m/>
    <s v="ENTREGUE"/>
    <n v="2.5"/>
    <n v="10"/>
    <n v="30"/>
    <n v="10"/>
    <n v="52.5"/>
  </r>
  <r>
    <s v="AMANDA"/>
    <x v="492"/>
    <x v="228"/>
    <x v="21"/>
    <s v="HAVANNA"/>
    <x v="80"/>
    <s v="AVENTAL OXFORD MODELO PADRÃO"/>
    <s v="AVENTAL"/>
    <s v="LEVE"/>
    <n v="2"/>
    <n v="25"/>
    <n v="50"/>
    <n v="0"/>
    <d v="2025-12-10T00:00:00"/>
    <n v="50"/>
    <m/>
    <s v="ENTREGUE"/>
    <n v="0.5"/>
    <n v="1.4"/>
    <n v="3"/>
    <n v="1"/>
    <n v="5.9"/>
  </r>
  <r>
    <s v="AMANDA"/>
    <x v="492"/>
    <x v="228"/>
    <x v="21"/>
    <s v="HAVANNA"/>
    <x v="80"/>
    <s v="BLUSA DE MOLETOM "/>
    <s v="MOLETOM"/>
    <s v="LEVE"/>
    <n v="3"/>
    <n v="85"/>
    <n v="255"/>
    <n v="0"/>
    <d v="2025-12-10T00:00:00"/>
    <n v="50"/>
    <m/>
    <s v="ENTREGUE"/>
    <n v="0.75"/>
    <n v="4.5"/>
    <n v="4.5"/>
    <n v="1.5"/>
    <n v="11.25"/>
  </r>
  <r>
    <s v="LETICIA"/>
    <x v="23"/>
    <x v="228"/>
    <x v="21"/>
    <s v="COSMÉTICO"/>
    <x v="97"/>
    <s v="AVENTAL POLIESTER COM BOLSO"/>
    <s v="AVENTAL"/>
    <s v="PESADA"/>
    <n v="100"/>
    <n v="34"/>
    <n v="3400"/>
    <n v="0"/>
    <d v="2025-12-15T00:00:00"/>
    <n v="51"/>
    <m/>
    <s v="ENTREGUE"/>
    <n v="25"/>
    <n v="100"/>
    <n v="184"/>
    <n v="50"/>
    <n v="359"/>
  </r>
  <r>
    <s v="LETICIA"/>
    <x v="493"/>
    <x v="228"/>
    <x v="21"/>
    <s v="COMÉRCIO"/>
    <x v="246"/>
    <s v="NECESSAIRE CRISTAL COM VIÉS TNT LAMINADO"/>
    <s v="NECESSAIRE"/>
    <s v="PESADA"/>
    <n v="50"/>
    <n v="9.9"/>
    <n v="495"/>
    <n v="0"/>
    <d v="2025-12-06T00:00:00"/>
    <n v="49"/>
    <m/>
    <s v="ENTREGUE"/>
    <n v="12.5"/>
    <n v="502.5"/>
    <n v="75"/>
    <n v="25"/>
    <n v="615"/>
  </r>
  <r>
    <s v="LETICIA"/>
    <x v="493"/>
    <x v="228"/>
    <x v="21"/>
    <s v="COMÉRCIO"/>
    <x v="246"/>
    <s v="SACOLA LONITA  305g 40LX30AX20"/>
    <s v="SACOLA"/>
    <s v="LEVE"/>
    <n v="100"/>
    <n v="18.5"/>
    <n v="1850"/>
    <n v="0"/>
    <d v="2025-12-06T00:00:00"/>
    <n v="49"/>
    <m/>
    <s v="ENTREGUE"/>
    <n v="25"/>
    <n v="150"/>
    <n v="150"/>
    <n v="50"/>
    <n v="375"/>
  </r>
  <r>
    <s v="LETICIA"/>
    <x v="494"/>
    <x v="229"/>
    <x v="21"/>
    <s v="COMÉRCIO"/>
    <x v="247"/>
    <s v="CAMISETA GOLA CARECA MALHA 100% ALGODÃO "/>
    <s v="CAMISETA"/>
    <s v="LEVE"/>
    <n v="10"/>
    <n v="33.5"/>
    <n v="335"/>
    <n v="0"/>
    <d v="2025-12-15T00:00:00"/>
    <n v="51"/>
    <m/>
    <s v="ENTREGUE"/>
    <n v="2.5"/>
    <n v="15"/>
    <n v="15"/>
    <n v="5"/>
    <n v="37.5"/>
  </r>
  <r>
    <s v="LETICIA"/>
    <x v="495"/>
    <x v="229"/>
    <x v="21"/>
    <s v="EDITORA"/>
    <x v="78"/>
    <s v="SACOLA DE ALGODÃO "/>
    <s v="SACOLA"/>
    <s v="LEVE"/>
    <n v="3000"/>
    <n v="8.5"/>
    <n v="25500"/>
    <n v="0"/>
    <d v="2025-12-08T00:00:00"/>
    <n v="50"/>
    <m/>
    <s v="ENTREGUE"/>
    <n v="750"/>
    <n v="4500"/>
    <n v="4500"/>
    <n v="1500"/>
    <n v="11250"/>
  </r>
  <r>
    <s v="LETICIA"/>
    <x v="496"/>
    <x v="229"/>
    <x v="21"/>
    <s v="COSMÉTICO"/>
    <x v="97"/>
    <s v="CAPA DE CORTE "/>
    <s v="CAPA"/>
    <s v="LEVE"/>
    <n v="100"/>
    <n v="26.5"/>
    <n v="2650"/>
    <n v="0"/>
    <d v="2025-11-11T00:00:00"/>
    <n v="46"/>
    <m/>
    <s v="ENTREGUE"/>
    <n v="25"/>
    <n v="150"/>
    <n v="150"/>
    <n v="50"/>
    <n v="375"/>
  </r>
  <r>
    <s v="AMANDA"/>
    <x v="497"/>
    <x v="230"/>
    <x v="21"/>
    <s v="COSMÉTICO"/>
    <x v="248"/>
    <s v="NECESSAIRE MALETA MAKE"/>
    <s v="NECESSAIRE"/>
    <s v="PESADA"/>
    <n v="500"/>
    <n v="13.5"/>
    <n v="6750"/>
    <n v="0"/>
    <d v="2025-12-08T00:00:00"/>
    <n v="50"/>
    <m/>
    <s v="ENTREGUE"/>
    <n v="125"/>
    <n v="502.5"/>
    <n v="750"/>
    <n v="250"/>
    <n v="1627.5"/>
  </r>
  <r>
    <s v="LETICIA"/>
    <x v="498"/>
    <x v="230"/>
    <x v="21"/>
    <s v="COSMÉTICO"/>
    <x v="97"/>
    <s v="CAPA DE CORTE 1,40X1,50"/>
    <s v="CAPA"/>
    <s v="LEVE"/>
    <n v="150"/>
    <n v="26.5"/>
    <n v="3975"/>
    <n v="0"/>
    <d v="2025-11-14T00:00:00"/>
    <n v="46"/>
    <m/>
    <s v="ENTREGUE"/>
    <n v="37.5"/>
    <n v="225"/>
    <n v="225"/>
    <n v="75"/>
    <n v="562.5"/>
  </r>
  <r>
    <s v="LETICIA"/>
    <x v="499"/>
    <x v="230"/>
    <x v="21"/>
    <s v="COSMÉTICO"/>
    <x v="97"/>
    <s v="CAPA DE CORTE 1,40X1,50"/>
    <s v="CAPA"/>
    <s v="LEVE"/>
    <n v="50"/>
    <n v="26.5"/>
    <n v="1325"/>
    <n v="0"/>
    <d v="2025-11-14T00:00:00"/>
    <n v="46"/>
    <m/>
    <s v="ENTREGUE"/>
    <n v="12.5"/>
    <n v="75"/>
    <n v="75"/>
    <n v="25"/>
    <n v="187.5"/>
  </r>
  <r>
    <s v="LETICIA"/>
    <x v="500"/>
    <x v="231"/>
    <x v="21"/>
    <s v="COSMÉTICO"/>
    <x v="57"/>
    <s v="AVENTAL NY EMBORRACHADO"/>
    <s v="AVENTAL"/>
    <s v="LEVE"/>
    <n v="300"/>
    <n v="24.5"/>
    <n v="7350"/>
    <n v="0"/>
    <d v="2025-12-12T00:00:00"/>
    <n v="50"/>
    <m/>
    <s v="ENTREGUE"/>
    <n v="75"/>
    <n v="300"/>
    <n v="552"/>
    <n v="150"/>
    <n v="1077"/>
  </r>
  <r>
    <s v="KATIA"/>
    <x v="501"/>
    <x v="231"/>
    <x v="21"/>
    <s v="EDITORA"/>
    <x v="249"/>
    <s v="CAMISETA 100% ALGODÃO"/>
    <s v="CAMISETA"/>
    <s v="LEVE"/>
    <n v="11"/>
    <n v="55"/>
    <n v="605"/>
    <n v="0"/>
    <d v="2025-12-04T00:00:00"/>
    <n v="49"/>
    <m/>
    <s v="ENTREGUE"/>
    <n v="2.75"/>
    <n v="16.5"/>
    <n v="16.5"/>
    <n v="5.5"/>
    <n v="41.25"/>
  </r>
  <r>
    <s v="AMANDA"/>
    <x v="502"/>
    <x v="231"/>
    <x v="21"/>
    <s v="PET"/>
    <x v="250"/>
    <s v="SACOCHILA NYLON 70 RESINADO"/>
    <s v="SACOCHILA"/>
    <s v="LEVE"/>
    <n v="1000"/>
    <n v="6.9"/>
    <n v="6900"/>
    <n v="0"/>
    <d v="2025-12-18T00:00:00"/>
    <n v="51"/>
    <m/>
    <s v="ENTREGUE"/>
    <n v="250"/>
    <n v="1500"/>
    <n v="1500"/>
    <n v="500"/>
    <n v="3750"/>
  </r>
  <r>
    <s v="LETICIA"/>
    <x v="503"/>
    <x v="232"/>
    <x v="21"/>
    <s v="COSMÉTICO"/>
    <x v="63"/>
    <s v="CAMISETA GOLA CARECA MALHA 100% ALGODÃO "/>
    <s v="CAMISETA"/>
    <s v="LEVE"/>
    <n v="600"/>
    <n v="25.5"/>
    <n v="15300"/>
    <n v="0"/>
    <d v="2025-12-18T00:00:00"/>
    <n v="51"/>
    <m/>
    <s v="ENTREGUE"/>
    <n v="150"/>
    <n v="900"/>
    <n v="900"/>
    <n v="300"/>
    <n v="2250"/>
  </r>
  <r>
    <s v="LETICIA"/>
    <x v="504"/>
    <x v="232"/>
    <x v="21"/>
    <s v="COSMÉTICO"/>
    <x v="63"/>
    <s v="BLASER FEMININO"/>
    <s v="BLAISER"/>
    <s v="LEVE"/>
    <n v="12"/>
    <n v="199"/>
    <n v="2388"/>
    <n v="0"/>
    <d v="2025-12-18T00:00:00"/>
    <n v="51"/>
    <m/>
    <s v="ENTREGUE"/>
    <m/>
    <m/>
    <m/>
    <m/>
    <m/>
  </r>
  <r>
    <s v="LETICIA"/>
    <x v="505"/>
    <x v="232"/>
    <x v="21"/>
    <s v="COSMÉTICO"/>
    <x v="168"/>
    <s v="CAMISETA GOLA CARECA MALHA PV"/>
    <s v="CAMISETA"/>
    <s v="LEVE"/>
    <n v="130"/>
    <n v="28"/>
    <n v="3640"/>
    <n v="0"/>
    <d v="2025-11-27T00:00:00"/>
    <n v="48"/>
    <m/>
    <s v="ENTREGUE"/>
    <n v="32.5"/>
    <n v="195"/>
    <n v="195"/>
    <n v="65"/>
    <n v="487.5"/>
  </r>
  <r>
    <s v="AMANDA"/>
    <x v="506"/>
    <x v="232"/>
    <x v="21"/>
    <s v="COSMÉTICO"/>
    <x v="251"/>
    <s v="CAMISETA GOLA CARECA MALHA PV (P AO GG)"/>
    <s v="CAMISETA"/>
    <s v="LEVE"/>
    <n v="46"/>
    <n v="37.6"/>
    <n v="1729.6000000000001"/>
    <n v="0"/>
    <d v="2025-12-15T00:00:00"/>
    <n v="51"/>
    <m/>
    <s v="ENTREGUE"/>
    <n v="11.5"/>
    <n v="69"/>
    <n v="69"/>
    <n v="23"/>
    <n v="172.5"/>
  </r>
  <r>
    <s v="AMANDA"/>
    <x v="506"/>
    <x v="232"/>
    <x v="21"/>
    <s v="COSMÉTICO"/>
    <x v="251"/>
    <s v="CAMISETA GOLA CARECA MALHA PV (G1 - G2)"/>
    <s v="CAMISETA"/>
    <s v="LEVE"/>
    <n v="4"/>
    <n v="47.6"/>
    <n v="190.4"/>
    <n v="0"/>
    <d v="2025-12-15T00:00:00"/>
    <n v="51"/>
    <m/>
    <s v="ENTREGUE"/>
    <n v="1"/>
    <n v="6"/>
    <n v="6"/>
    <n v="2"/>
    <n v="15"/>
  </r>
  <r>
    <s v="KATIA"/>
    <x v="507"/>
    <x v="233"/>
    <x v="22"/>
    <s v="COSMÉTICO"/>
    <x v="252"/>
    <s v="SACOLA TNT LAMINADO"/>
    <s v="SACOLA"/>
    <s v="LEVE"/>
    <n v="300"/>
    <n v="13"/>
    <n v="3900"/>
    <n v="0"/>
    <d v="2025-12-10T00:00:00"/>
    <n v="50"/>
    <m/>
    <s v="ENTREGUE"/>
    <n v="75"/>
    <n v="450"/>
    <n v="450"/>
    <n v="150"/>
    <n v="1125"/>
  </r>
  <r>
    <s v="KATIA"/>
    <x v="508"/>
    <x v="233"/>
    <x v="22"/>
    <s v="COSMÉTICO"/>
    <x v="98"/>
    <s v="AVENTAL OXFORD MODELO PADRÃO"/>
    <s v="AVENTAL"/>
    <s v="LEVE"/>
    <n v="50"/>
    <n v="20"/>
    <n v="1000"/>
    <n v="0"/>
    <d v="2025-12-15T00:00:00"/>
    <n v="51"/>
    <m/>
    <s v="ENTREGUE"/>
    <n v="12.5"/>
    <n v="35"/>
    <n v="75"/>
    <n v="25"/>
    <n v="147.5"/>
  </r>
  <r>
    <s v="KATIA"/>
    <x v="508"/>
    <x v="233"/>
    <x v="22"/>
    <s v="COSMÉTICO"/>
    <x v="98"/>
    <s v="CAPA DE CORTE  0,85X1,40"/>
    <s v="CAPA"/>
    <s v="LEVE"/>
    <n v="100"/>
    <n v="18"/>
    <n v="1800"/>
    <n v="0"/>
    <d v="2025-12-15T00:00:00"/>
    <n v="51"/>
    <m/>
    <s v="ENTREGUE"/>
    <n v="25"/>
    <n v="150"/>
    <n v="150"/>
    <n v="50"/>
    <n v="375"/>
  </r>
  <r>
    <s v="SANDY"/>
    <x v="25"/>
    <x v="233"/>
    <x v="22"/>
    <s v="PET"/>
    <x v="44"/>
    <s v="CAMISETA GOLA CARECA"/>
    <s v="CAMISETA"/>
    <s v="LEVE"/>
    <n v="300"/>
    <n v="24.5"/>
    <n v="7350"/>
    <n v="0"/>
    <d v="2025-12-18T00:00:00"/>
    <n v="51"/>
    <m/>
    <s v="ENTREGUE"/>
    <n v="75"/>
    <n v="450"/>
    <n v="450"/>
    <n v="150"/>
    <n v="1125"/>
  </r>
  <r>
    <s v="LETICIA"/>
    <x v="509"/>
    <x v="233"/>
    <x v="22"/>
    <s v="COSMÉTICO"/>
    <x v="106"/>
    <s v="SACOLA CRISTAL TRANSPARENTE COM VIÉS"/>
    <s v="SACOLA"/>
    <s v="PESADA"/>
    <n v="100"/>
    <n v="14"/>
    <n v="1400"/>
    <n v="0"/>
    <d v="2025-12-15T00:00:00"/>
    <n v="51"/>
    <m/>
    <s v="ENTREGUE"/>
    <n v="25"/>
    <n v="150"/>
    <n v="150"/>
    <n v="50"/>
    <n v="375"/>
  </r>
  <r>
    <s v="LETICIA"/>
    <x v="510"/>
    <x v="234"/>
    <x v="22"/>
    <s v="COSMÉTICO"/>
    <x v="151"/>
    <s v="SACOLA LONA IMPERMEAVEL COR CRU"/>
    <s v="SACOLA"/>
    <s v="LEVE"/>
    <n v="150"/>
    <n v="26.5"/>
    <n v="3975"/>
    <n v="0"/>
    <d v="2026-01-06T00:00:00"/>
    <n v="50"/>
    <m/>
    <s v="ENTREGUE"/>
    <n v="37.5"/>
    <n v="225"/>
    <n v="225"/>
    <n v="75"/>
    <n v="562.5"/>
  </r>
  <r>
    <s v="AMANDA"/>
    <x v="511"/>
    <x v="234"/>
    <x v="22"/>
    <s v="COSMÉTICO"/>
    <x v="116"/>
    <s v="AVENTAL NY 210"/>
    <s v="AVENTAL"/>
    <s v="LEVE"/>
    <n v="100"/>
    <n v="15.5"/>
    <n v="1550"/>
    <n v="0"/>
    <d v="2025-12-22T00:00:00"/>
    <n v="52"/>
    <m/>
    <s v="ENTREGUE"/>
    <n v="25"/>
    <n v="150"/>
    <n v="150"/>
    <n v="50"/>
    <n v="375"/>
  </r>
  <r>
    <s v="AMANDA"/>
    <x v="511"/>
    <x v="234"/>
    <x v="22"/>
    <s v="COSMÉTICO"/>
    <x v="116"/>
    <s v="SACOLA DE ALGODÃO"/>
    <s v="SACOLA"/>
    <s v="LEVE"/>
    <n v="100"/>
    <n v="11.9"/>
    <n v="1190"/>
    <n v="0"/>
    <d v="2025-12-22T00:00:00"/>
    <n v="52"/>
    <m/>
    <s v="ENTREGUE"/>
    <n v="25"/>
    <n v="150"/>
    <n v="150"/>
    <n v="50"/>
    <n v="375"/>
  </r>
  <r>
    <s v="LETICIA"/>
    <x v="26"/>
    <x v="234"/>
    <x v="22"/>
    <s v="COSMÉTICO"/>
    <x v="37"/>
    <s v="AVENTAL JEANS"/>
    <s v="AVENTAL"/>
    <s v="PESADA"/>
    <n v="100"/>
    <n v="40"/>
    <n v="4000"/>
    <n v="0"/>
    <d v="2025-12-17T00:00:00"/>
    <n v="51"/>
    <m/>
    <s v="ENTREGUE"/>
    <n v="25"/>
    <n v="150"/>
    <n v="150"/>
    <n v="50"/>
    <n v="375"/>
  </r>
  <r>
    <s v="LETICIA"/>
    <x v="26"/>
    <x v="234"/>
    <x v="22"/>
    <s v="COSMÉTICO"/>
    <x v="37"/>
    <s v="AVENTAL NY 210"/>
    <s v="AVENTAL"/>
    <s v="LEVE"/>
    <n v="400"/>
    <n v="19.5"/>
    <n v="7800"/>
    <n v="0"/>
    <d v="2025-12-17T00:00:00"/>
    <n v="51"/>
    <m/>
    <s v="ENTREGUE"/>
    <n v="100"/>
    <n v="600"/>
    <n v="600"/>
    <n v="200"/>
    <n v="1500"/>
  </r>
  <r>
    <s v="LETICIA"/>
    <x v="26"/>
    <x v="234"/>
    <x v="22"/>
    <s v="COSMÉTICO"/>
    <x v="37"/>
    <s v="CAPA DE CORTE CETIM"/>
    <s v="CAPA"/>
    <s v="LEVE"/>
    <n v="100"/>
    <n v="17"/>
    <n v="1700"/>
    <n v="0"/>
    <d v="2025-12-17T00:00:00"/>
    <n v="51"/>
    <m/>
    <s v="ENTREGUE"/>
    <n v="25"/>
    <n v="150"/>
    <n v="150"/>
    <n v="50"/>
    <n v="375"/>
  </r>
  <r>
    <s v="AMANDA"/>
    <x v="512"/>
    <x v="235"/>
    <x v="22"/>
    <s v="COSMÉTICO"/>
    <x v="253"/>
    <s v="SACOLA CRISTAL TRANSPARENTE COM VIÉS"/>
    <s v="SACOLA "/>
    <s v="PESADA"/>
    <n v="100"/>
    <n v="14.5"/>
    <n v="1450"/>
    <n v="0"/>
    <d v="2025-12-04T00:00:00"/>
    <n v="49"/>
    <m/>
    <s v="ENTREGUE"/>
    <n v="25"/>
    <n v="150"/>
    <n v="150"/>
    <n v="50"/>
    <n v="375"/>
  </r>
  <r>
    <s v="LETICIA"/>
    <x v="513"/>
    <x v="235"/>
    <x v="22"/>
    <s v="COSMÉTICO"/>
    <x v="94"/>
    <s v="SACOLA LONA IMPERMEAVEL COR CRU"/>
    <s v="SACOLA "/>
    <s v="LEVE"/>
    <n v="500"/>
    <n v="26.5"/>
    <n v="13250"/>
    <n v="0"/>
    <d v="2026-01-06T00:00:00"/>
    <n v="50"/>
    <m/>
    <s v="ENTREGUE"/>
    <n v="125"/>
    <n v="750"/>
    <n v="750"/>
    <n v="250"/>
    <n v="1875"/>
  </r>
  <r>
    <s v="KATIA"/>
    <x v="514"/>
    <x v="236"/>
    <x v="22"/>
    <s v="HAVANNA"/>
    <x v="254"/>
    <s v="CAMISETA POLO PIQUET"/>
    <s v="POLO"/>
    <s v="LEVE"/>
    <n v="3"/>
    <n v="65"/>
    <n v="195"/>
    <n v="0"/>
    <d v="2025-12-19T00:00:00"/>
    <n v="51"/>
    <m/>
    <s v="ENTREGUE"/>
    <n v="0.75"/>
    <n v="4.5"/>
    <n v="4.5"/>
    <n v="1.5"/>
    <n v="11.25"/>
  </r>
  <r>
    <s v="KATIA"/>
    <x v="514"/>
    <x v="236"/>
    <x v="22"/>
    <s v="HAVANNA"/>
    <x v="254"/>
    <s v="BABY LOOK FEMININA MALHA 100% ALGODAO"/>
    <s v="BABY LOOK"/>
    <s v="LEVE"/>
    <n v="6"/>
    <n v="36.75"/>
    <n v="220.5"/>
    <n v="0"/>
    <d v="2025-12-19T00:00:00"/>
    <n v="51"/>
    <m/>
    <s v="ENTREGUE"/>
    <n v="1.5"/>
    <n v="9"/>
    <n v="9"/>
    <n v="3"/>
    <n v="22.5"/>
  </r>
  <r>
    <s v="KATIA"/>
    <x v="514"/>
    <x v="236"/>
    <x v="22"/>
    <s v="HAVANNA"/>
    <x v="254"/>
    <s v="CAMISETA 100% ALGODÃO"/>
    <s v="CAMISETA"/>
    <s v="LEVE"/>
    <n v="1"/>
    <n v="36.75"/>
    <n v="36.75"/>
    <n v="0"/>
    <d v="2025-12-19T00:00:00"/>
    <n v="51"/>
    <m/>
    <s v="ENTREGUE"/>
    <n v="0.25"/>
    <n v="1.5"/>
    <n v="1.5"/>
    <n v="0.5"/>
    <n v="3.75"/>
  </r>
  <r>
    <s v="AMANDA"/>
    <x v="27"/>
    <x v="237"/>
    <x v="23"/>
    <s v="COSMÉTICO"/>
    <x v="228"/>
    <s v="NECESSAIRE MALETA MAKE"/>
    <s v="NECESSAIRE"/>
    <s v="PESADA"/>
    <n v="100"/>
    <n v="14.99"/>
    <n v="1499"/>
    <n v="0"/>
    <d v="2025-12-22T00:00:00"/>
    <n v="52"/>
    <m/>
    <s v="ENTREGUE"/>
    <n v="25"/>
    <n v="502.5"/>
    <n v="150"/>
    <n v="50"/>
    <n v="727.5"/>
  </r>
  <r>
    <s v="SANDY"/>
    <x v="515"/>
    <x v="237"/>
    <x v="23"/>
    <s v="COSMÉTICO"/>
    <x v="71"/>
    <s v="AVENTAL NY EMBORRACHADO"/>
    <s v="AVENTAL"/>
    <s v="LEVE"/>
    <n v="100"/>
    <n v="23.5"/>
    <n v="2350"/>
    <n v="0"/>
    <d v="2025-12-08T00:00:00"/>
    <n v="50"/>
    <m/>
    <s v="ENTREGUE"/>
    <n v="25"/>
    <n v="100"/>
    <n v="184"/>
    <n v="50"/>
    <n v="359"/>
  </r>
  <r>
    <s v="AMANDA"/>
    <x v="516"/>
    <x v="238"/>
    <x v="23"/>
    <s v="COSMÉTICO"/>
    <x v="255"/>
    <s v="KIMONO TACTEL"/>
    <s v="KIMONO"/>
    <s v="LEVE"/>
    <n v="50"/>
    <n v="35"/>
    <n v="1750"/>
    <n v="0"/>
    <d v="2025-12-22T00:00:00"/>
    <n v="52"/>
    <m/>
    <s v="ENTREGUE"/>
    <n v="12.5"/>
    <n v="75"/>
    <n v="75"/>
    <n v="407"/>
    <n v="569.5"/>
  </r>
  <r>
    <s v="LETICIA"/>
    <x v="517"/>
    <x v="239"/>
    <x v="23"/>
    <s v="PET"/>
    <x v="41"/>
    <s v="AVENTAL NY EMBORRACHADO"/>
    <s v="AVENTAL"/>
    <s v="LEVE"/>
    <n v="250"/>
    <n v="23.5"/>
    <n v="5875"/>
    <n v="0"/>
    <d v="2025-12-15T00:00:00"/>
    <n v="51"/>
    <m/>
    <s v="ENTREGUE"/>
    <n v="62.5"/>
    <n v="250"/>
    <n v="460"/>
    <n v="125"/>
    <n v="897.5"/>
  </r>
  <r>
    <s v="KATIA"/>
    <x v="518"/>
    <x v="239"/>
    <x v="23"/>
    <s v="HAVANNA"/>
    <x v="147"/>
    <s v="CAMISETA MALHA 100% ALGODÃO"/>
    <s v="CAMISETA"/>
    <s v="LEVE"/>
    <n v="12"/>
    <n v="36.75"/>
    <n v="441"/>
    <n v="0"/>
    <d v="2025-12-02T00:00:00"/>
    <n v="49"/>
    <m/>
    <s v="ENTREGUE"/>
    <n v="3"/>
    <n v="18"/>
    <n v="18"/>
    <n v="6"/>
    <n v="45"/>
  </r>
  <r>
    <s v="KATIA"/>
    <x v="518"/>
    <x v="239"/>
    <x v="23"/>
    <s v="HAVANNA"/>
    <x v="147"/>
    <s v="AVENTAL OXFORD MODELO PADRÃO"/>
    <s v="AVENTAL"/>
    <s v="LEVE"/>
    <n v="6"/>
    <n v="25"/>
    <n v="150"/>
    <n v="0"/>
    <d v="2025-12-02T00:00:00"/>
    <n v="49"/>
    <m/>
    <s v="ENTREGUE"/>
    <n v="1.5"/>
    <n v="4.1999999999999993"/>
    <n v="9"/>
    <n v="3"/>
    <n v="17.7"/>
  </r>
  <r>
    <s v="KATIA"/>
    <x v="518"/>
    <x v="239"/>
    <x v="23"/>
    <s v="HAVANNA"/>
    <x v="147"/>
    <s v="FAIXA DE CABELO"/>
    <s v="FAIXA"/>
    <s v="LEVE"/>
    <n v="4"/>
    <n v="21"/>
    <n v="84"/>
    <n v="0"/>
    <d v="2025-12-02T00:00:00"/>
    <n v="49"/>
    <m/>
    <s v="ENTREGUE"/>
    <n v="1"/>
    <n v="4"/>
    <n v="4.8"/>
    <n v="2"/>
    <n v="11.8"/>
  </r>
  <r>
    <s v="LETICIA"/>
    <x v="519"/>
    <x v="239"/>
    <x v="23"/>
    <s v="COMÉRCIO"/>
    <x v="39"/>
    <s v="SACOLA DE ALGODÃO"/>
    <s v="SACOLA "/>
    <s v="LEVE"/>
    <n v="300"/>
    <n v="16.5"/>
    <n v="4950"/>
    <n v="0"/>
    <d v="2025-12-19T00:00:00"/>
    <n v="51"/>
    <m/>
    <s v="ENTREGUE"/>
    <n v="75"/>
    <n v="450"/>
    <n v="450"/>
    <n v="150"/>
    <n v="1125"/>
  </r>
  <r>
    <s v="AMANDA"/>
    <x v="520"/>
    <x v="240"/>
    <x v="23"/>
    <s v="COSMÉTICO"/>
    <x v="256"/>
    <s v="AVENTAL NY 210"/>
    <s v="AVENTAL"/>
    <s v="LEVE"/>
    <n v="200"/>
    <n v="17.5"/>
    <n v="3500"/>
    <n v="0"/>
    <d v="2025-12-15T00:00:00"/>
    <n v="51"/>
    <m/>
    <s v="ENTREGUE"/>
    <n v="50"/>
    <n v="300"/>
    <n v="300"/>
    <n v="100"/>
    <n v="750"/>
  </r>
  <r>
    <s v="LETICIA"/>
    <x v="521"/>
    <x v="240"/>
    <x v="23"/>
    <s v="PET"/>
    <x v="44"/>
    <s v="CAMISETA GOLA CARECA"/>
    <s v="CAMISETA"/>
    <s v="LEVE"/>
    <n v="1000"/>
    <n v="23.5"/>
    <n v="23500"/>
    <n v="0"/>
    <d v="2025-12-19T00:00:00"/>
    <n v="51"/>
    <m/>
    <s v="ENTREGUE"/>
    <n v="250"/>
    <n v="1500"/>
    <n v="1500"/>
    <n v="500"/>
    <n v="3750"/>
  </r>
  <r>
    <s v="SANDY"/>
    <x v="522"/>
    <x v="241"/>
    <x v="24"/>
    <s v="COMÉRCIO"/>
    <x v="257"/>
    <s v="SACOCHILA NY EMBORRACHADO"/>
    <s v="SACOCHILA"/>
    <s v="LEVE"/>
    <n v="300"/>
    <n v="14.5"/>
    <n v="4350"/>
    <n v="0"/>
    <d v="2025-12-21T00:00:00"/>
    <n v="52"/>
    <m/>
    <s v="ENTREGUE"/>
    <n v="75"/>
    <n v="450"/>
    <n v="450"/>
    <n v="150"/>
    <n v="1125"/>
  </r>
  <r>
    <s v="LETICIA"/>
    <x v="523"/>
    <x v="241"/>
    <x v="24"/>
    <s v="COMÉRCIO"/>
    <x v="111"/>
    <s v="SACO DE ALGODÃO COM VISOR 30LX39A"/>
    <s v="SACO"/>
    <s v="LEVE"/>
    <n v="200"/>
    <n v="8.5"/>
    <n v="1700"/>
    <n v="0"/>
    <d v="2025-12-30T00:00:00"/>
    <n v="53"/>
    <m/>
    <s v="ENTREGUE"/>
    <n v="50"/>
    <n v="140"/>
    <n v="200"/>
    <n v="100"/>
    <n v="490"/>
  </r>
  <r>
    <s v="AMANDA"/>
    <x v="524"/>
    <x v="241"/>
    <x v="24"/>
    <s v="PET"/>
    <x v="258"/>
    <s v="CAMISETA GOLA CARECA MALHA PV"/>
    <s v="CAMISETA"/>
    <s v="LEVE"/>
    <n v="10"/>
    <n v="55"/>
    <n v="550"/>
    <n v="0"/>
    <d v="2026-01-05T00:00:00"/>
    <n v="2"/>
    <m/>
    <s v="ENTREGUE"/>
    <n v="2.5"/>
    <n v="15"/>
    <n v="15"/>
    <n v="5"/>
    <n v="37.5"/>
  </r>
  <r>
    <s v="LETICIA"/>
    <x v="525"/>
    <x v="241"/>
    <x v="24"/>
    <s v="PET"/>
    <x v="44"/>
    <s v="AVENTAL NY EMBORRACHADO"/>
    <s v="AVENTAL"/>
    <s v="LEVE"/>
    <n v="1500"/>
    <n v="23"/>
    <n v="34500"/>
    <n v="0"/>
    <d v="2025-12-19T00:00:00"/>
    <n v="51"/>
    <m/>
    <s v="ENTREGUE"/>
    <n v="375"/>
    <n v="1050"/>
    <n v="2760"/>
    <n v="750"/>
    <n v="4935"/>
  </r>
  <r>
    <s v="LETICIA"/>
    <x v="526"/>
    <x v="242"/>
    <x v="24"/>
    <s v="COSMÉTICO"/>
    <x v="42"/>
    <s v="NECESSAIRE MALETA MAKE"/>
    <s v="NECESSAIRE"/>
    <s v="PESADA"/>
    <n v="40"/>
    <n v="14"/>
    <n v="560"/>
    <n v="280"/>
    <d v="2026-01-08T00:00:00"/>
    <n v="2"/>
    <m/>
    <s v="ENTREGUE"/>
    <n v="10"/>
    <n v="502.5"/>
    <n v="60"/>
    <n v="20"/>
    <n v="592.5"/>
  </r>
  <r>
    <s v="LETICIA"/>
    <x v="527"/>
    <x v="242"/>
    <x v="24"/>
    <s v="COSMÉTICO"/>
    <x v="42"/>
    <s v="CAPA DE CORTE TACTEL NY EMBORRACHADO"/>
    <s v="CAPA"/>
    <s v="LEVE"/>
    <n v="500"/>
    <n v="28"/>
    <n v="14000"/>
    <n v="14000"/>
    <d v="2026-01-05T00:00:00"/>
    <n v="2"/>
    <m/>
    <s v="ENTREGUE"/>
    <n v="125"/>
    <n v="750"/>
    <n v="750"/>
    <n v="250"/>
    <n v="1875"/>
  </r>
  <r>
    <s v="AMANDA"/>
    <x v="528"/>
    <x v="243"/>
    <x v="24"/>
    <s v="COSMÉTICO"/>
    <x v="71"/>
    <s v="CAPA DE CORTE CETIM"/>
    <s v="CAPA"/>
    <s v="LEVE"/>
    <n v="100"/>
    <n v="24.5"/>
    <n v="2450"/>
    <n v="0"/>
    <d v="2026-01-06T00:00:00"/>
    <n v="2"/>
    <m/>
    <s v="ENTREGUE"/>
    <n v="25"/>
    <n v="150"/>
    <n v="150"/>
    <n v="50"/>
    <n v="375"/>
  </r>
  <r>
    <s v="AMANDA"/>
    <x v="528"/>
    <x v="243"/>
    <x v="24"/>
    <s v="COSMÉTICO"/>
    <x v="71"/>
    <s v="KIMONO TACTEL"/>
    <s v="KIMONO"/>
    <s v="LEVE"/>
    <n v="100"/>
    <n v="26.5"/>
    <n v="2650"/>
    <n v="0"/>
    <d v="2026-01-06T00:00:00"/>
    <n v="2"/>
    <m/>
    <s v="ENTREGUE"/>
    <n v="25"/>
    <n v="150"/>
    <n v="150"/>
    <n v="50"/>
    <n v="375"/>
  </r>
  <r>
    <s v="LETICIA"/>
    <x v="529"/>
    <x v="244"/>
    <x v="24"/>
    <s v="COSMÉTICO"/>
    <x v="63"/>
    <s v="SACOLA LONITA DUBLADA "/>
    <s v="SACOLA"/>
    <s v="LEVE"/>
    <n v="10000"/>
    <m/>
    <n v="0"/>
    <n v="0"/>
    <d v="2025-01-30T00:00:00"/>
    <n v="5"/>
    <s v="OK"/>
    <s v="ENTREGUE"/>
    <n v="2500"/>
    <n v="5000"/>
    <n v="15000"/>
    <n v="5000"/>
    <n v="27500"/>
  </r>
  <r>
    <s v="LETICIA"/>
    <x v="530"/>
    <x v="244"/>
    <x v="24"/>
    <s v="COSMÉTICO"/>
    <x v="63"/>
    <s v="SACOLA DE ALGODÃO "/>
    <s v="SACOLA"/>
    <s v="LEVE"/>
    <n v="500"/>
    <n v="11.5"/>
    <n v="5750"/>
    <n v="5750"/>
    <d v="2026-01-07T00:00:00"/>
    <n v="2"/>
    <m/>
    <s v="ENTREGUE"/>
    <n v="125"/>
    <n v="750"/>
    <n v="750"/>
    <n v="250"/>
    <n v="1875"/>
  </r>
  <r>
    <s v="LETICIA"/>
    <x v="531"/>
    <x v="244"/>
    <x v="24"/>
    <s v="EDITORA"/>
    <x v="78"/>
    <s v="SACOLA LONITA 100% ALGODÃO"/>
    <s v="SACOLA"/>
    <s v="PESADA"/>
    <n v="250"/>
    <n v="15.5"/>
    <n v="3875"/>
    <n v="0"/>
    <d v="2025-12-15T00:00:00"/>
    <n v="51"/>
    <m/>
    <s v="ENTREGUE"/>
    <n v="62.5"/>
    <n v="375"/>
    <n v="375"/>
    <n v="125"/>
    <n v="937.5"/>
  </r>
  <r>
    <s v="LETICIA"/>
    <x v="532"/>
    <x v="245"/>
    <x v="25"/>
    <s v="PET"/>
    <x v="1"/>
    <s v="AVENTAL NYLON EMBORRACHADO"/>
    <s v="AVENTAL"/>
    <s v="LEVE"/>
    <n v="2500"/>
    <n v="23.5"/>
    <n v="58750"/>
    <n v="58750"/>
    <d v="2026-01-22T00:00:00"/>
    <n v="4"/>
    <m/>
    <s v="ENTREGUE"/>
    <n v="625"/>
    <n v="2500"/>
    <n v="4600"/>
    <n v="1250"/>
    <n v="8975"/>
  </r>
  <r>
    <s v="AMANDA"/>
    <x v="533"/>
    <x v="245"/>
    <x v="25"/>
    <s v="COSMÉTICO"/>
    <x v="259"/>
    <s v="NECESSAIRE PASTA MED"/>
    <s v="NECESSAIRE"/>
    <s v="PESADA"/>
    <n v="100"/>
    <n v="25"/>
    <n v="2500"/>
    <n v="0"/>
    <d v="2026-01-09T00:00:00"/>
    <n v="2"/>
    <m/>
    <s v="ENTREGUE"/>
    <n v="25"/>
    <n v="502.5"/>
    <n v="150"/>
    <n v="50"/>
    <n v="727.5"/>
  </r>
  <r>
    <s v="AMANDA"/>
    <x v="534"/>
    <x v="246"/>
    <x v="25"/>
    <s v="COSMÉTICO"/>
    <x v="260"/>
    <s v="AVENTAL OXFORD MODELO PADRÃO"/>
    <s v="AVENTAL"/>
    <s v="LEVE"/>
    <n v="100"/>
    <n v="17"/>
    <n v="1700"/>
    <n v="0"/>
    <d v="2026-01-12T00:00:00"/>
    <n v="3"/>
    <m/>
    <s v="ENTREGUE"/>
    <n v="25"/>
    <n v="70"/>
    <n v="150"/>
    <n v="50"/>
    <n v="295"/>
  </r>
  <r>
    <s v="LETICIA"/>
    <x v="535"/>
    <x v="247"/>
    <x v="25"/>
    <s v="COMÉRCIO"/>
    <x v="39"/>
    <s v="SACO ALGODÃO CRU 77X60"/>
    <s v="SACO"/>
    <s v="LEVE"/>
    <n v="200"/>
    <n v="16.5"/>
    <n v="3300"/>
    <n v="1025"/>
    <d v="2026-01-12T00:00:00"/>
    <n v="3"/>
    <m/>
    <s v="ENTREGUE"/>
    <n v="50"/>
    <n v="300"/>
    <n v="300"/>
    <n v="100"/>
    <n v="750"/>
  </r>
  <r>
    <s v="LETICIA"/>
    <x v="535"/>
    <x v="247"/>
    <x v="25"/>
    <s v="COMÉRCIO"/>
    <x v="39"/>
    <s v="ETIQUETA LONITA"/>
    <s v="ETIQUETA "/>
    <s v="PESADA"/>
    <n v="500"/>
    <n v="2.5"/>
    <n v="1250"/>
    <n v="1250"/>
    <d v="2026-01-12T00:00:00"/>
    <n v="3"/>
    <m/>
    <s v="ENTREGUE"/>
    <n v="125"/>
    <n v="250"/>
    <n v="250"/>
    <n v="250"/>
    <n v="875"/>
  </r>
  <r>
    <s v="LETICIA"/>
    <x v="536"/>
    <x v="248"/>
    <x v="25"/>
    <s v="COMÉRCIO"/>
    <x v="40"/>
    <s v="NECESSAIRE NY PLASTIFICADO"/>
    <s v="NECESSAIRE"/>
    <s v="PESADA"/>
    <n v="300"/>
    <n v="23"/>
    <n v="6900"/>
    <n v="0"/>
    <d v="2026-01-15T00:00:00"/>
    <n v="3"/>
    <m/>
    <s v="ENTREGUE"/>
    <n v="75"/>
    <n v="201"/>
    <n v="450"/>
    <n v="150"/>
    <n v="876"/>
  </r>
  <r>
    <s v="KATIA"/>
    <x v="537"/>
    <x v="249"/>
    <x v="25"/>
    <s v="HAVANNA"/>
    <x v="261"/>
    <s v="CAMISETA MANGA LONGA 100% ALGODÃO"/>
    <s v="CAMISETA"/>
    <s v="LEVE"/>
    <n v="1"/>
    <n v="47.5"/>
    <n v="47.5"/>
    <n v="47.5"/>
    <d v="2026-01-16T00:00:00"/>
    <n v="3"/>
    <m/>
    <s v="ENTREGUE"/>
    <n v="0.25"/>
    <n v="1.5"/>
    <n v="1.5"/>
    <n v="0.5"/>
    <n v="3.75"/>
  </r>
  <r>
    <s v="KATIA"/>
    <x v="537"/>
    <x v="249"/>
    <x v="25"/>
    <s v="HAVANNA"/>
    <x v="261"/>
    <s v="CAMISETA POLO PIQUET"/>
    <s v="POLO"/>
    <s v="LEVE"/>
    <n v="4"/>
    <n v="65"/>
    <n v="260"/>
    <n v="260"/>
    <d v="2026-01-16T00:00:00"/>
    <n v="3"/>
    <m/>
    <s v="ENTREGUE"/>
    <n v="1"/>
    <n v="6"/>
    <n v="6"/>
    <n v="2"/>
    <n v="15"/>
  </r>
  <r>
    <s v="KATIA"/>
    <x v="537"/>
    <x v="249"/>
    <x v="25"/>
    <s v="HAVANNA"/>
    <x v="261"/>
    <s v="CAMISETA POLO PIQUET (TAM XG)"/>
    <s v="POLO"/>
    <s v="LEVE"/>
    <n v="1"/>
    <n v="70"/>
    <n v="70"/>
    <n v="70"/>
    <d v="2026-01-16T00:00:00"/>
    <n v="3"/>
    <m/>
    <s v="ENTREGUE"/>
    <n v="0.25"/>
    <n v="1.5"/>
    <n v="1.5"/>
    <n v="0.5"/>
    <n v="3.75"/>
  </r>
  <r>
    <s v="KATIA"/>
    <x v="537"/>
    <x v="249"/>
    <x v="25"/>
    <s v="HAVANNA"/>
    <x v="261"/>
    <s v="BABY LOOK FEMININA MALHA 100% ALGODAO"/>
    <s v="BABY LOOK"/>
    <s v="LEVE"/>
    <n v="4"/>
    <n v="36.75"/>
    <n v="147"/>
    <n v="147"/>
    <d v="2026-01-16T00:00:00"/>
    <n v="3"/>
    <m/>
    <s v="ENTREGUE"/>
    <n v="1"/>
    <n v="6"/>
    <n v="6"/>
    <n v="2"/>
    <n v="15"/>
  </r>
  <r>
    <s v="KATIA"/>
    <x v="537"/>
    <x v="249"/>
    <x v="25"/>
    <s v="HAVANNA"/>
    <x v="261"/>
    <s v="CAMISETA GOLA CARECA 100% ALGODÃO"/>
    <s v="CAMISETA"/>
    <s v="LEVE"/>
    <n v="9"/>
    <n v="36.75"/>
    <n v="330.75"/>
    <n v="330.75"/>
    <d v="2026-01-16T00:00:00"/>
    <n v="3"/>
    <m/>
    <s v="ENTREGUE"/>
    <n v="2.25"/>
    <n v="13.5"/>
    <n v="13.5"/>
    <n v="4.5"/>
    <n v="33.75"/>
  </r>
  <r>
    <s v="KATIA"/>
    <x v="537"/>
    <x v="249"/>
    <x v="25"/>
    <s v="HAVANNA"/>
    <x v="261"/>
    <s v="CAMISETA GOLA CAECA 100% ALGODÃO (XG) "/>
    <s v="CAMISETA"/>
    <s v="LEVE"/>
    <n v="1"/>
    <n v="50.5"/>
    <n v="50.5"/>
    <n v="50.5"/>
    <d v="2026-01-16T00:00:00"/>
    <n v="3"/>
    <m/>
    <s v="ENTREGUE"/>
    <n v="0.25"/>
    <n v="1.5"/>
    <n v="1.5"/>
    <n v="0.5"/>
    <n v="3.75"/>
  </r>
  <r>
    <s v="KATIA"/>
    <x v="537"/>
    <x v="249"/>
    <x v="25"/>
    <s v="HAVANNA"/>
    <x v="261"/>
    <s v="AVENTAL OXFORD MODELO PADRÃO"/>
    <s v="AVENTAL"/>
    <s v="LEVE"/>
    <n v="6"/>
    <n v="25"/>
    <n v="150"/>
    <n v="150"/>
    <d v="2026-01-16T00:00:00"/>
    <n v="3"/>
    <m/>
    <s v="ENTREGUE"/>
    <n v="1.5"/>
    <n v="4.1999999999999993"/>
    <n v="9"/>
    <n v="3"/>
    <n v="17.7"/>
  </r>
  <r>
    <s v="LETICIA"/>
    <x v="30"/>
    <x v="249"/>
    <x v="25"/>
    <s v="COMÉRCIO"/>
    <x v="262"/>
    <s v="NECESSAIRE NY COM FORRO MED"/>
    <s v="NECESSAIRE"/>
    <s v="PESADA"/>
    <n v="100"/>
    <n v="23.9"/>
    <n v="2390"/>
    <n v="0"/>
    <d v="2026-01-19T00:00:00"/>
    <n v="4"/>
    <m/>
    <s v="ENTREGUE"/>
    <n v="25"/>
    <n v="502.5"/>
    <n v="150"/>
    <n v="50"/>
    <n v="727.5"/>
  </r>
  <r>
    <s v="KATIA"/>
    <x v="538"/>
    <x v="249"/>
    <x v="25"/>
    <s v="HAVANNA"/>
    <x v="9"/>
    <s v="CAMISETA MANGA LONGA 100% ALGODÃO"/>
    <s v="CAMISETA"/>
    <s v="LEVE"/>
    <n v="15"/>
    <n v="47.5"/>
    <n v="712.5"/>
    <n v="0"/>
    <d v="2025-12-12T00:00:00"/>
    <n v="50"/>
    <m/>
    <s v="ENTREGUE"/>
    <n v="3.75"/>
    <n v="22.5"/>
    <n v="22.5"/>
    <n v="7.5"/>
    <n v="56.25"/>
  </r>
  <r>
    <s v="AMANDA"/>
    <x v="539"/>
    <x v="250"/>
    <x v="26"/>
    <s v="COSMÉTICO"/>
    <x v="263"/>
    <s v="CAPA DE CORTE CETIM 0,85X1,40"/>
    <s v="CAPA"/>
    <s v="LEVE"/>
    <n v="100"/>
    <n v="18.5"/>
    <n v="1850"/>
    <n v="925"/>
    <d v="2026-01-16T00:00:00"/>
    <n v="3"/>
    <m/>
    <s v="ENTREGUE"/>
    <n v="25"/>
    <n v="150"/>
    <n v="150"/>
    <n v="50"/>
    <n v="375"/>
  </r>
  <r>
    <s v="AMANDA"/>
    <x v="540"/>
    <x v="250"/>
    <x v="26"/>
    <s v="COSMÉTICO"/>
    <x v="82"/>
    <s v="CAPA DE CORTE CETIM DOURADA"/>
    <s v="CAPA"/>
    <s v="LEVE"/>
    <n v="50"/>
    <n v="29.99"/>
    <n v="1499.5"/>
    <n v="749.75"/>
    <d v="2026-01-16T00:00:00"/>
    <n v="3"/>
    <m/>
    <s v="ENTREGUE"/>
    <n v="12.5"/>
    <n v="75"/>
    <n v="75"/>
    <n v="25"/>
    <n v="187.5"/>
  </r>
  <r>
    <s v="LETICIA"/>
    <x v="32"/>
    <x v="251"/>
    <x v="26"/>
    <s v="PET"/>
    <x v="44"/>
    <s v="CAMISETA MALHA 100% ALGODÃO"/>
    <s v="CAMISETA"/>
    <s v="LEVE"/>
    <n v="83"/>
    <n v="33"/>
    <n v="0"/>
    <n v="2739"/>
    <d v="2026-01-27T00:00:00"/>
    <n v="5"/>
    <m/>
    <s v="ENTREGUE"/>
    <n v="20.75"/>
    <n v="124.5"/>
    <n v="124.5"/>
    <n v="41.5"/>
    <n v="311.25"/>
  </r>
  <r>
    <s v="LETICIA"/>
    <x v="32"/>
    <x v="251"/>
    <x v="26"/>
    <s v="PET"/>
    <x v="44"/>
    <s v="CALÇA BRIM"/>
    <s v="CALÇA "/>
    <s v="PESADA"/>
    <n v="20"/>
    <n v="78.5"/>
    <n v="0"/>
    <n v="1570"/>
    <d v="2026-01-27T00:00:00"/>
    <n v="5"/>
    <m/>
    <s v="ENTREGUE"/>
    <n v="5"/>
    <n v="0"/>
    <n v="60"/>
    <n v="10"/>
    <n v="75"/>
  </r>
  <r>
    <s v="AMANDA"/>
    <x v="541"/>
    <x v="252"/>
    <x v="28"/>
    <s v="HAVANNA"/>
    <x v="264"/>
    <s v="AVENTAL OXFORD MODELO PADRÃO"/>
    <s v="AVENTAL"/>
    <s v="LEVE"/>
    <n v="7"/>
    <n v="25"/>
    <n v="175"/>
    <n v="175"/>
    <d v="2026-01-30T00:00:00"/>
    <n v="5"/>
    <m/>
    <s v="ENTREGUE"/>
    <n v="1.75"/>
    <n v="4.8999999999999995"/>
    <n v="10.5"/>
    <n v="3.5"/>
    <n v="20.65"/>
  </r>
  <r>
    <s v="AMANDA"/>
    <x v="541"/>
    <x v="252"/>
    <x v="28"/>
    <s v="HAVANNA"/>
    <x v="264"/>
    <s v="FAIXA DE CABELO"/>
    <s v="FAIXA"/>
    <s v="LEVE"/>
    <n v="5"/>
    <n v="21"/>
    <n v="105"/>
    <n v="105"/>
    <d v="2026-01-30T00:00:00"/>
    <n v="5"/>
    <m/>
    <s v="ENTREGUE"/>
    <n v="1.25"/>
    <n v="5"/>
    <n v="6"/>
    <n v="2.5"/>
    <n v="14.75"/>
  </r>
  <r>
    <s v="AMANDA"/>
    <x v="541"/>
    <x v="252"/>
    <x v="28"/>
    <s v="HAVANNA"/>
    <x v="264"/>
    <s v="CAMISETA MALHA 100% ALGODÃO"/>
    <s v="CAMISETA"/>
    <s v="LEVE"/>
    <n v="10"/>
    <n v="36.75"/>
    <n v="367.5"/>
    <n v="367.5"/>
    <d v="2026-01-30T00:00:00"/>
    <n v="5"/>
    <m/>
    <s v="ENTREGUE"/>
    <n v="2.5"/>
    <n v="15"/>
    <n v="15"/>
    <n v="5"/>
    <n v="37.5"/>
  </r>
  <r>
    <s v="AMANDA"/>
    <x v="542"/>
    <x v="253"/>
    <x v="28"/>
    <s v="COSMÉTICO"/>
    <x v="117"/>
    <s v="AVENTAL NYLON EMBORRACHADO"/>
    <s v="AVENTAL"/>
    <s v="LEVE"/>
    <n v="100"/>
    <n v="19.899999999999999"/>
    <n v="1989.9999999999998"/>
    <n v="0"/>
    <d v="2026-02-03T00:00:00"/>
    <n v="6"/>
    <m/>
    <s v="ENTREGUE"/>
    <n v="25"/>
    <n v="100"/>
    <n v="184"/>
    <n v="50"/>
    <n v="359"/>
  </r>
  <r>
    <s v="LETICIA"/>
    <x v="543"/>
    <x v="254"/>
    <x v="28"/>
    <s v="COSMÉTICO"/>
    <x v="69"/>
    <s v="CAMISETA MALHA 100% POLIESTER "/>
    <s v="CAMISETA"/>
    <s v="LEVE"/>
    <n v="120"/>
    <n v="22.5"/>
    <n v="2700"/>
    <n v="2700"/>
    <d v="2026-02-05T00:00:00"/>
    <n v="6"/>
    <m/>
    <s v="ENTREGUE"/>
    <n v="30"/>
    <n v="180"/>
    <n v="180"/>
    <n v="60"/>
    <n v="450"/>
  </r>
  <r>
    <s v="LETICIA"/>
    <x v="31"/>
    <x v="254"/>
    <x v="28"/>
    <s v="PET"/>
    <x v="41"/>
    <s v="AVENTAL NY EMBORRACHADO"/>
    <s v="AVENTAL"/>
    <s v="LEVE"/>
    <n v="250"/>
    <n v="23.5"/>
    <n v="5875"/>
    <n v="0"/>
    <d v="2026-01-20T00:00:00"/>
    <n v="4"/>
    <m/>
    <s v="ENTREGUE"/>
    <n v="62.5"/>
    <n v="250"/>
    <n v="460"/>
    <n v="125"/>
    <n v="897.5"/>
  </r>
  <r>
    <s v="LETICIA"/>
    <x v="544"/>
    <x v="254"/>
    <x v="28"/>
    <s v="COSMÉTICO"/>
    <x v="265"/>
    <s v="CAMISETA MALHA 100% POLIÉSTER"/>
    <s v="CAMISETA"/>
    <s v="LEVE"/>
    <n v="30"/>
    <n v="22.5"/>
    <n v="675"/>
    <n v="675"/>
    <d v="2026-02-05T00:00:00"/>
    <n v="6"/>
    <m/>
    <s v="ENTREGUE"/>
    <n v="7.5"/>
    <n v="45"/>
    <n v="45"/>
    <n v="15"/>
    <n v="112.5"/>
  </r>
  <r>
    <s v="LETICIA"/>
    <x v="545"/>
    <x v="254"/>
    <x v="28"/>
    <s v="COSMÉTICO"/>
    <x v="94"/>
    <s v="CAMISETA GOLA CARECA MALHA 100% ALGODÃO "/>
    <s v="CAMISETA"/>
    <s v="LEVE"/>
    <n v="25"/>
    <n v="49"/>
    <n v="1225"/>
    <n v="0"/>
    <d v="2026-01-13T00:00:00"/>
    <n v="3"/>
    <m/>
    <s v="ENTREGUE"/>
    <n v="6.25"/>
    <n v="37.5"/>
    <n v="37.5"/>
    <n v="12.5"/>
    <n v="93.75"/>
  </r>
  <r>
    <s v="AMANDA"/>
    <x v="546"/>
    <x v="254"/>
    <x v="28"/>
    <s v="PET"/>
    <x v="177"/>
    <s v="AVENTAL NY EMBORRACHADO"/>
    <s v="AVENTAL"/>
    <s v="LEVE"/>
    <n v="200"/>
    <n v="24"/>
    <n v="4800"/>
    <n v="2400"/>
    <d v="2026-01-23T00:00:00"/>
    <n v="4"/>
    <m/>
    <s v="ENTREGUE"/>
    <n v="50"/>
    <n v="200"/>
    <n v="368"/>
    <n v="100"/>
    <n v="718"/>
  </r>
  <r>
    <s v="AMANDA"/>
    <x v="547"/>
    <x v="254"/>
    <x v="28"/>
    <s v="COSMÉTICO"/>
    <x v="104"/>
    <s v="AVENTAL NY 210"/>
    <s v="AVENTAL"/>
    <s v="LEVE"/>
    <n v="120"/>
    <n v="16.66"/>
    <n v="1999.2"/>
    <n v="1000"/>
    <d v="2026-02-05T00:00:00"/>
    <n v="6"/>
    <m/>
    <s v="ENTREGUE"/>
    <n v="30"/>
    <n v="180"/>
    <n v="180"/>
    <n v="60"/>
    <n v="450"/>
  </r>
  <r>
    <s v="LETICIA"/>
    <x v="548"/>
    <x v="254"/>
    <x v="28"/>
    <s v="COSMÉTICO"/>
    <x v="134"/>
    <s v="SACO DE ALGODÃO"/>
    <s v="SACO"/>
    <s v="LEVE"/>
    <n v="400"/>
    <n v="8.9"/>
    <n v="3560"/>
    <n v="3560"/>
    <d v="2026-01-23T00:00:00"/>
    <n v="4"/>
    <m/>
    <s v="ENTREGUE"/>
    <n v="100"/>
    <n v="600"/>
    <n v="600"/>
    <n v="200"/>
    <n v="1500"/>
  </r>
  <r>
    <s v="AMANDA"/>
    <x v="549"/>
    <x v="255"/>
    <x v="29"/>
    <s v="COSMÉTICO"/>
    <x v="241"/>
    <s v="CAPA DE CORTE TACTEL 0,85X1,40"/>
    <s v="CAPA"/>
    <s v="LEVE"/>
    <n v="100"/>
    <n v="17.5"/>
    <n v="1750"/>
    <n v="0"/>
    <d v="2026-02-05T00:00:00"/>
    <n v="6"/>
    <m/>
    <s v="ENTREGUE"/>
    <n v="25"/>
    <n v="150"/>
    <n v="150"/>
    <n v="50"/>
    <n v="375"/>
  </r>
  <r>
    <s v="FERNANDA"/>
    <x v="550"/>
    <x v="256"/>
    <x v="29"/>
    <s v="HAVANNA"/>
    <x v="261"/>
    <s v="AVENTAL OXFORD MODELO PADRÃO"/>
    <s v="AVENTAL"/>
    <s v="LEVE"/>
    <n v="2"/>
    <n v="25"/>
    <n v="50"/>
    <n v="50"/>
    <d v="2026-02-09T00:00:00"/>
    <n v="7"/>
    <m/>
    <s v="ENTREGUE"/>
    <n v="0.5"/>
    <n v="3"/>
    <n v="3"/>
    <n v="1"/>
    <n v="7.5"/>
  </r>
  <r>
    <s v="FERNANDA"/>
    <x v="550"/>
    <x v="256"/>
    <x v="29"/>
    <s v="HAVANNA"/>
    <x v="261"/>
    <s v="BABY LOOK FEMININA MALHA 100% ALGODAO"/>
    <s v="BABY LOOK"/>
    <s v="LEVE"/>
    <n v="2"/>
    <n v="36.75"/>
    <n v="73.5"/>
    <n v="73.5"/>
    <d v="2026-02-09T00:00:00"/>
    <n v="7"/>
    <m/>
    <s v="ENTREGUE"/>
    <n v="0.5"/>
    <n v="3"/>
    <n v="3"/>
    <n v="1"/>
    <n v="7.5"/>
  </r>
  <r>
    <s v="FERNANDA"/>
    <x v="550"/>
    <x v="256"/>
    <x v="29"/>
    <s v="HAVANNA"/>
    <x v="261"/>
    <s v="CAMISETA POLO PIQUET"/>
    <s v="POLO"/>
    <s v="LEVE"/>
    <n v="1"/>
    <n v="65"/>
    <n v="65"/>
    <n v="65"/>
    <d v="2026-02-09T00:00:00"/>
    <n v="7"/>
    <m/>
    <s v="ENTREGUE"/>
    <n v="0.25"/>
    <n v="1.5"/>
    <n v="1.5"/>
    <n v="0.5"/>
    <n v="3.75"/>
  </r>
  <r>
    <s v="LETICIA"/>
    <x v="33"/>
    <x v="256"/>
    <x v="29"/>
    <s v="COSMÉTICO"/>
    <x v="171"/>
    <s v="CAMISETA MALHA 100% ALGODÃO"/>
    <s v="CAMISETA"/>
    <s v="LEVE"/>
    <n v="50"/>
    <n v="37"/>
    <n v="1850"/>
    <n v="0"/>
    <d v="2026-01-28T00:00:00"/>
    <n v="5"/>
    <m/>
    <s v="ENTREGUE"/>
    <n v="12.5"/>
    <n v="75"/>
    <n v="75"/>
    <n v="25"/>
    <n v="187.5"/>
  </r>
  <r>
    <s v="LETICIA"/>
    <x v="35"/>
    <x v="256"/>
    <x v="29"/>
    <s v="PET"/>
    <x v="103"/>
    <s v="AVENTAL NY EMBORRACHADO"/>
    <s v="AVENTAL"/>
    <s v="LEVE"/>
    <n v="100"/>
    <n v="25"/>
    <n v="2500"/>
    <n v="0"/>
    <d v="2026-02-10T00:00:00"/>
    <n v="7"/>
    <m/>
    <s v="ENTREGUE"/>
    <n v="25"/>
    <n v="150"/>
    <n v="150"/>
    <n v="50"/>
    <n v="375"/>
  </r>
  <r>
    <s v="FERNANDA"/>
    <x v="551"/>
    <x v="257"/>
    <x v="29"/>
    <s v="HAVANNA"/>
    <x v="266"/>
    <s v="AVENTAL OXFORD MODELO PADRÃO"/>
    <s v="AVENTAL"/>
    <s v="LEVE"/>
    <n v="18"/>
    <n v="25"/>
    <n v="450"/>
    <n v="450"/>
    <d v="2026-02-11T00:00:00"/>
    <n v="7"/>
    <m/>
    <s v="ENTREGUE"/>
    <n v="4.5"/>
    <n v="27"/>
    <n v="27"/>
    <n v="9"/>
    <n v="67.5"/>
  </r>
  <r>
    <s v="FERNANDA"/>
    <x v="551"/>
    <x v="257"/>
    <x v="29"/>
    <s v="HAVANNA"/>
    <x v="266"/>
    <s v="CAMISETA MALHA 100% ALGODÃO"/>
    <s v="CAMISETA"/>
    <s v="LEVE"/>
    <n v="30"/>
    <n v="36.75"/>
    <n v="1102.5"/>
    <n v="1102.5"/>
    <d v="2026-02-11T00:00:00"/>
    <n v="7"/>
    <m/>
    <s v="ENTREGUE"/>
    <n v="7.5"/>
    <n v="45"/>
    <n v="45"/>
    <n v="15"/>
    <n v="112.5"/>
  </r>
  <r>
    <s v="FERNANDA"/>
    <x v="551"/>
    <x v="257"/>
    <x v="29"/>
    <s v="HAVANNA"/>
    <x v="266"/>
    <s v="FAIXA DE CABELO"/>
    <s v="FAIXA"/>
    <s v="LEVE"/>
    <n v="15"/>
    <n v="21"/>
    <n v="315"/>
    <n v="315"/>
    <d v="2026-02-11T00:00:00"/>
    <n v="7"/>
    <m/>
    <s v="ENTREGUE"/>
    <n v="3.75"/>
    <n v="22.5"/>
    <n v="22.5"/>
    <n v="7.5"/>
    <n v="56.25"/>
  </r>
  <r>
    <s v="LETICIA"/>
    <x v="34"/>
    <x v="257"/>
    <x v="29"/>
    <s v="PET"/>
    <x v="44"/>
    <s v="MANTA COBERTOR PET 1M X 70"/>
    <s v="MANTA"/>
    <s v="LEVE"/>
    <n v="2000"/>
    <n v="15.7"/>
    <n v="31400"/>
    <n v="31400"/>
    <d v="2026-02-20T00:00:00"/>
    <n v="8"/>
    <m/>
    <s v="ENTREGUE"/>
    <n v="500"/>
    <n v="3000"/>
    <n v="3000"/>
    <n v="1000"/>
    <n v="7500"/>
  </r>
  <r>
    <s v="LETICIA"/>
    <x v="34"/>
    <x v="257"/>
    <x v="29"/>
    <s v="PET"/>
    <x v="44"/>
    <s v="MANTA COBERTOR PET 1M X 70"/>
    <s v="MANTA"/>
    <s v="LEVE"/>
    <n v="1250"/>
    <n v="15.7"/>
    <n v="19625"/>
    <n v="19625"/>
    <d v="2026-02-20T00:00:00"/>
    <n v="8"/>
    <m/>
    <s v="ENTREGUE"/>
    <n v="312.5"/>
    <n v="1875"/>
    <n v="1875"/>
    <n v="625"/>
    <n v="4687.5"/>
  </r>
  <r>
    <s v="AMANDA"/>
    <x v="552"/>
    <x v="258"/>
    <x v="29"/>
    <s v="COSMÉTICO"/>
    <x v="267"/>
    <s v="CAMISETA MALHA 100% ALGODÃO"/>
    <s v="CAMISETA"/>
    <s v="LEVE"/>
    <n v="200"/>
    <n v="25.5"/>
    <n v="5100"/>
    <n v="0"/>
    <d v="2026-02-13T00:00:00"/>
    <n v="7"/>
    <m/>
    <s v="ENTREGUE"/>
    <n v="50"/>
    <n v="300"/>
    <n v="300"/>
    <n v="100"/>
    <n v="750"/>
  </r>
  <r>
    <s v="AMANDA"/>
    <x v="553"/>
    <x v="258"/>
    <x v="29"/>
    <s v="COSMÉTICO"/>
    <x v="268"/>
    <s v="NECESSAIRE MALETA MAKE"/>
    <s v="NECESSAIRE"/>
    <s v="PESADA"/>
    <n v="2000"/>
    <n v="12"/>
    <n v="24000"/>
    <n v="0"/>
    <d v="2026-02-13T00:00:00"/>
    <n v="7"/>
    <m/>
    <s v="ENTREGUE"/>
    <n v="500"/>
    <n v="3000"/>
    <n v="3000"/>
    <n v="1000"/>
    <n v="7500"/>
  </r>
  <r>
    <s v="LETICIA"/>
    <x v="36"/>
    <x v="258"/>
    <x v="29"/>
    <s v="COMÉRCIO"/>
    <x v="40"/>
    <s v="NECESSAIRE NY PLASTIFICADO"/>
    <s v="NECESSAIRE"/>
    <s v="PESADA"/>
    <n v="300"/>
    <n v="23"/>
    <n v="6900"/>
    <n v="0"/>
    <d v="2026-02-16T00:00:00"/>
    <n v="8"/>
    <m/>
    <s v="ENTREGUE"/>
    <n v="75"/>
    <n v="450"/>
    <n v="450"/>
    <n v="150"/>
    <n v="1125"/>
  </r>
  <r>
    <s v="LETICIA"/>
    <x v="554"/>
    <x v="259"/>
    <x v="30"/>
    <s v="PET"/>
    <x v="1"/>
    <s v="AVENTAL NYLON EMBORRACHADO"/>
    <s v="AVENTAL"/>
    <s v="LEVE"/>
    <n v="2500"/>
    <n v="23.5"/>
    <n v="58750"/>
    <n v="58750"/>
    <d v="2026-02-19T00:00:00"/>
    <n v="8"/>
    <m/>
    <s v="ENTREGUE"/>
    <n v="625"/>
    <n v="3750"/>
    <n v="3750"/>
    <n v="1250"/>
    <n v="9375"/>
  </r>
  <r>
    <s v="LETICIA"/>
    <x v="37"/>
    <x v="259"/>
    <x v="30"/>
    <s v="COSMÉTICO"/>
    <x v="119"/>
    <s v="AVENTAL NY EMBORRACHADO COR VERDE"/>
    <s v="AVENTAL"/>
    <s v="LEVE"/>
    <n v="150"/>
    <n v="23.5"/>
    <n v="3525"/>
    <n v="1762.5"/>
    <d v="2026-02-18T00:00:00"/>
    <n v="8"/>
    <m/>
    <s v="ENTREGUE"/>
    <n v="37.5"/>
    <n v="225"/>
    <n v="225"/>
    <n v="75"/>
    <n v="562.5"/>
  </r>
  <r>
    <s v="FERNANDA"/>
    <x v="555"/>
    <x v="259"/>
    <x v="30"/>
    <s v="HAVANNA"/>
    <x v="10"/>
    <s v="BABY LOOK FEMININA MALHA 100% ALGODAO"/>
    <s v="BABY LOOK"/>
    <s v="LEVE"/>
    <n v="6"/>
    <n v="36.75"/>
    <n v="220.5"/>
    <n v="220.5"/>
    <d v="2026-02-18T00:00:00"/>
    <n v="8"/>
    <m/>
    <s v="ENTREGUE"/>
    <n v="1.5"/>
    <n v="9"/>
    <n v="9"/>
    <n v="3"/>
    <n v="22.5"/>
  </r>
  <r>
    <s v="FERNANDA"/>
    <x v="555"/>
    <x v="259"/>
    <x v="30"/>
    <s v="HAVANNA"/>
    <x v="10"/>
    <s v="CAMISETA MALHA 100% ALGODÃO"/>
    <s v="CAMISETA"/>
    <s v="LEVE"/>
    <n v="8"/>
    <n v="36.75"/>
    <n v="294"/>
    <n v="294"/>
    <d v="2026-02-18T00:00:00"/>
    <n v="8"/>
    <m/>
    <s v="ENTREGUE"/>
    <n v="2"/>
    <n v="12"/>
    <n v="12"/>
    <n v="4"/>
    <n v="30"/>
  </r>
  <r>
    <s v="FERNANDA"/>
    <x v="555"/>
    <x v="259"/>
    <x v="30"/>
    <s v="HAVANNA"/>
    <x v="10"/>
    <s v="AVENTAL OXFORD MODELO PADRÃO"/>
    <s v="AVENTAL"/>
    <s v="LEVE"/>
    <n v="3"/>
    <n v="25"/>
    <n v="75"/>
    <n v="75"/>
    <d v="2026-02-18T00:00:00"/>
    <n v="8"/>
    <m/>
    <s v="ENTREGUE"/>
    <n v="0.75"/>
    <n v="4.5"/>
    <n v="4.5"/>
    <n v="1.5"/>
    <n v="11.25"/>
  </r>
  <r>
    <s v="FERNANDA"/>
    <x v="556"/>
    <x v="260"/>
    <x v="30"/>
    <s v="HAVANNA"/>
    <x v="269"/>
    <s v="CAMISETA POLO PIQUET"/>
    <s v="POLO"/>
    <s v="LEVE"/>
    <n v="1"/>
    <n v="65"/>
    <n v="65"/>
    <n v="65"/>
    <d v="2026-01-22T00:00:00"/>
    <n v="4"/>
    <m/>
    <s v="ENTREGUE"/>
    <n v="0.25"/>
    <n v="1.5"/>
    <n v="1.5"/>
    <n v="0.5"/>
    <n v="3.75"/>
  </r>
  <r>
    <s v="FERNANDA"/>
    <x v="556"/>
    <x v="260"/>
    <x v="30"/>
    <s v="HAVANNA"/>
    <x v="269"/>
    <s v="AVENTAL OXFORD MODELO PADRÃO"/>
    <s v="AVENTAL"/>
    <s v="LEVE"/>
    <n v="7"/>
    <n v="25"/>
    <n v="175"/>
    <n v="175"/>
    <d v="2026-01-22T00:00:00"/>
    <n v="4"/>
    <m/>
    <s v="ENTREGUE"/>
    <n v="1.75"/>
    <n v="10.5"/>
    <n v="10.5"/>
    <n v="3.5"/>
    <n v="26.25"/>
  </r>
  <r>
    <s v="LETICIA"/>
    <x v="557"/>
    <x v="260"/>
    <x v="30"/>
    <s v="COSMÉTICO"/>
    <x v="138"/>
    <s v="KIMONO"/>
    <s v="KIMONO"/>
    <s v="LEVE"/>
    <n v="150"/>
    <n v="24.5"/>
    <n v="3675"/>
    <n v="1837.5"/>
    <d v="2026-02-20T00:00:00"/>
    <n v="8"/>
    <m/>
    <s v="ENTREGUE"/>
    <n v="37.5"/>
    <n v="225"/>
    <n v="225"/>
    <n v="75"/>
    <n v="562.5"/>
  </r>
  <r>
    <s v="LETICIA"/>
    <x v="557"/>
    <x v="260"/>
    <x v="30"/>
    <s v="COSMÉTICO"/>
    <x v="138"/>
    <s v="NECESSAIRE"/>
    <s v="NECESSAIRE"/>
    <s v="PESADA"/>
    <n v="100"/>
    <n v="17"/>
    <n v="1700"/>
    <n v="850"/>
    <d v="2026-02-20T00:00:00"/>
    <n v="8"/>
    <m/>
    <s v="ENTREGUE"/>
    <n v="25"/>
    <n v="150"/>
    <n v="150"/>
    <n v="50"/>
    <n v="375"/>
  </r>
  <r>
    <s v="LETICIA"/>
    <x v="557"/>
    <x v="260"/>
    <x v="30"/>
    <s v="COSMÉTICO"/>
    <x v="138"/>
    <s v="CAMISETA"/>
    <s v="CAMISETA"/>
    <s v="LEVE"/>
    <n v="150"/>
    <n v="22.5"/>
    <n v="3375"/>
    <n v="1687.5"/>
    <d v="2026-02-20T00:00:00"/>
    <n v="8"/>
    <m/>
    <s v="ENTREGUE"/>
    <n v="37.5"/>
    <n v="225"/>
    <n v="225"/>
    <n v="75"/>
    <n v="562.5"/>
  </r>
  <r>
    <s v="LETICIA"/>
    <x v="557"/>
    <x v="260"/>
    <x v="30"/>
    <s v="COSMÉTICO"/>
    <x v="138"/>
    <s v="CAPA DE CORTE"/>
    <s v="CAPA"/>
    <s v="LEVE"/>
    <n v="100"/>
    <n v="15"/>
    <n v="1500"/>
    <n v="750"/>
    <d v="2026-02-20T00:00:00"/>
    <n v="8"/>
    <m/>
    <s v="ENTREGUE"/>
    <n v="25"/>
    <n v="150"/>
    <n v="150"/>
    <n v="50"/>
    <n v="375"/>
  </r>
  <r>
    <s v="LETICIA"/>
    <x v="557"/>
    <x v="260"/>
    <x v="30"/>
    <s v="COSMÉTICO"/>
    <x v="138"/>
    <s v="SACOLA DE ALGODÃO"/>
    <s v="SACOLA"/>
    <s v="PESADA"/>
    <n v="100"/>
    <n v="9.9"/>
    <n v="990"/>
    <n v="495"/>
    <d v="2026-02-20T00:00:00"/>
    <n v="8"/>
    <m/>
    <s v="ENTREGUE"/>
    <n v="25"/>
    <n v="150"/>
    <n v="150"/>
    <n v="50"/>
    <n v="375"/>
  </r>
  <r>
    <s v="LETICIA"/>
    <x v="557"/>
    <x v="260"/>
    <x v="30"/>
    <s v="COSMÉTICO"/>
    <x v="138"/>
    <s v="AVENTAL NY 210"/>
    <s v="AVENTAL"/>
    <s v="LEVE"/>
    <n v="100"/>
    <n v="17.5"/>
    <n v="1750"/>
    <n v="875"/>
    <d v="2026-02-20T00:00:00"/>
    <n v="8"/>
    <m/>
    <s v="ENTREGUE"/>
    <n v="25"/>
    <n v="150"/>
    <n v="150"/>
    <n v="50"/>
    <n v="375"/>
  </r>
  <r>
    <s v="LETICIA"/>
    <x v="557"/>
    <x v="260"/>
    <x v="30"/>
    <s v="COSMÉTICO"/>
    <x v="138"/>
    <s v="AVENTAL BARBEIRO SARJA E COURO SINTÉTICO"/>
    <s v="AVENTAL"/>
    <s v="PESADA"/>
    <n v="50"/>
    <n v="67"/>
    <n v="3350"/>
    <n v="1675"/>
    <d v="2026-02-20T00:00:00"/>
    <n v="8"/>
    <m/>
    <s v="ENTREGUE"/>
    <n v="12.5"/>
    <n v="75"/>
    <n v="75"/>
    <n v="25"/>
    <n v="187.5"/>
  </r>
  <r>
    <s v="LETICIA"/>
    <x v="558"/>
    <x v="260"/>
    <x v="30"/>
    <s v="EDITORA"/>
    <x v="270"/>
    <s v="CAMISETA MALHA 100% POLIESTER "/>
    <s v="CAMISETA"/>
    <s v="LEVE"/>
    <n v="150"/>
    <n v="19.5"/>
    <n v="2925"/>
    <n v="0"/>
    <d v="2026-02-20T00:00:00"/>
    <n v="8"/>
    <m/>
    <s v="ENTREGUE"/>
    <n v="37.5"/>
    <n v="225"/>
    <n v="225"/>
    <n v="75"/>
    <n v="562.5"/>
  </r>
  <r>
    <s v="LETICIA"/>
    <x v="38"/>
    <x v="261"/>
    <x v="30"/>
    <s v="COSMÉTICO"/>
    <x v="63"/>
    <s v="AVENTAL NY EMBORRACHADO COM ALÇAS DE COURO"/>
    <s v="AVENTAL"/>
    <s v="PESADA"/>
    <n v="20"/>
    <n v="95"/>
    <n v="1900"/>
    <n v="1900"/>
    <d v="2026-02-22T00:00:00"/>
    <n v="9"/>
    <m/>
    <s v="ENTREGUE"/>
    <n v="5"/>
    <n v="30"/>
    <n v="30"/>
    <n v="10"/>
    <n v="75"/>
  </r>
  <r>
    <s v="LETICIA"/>
    <x v="38"/>
    <x v="261"/>
    <x v="30"/>
    <s v="COSMÉTICO"/>
    <x v="63"/>
    <s v="AVENTAL NY EMBORRACHADO COM ALÇAS DE ALGODÃO"/>
    <s v="AVENTAL"/>
    <s v="PESADA"/>
    <n v="10"/>
    <n v="75"/>
    <n v="750"/>
    <n v="750"/>
    <d v="2026-02-22T00:00:00"/>
    <n v="9"/>
    <m/>
    <s v="ENTREGUE"/>
    <n v="2.5"/>
    <n v="15"/>
    <n v="15"/>
    <n v="5"/>
    <n v="37.5"/>
  </r>
  <r>
    <s v="LETICIA"/>
    <x v="559"/>
    <x v="261"/>
    <x v="30"/>
    <s v="PET"/>
    <x v="212"/>
    <s v="AVENTAL NY EMBORRACHADO"/>
    <s v="AVENTAL"/>
    <s v="LEVE"/>
    <n v="200"/>
    <n v="22.5"/>
    <n v="4500"/>
    <n v="4500"/>
    <d v="2026-02-11T00:00:00"/>
    <n v="7"/>
    <m/>
    <s v="ENTREGUE"/>
    <n v="50"/>
    <n v="300"/>
    <n v="300"/>
    <n v="100"/>
    <n v="750"/>
  </r>
  <r>
    <s v="LETICIA"/>
    <x v="560"/>
    <x v="261"/>
    <x v="30"/>
    <s v="PET"/>
    <x v="41"/>
    <s v="AVENTAL NY EMBORRACHADO"/>
    <s v="AVENTAL"/>
    <s v="LEVE"/>
    <n v="250"/>
    <n v="23.5"/>
    <n v="5875"/>
    <n v="0"/>
    <d v="2026-02-16T00:00:00"/>
    <n v="8"/>
    <m/>
    <s v="ENTREGUE"/>
    <n v="62.5"/>
    <n v="375"/>
    <n v="375"/>
    <n v="125"/>
    <n v="937.5"/>
  </r>
  <r>
    <s v="LETICIA"/>
    <x v="561"/>
    <x v="261"/>
    <x v="30"/>
    <s v="COMÉRCIO"/>
    <x v="229"/>
    <s v="SACOLA DE ALGODÃO"/>
    <s v="SACOLA"/>
    <s v="PESADA"/>
    <n v="95"/>
    <n v="5"/>
    <n v="475"/>
    <n v="0"/>
    <d v="2026-02-23T00:00:00"/>
    <n v="9"/>
    <m/>
    <s v="ENTREGUE"/>
    <n v="23.75"/>
    <n v="142.5"/>
    <n v="142.5"/>
    <n v="47.5"/>
    <n v="356.25"/>
  </r>
  <r>
    <s v="AMANDA"/>
    <x v="562"/>
    <x v="261"/>
    <x v="30"/>
    <s v="COSMÉTICO"/>
    <x v="271"/>
    <s v="AVENTAL BARBEIRO COURO SINTETICO "/>
    <s v="AVENTAL"/>
    <s v="PESADA"/>
    <n v="50"/>
    <n v="67"/>
    <n v="3350"/>
    <n v="0"/>
    <d v="2026-02-20T00:00:00"/>
    <n v="8"/>
    <m/>
    <s v="ENTREGUE"/>
    <n v="12.5"/>
    <n v="75"/>
    <n v="75"/>
    <n v="25"/>
    <n v="187.5"/>
  </r>
  <r>
    <s v="AMANDA"/>
    <x v="562"/>
    <x v="261"/>
    <x v="30"/>
    <s v="COSMÉTICO"/>
    <x v="271"/>
    <s v="AVENTAL DE BRIM MODELO PADRÃO"/>
    <s v="AVENTAL"/>
    <s v="LEVE"/>
    <n v="150"/>
    <n v="33.5"/>
    <n v="5025"/>
    <n v="0"/>
    <d v="2026-02-20T00:00:00"/>
    <n v="8"/>
    <m/>
    <s v="ENTREGUE"/>
    <n v="37.5"/>
    <n v="225"/>
    <n v="225"/>
    <n v="75"/>
    <n v="562.5"/>
  </r>
  <r>
    <s v="LETICIA"/>
    <x v="563"/>
    <x v="262"/>
    <x v="31"/>
    <s v="COSMÉTICO"/>
    <x v="135"/>
    <s v="CAPA DE CORTE CETIM"/>
    <s v="CAPA"/>
    <s v="LEVE"/>
    <n v="200"/>
    <n v="15"/>
    <n v="3000"/>
    <n v="1500"/>
    <d v="2026-02-24T00:00:00"/>
    <n v="9"/>
    <m/>
    <s v="ENTREGUE"/>
    <n v="50"/>
    <n v="300"/>
    <n v="300"/>
    <n v="100"/>
    <n v="750"/>
  </r>
  <r>
    <s v="AMANDA"/>
    <x v="564"/>
    <x v="262"/>
    <x v="31"/>
    <s v="COSMÉTICO"/>
    <x v="272"/>
    <s v="AVENTAL OXFORD MODELO PADRÃO"/>
    <s v="AVENTAL"/>
    <s v="LEVE"/>
    <n v="100"/>
    <n v="14"/>
    <n v="1400"/>
    <n v="0"/>
    <d v="2026-02-20T00:00:00"/>
    <n v="8"/>
    <m/>
    <s v="ENTREGUE"/>
    <n v="25"/>
    <n v="150"/>
    <n v="150"/>
    <n v="50"/>
    <n v="375"/>
  </r>
  <r>
    <s v="AMANDA"/>
    <x v="565"/>
    <x v="263"/>
    <x v="31"/>
    <s v="COSMÉTICO"/>
    <x v="273"/>
    <s v="AVENTAL OXFORD MODELO PADRÃO"/>
    <s v="AVENTAL"/>
    <s v="LEVE"/>
    <n v="100"/>
    <n v="15"/>
    <n v="1500"/>
    <n v="700"/>
    <d v="2026-02-24T00:00:00"/>
    <n v="9"/>
    <m/>
    <s v="ENTREGUE"/>
    <n v="25"/>
    <n v="150"/>
    <n v="150"/>
    <n v="50"/>
    <n v="375"/>
  </r>
  <r>
    <s v="AMANDA"/>
    <x v="566"/>
    <x v="263"/>
    <x v="31"/>
    <s v="COSMÉTICO"/>
    <x v="274"/>
    <s v="AVENTAL OXFORD MODELO PADRÃO"/>
    <s v="AVENTAL"/>
    <s v="LEVE"/>
    <n v="200"/>
    <n v="14"/>
    <n v="2800"/>
    <n v="1400"/>
    <d v="2026-02-25T00:00:00"/>
    <n v="9"/>
    <m/>
    <s v="ENTREGUE"/>
    <n v="50"/>
    <n v="300"/>
    <n v="300"/>
    <n v="100"/>
    <n v="750"/>
  </r>
  <r>
    <s v="AMANDA"/>
    <x v="567"/>
    <x v="263"/>
    <x v="31"/>
    <s v="COSMÉTICO"/>
    <x v="255"/>
    <s v="AVENTAL BARBEIRO SARJA E COURO SINTÉTICO"/>
    <s v="AVENTAL"/>
    <s v="PESADA"/>
    <n v="50"/>
    <n v="67"/>
    <n v="3350"/>
    <n v="0"/>
    <d v="2026-02-24T00:00:00"/>
    <n v="9"/>
    <m/>
    <s v="ENTREGUE"/>
    <n v="12.5"/>
    <n v="75"/>
    <n v="75"/>
    <n v="25"/>
    <n v="187.5"/>
  </r>
  <r>
    <s v="AMANDA"/>
    <x v="567"/>
    <x v="263"/>
    <x v="31"/>
    <s v="COSMÉTICO"/>
    <x v="255"/>
    <s v="CAMISETA MALHA PV "/>
    <s v="CAMISETA"/>
    <s v="LEVE"/>
    <n v="50"/>
    <n v="22.5"/>
    <n v="1125"/>
    <n v="0"/>
    <d v="2026-02-24T00:00:00"/>
    <n v="9"/>
    <m/>
    <s v="ENTREGUE"/>
    <n v="12.5"/>
    <n v="75"/>
    <n v="75"/>
    <n v="25"/>
    <n v="187.5"/>
  </r>
  <r>
    <s v="LETICIA"/>
    <x v="568"/>
    <x v="264"/>
    <x v="31"/>
    <s v="COSMÉTICO"/>
    <x v="97"/>
    <s v="CAPA DE CORTE 1,4X1,5"/>
    <s v="CAPA"/>
    <s v="LEVE"/>
    <n v="50"/>
    <n v="26.5"/>
    <n v="1325"/>
    <n v="1325"/>
    <d v="2026-02-27T00:00:00"/>
    <n v="9"/>
    <m/>
    <s v="ENTREGUE"/>
    <n v="12.5"/>
    <n v="75"/>
    <n v="75"/>
    <n v="25"/>
    <n v="187.5"/>
  </r>
  <r>
    <s v="LETICIA"/>
    <x v="569"/>
    <x v="264"/>
    <x v="31"/>
    <s v="COSMÉTICO"/>
    <x v="97"/>
    <s v="CAPA DE CORTE 1,4X1,5"/>
    <s v="CAPA"/>
    <s v="LEVE"/>
    <n v="50"/>
    <n v="26.5"/>
    <n v="1325"/>
    <n v="1325"/>
    <d v="2026-02-27T00:00:00"/>
    <n v="9"/>
    <m/>
    <s v="ENTREGUE"/>
    <n v="12.5"/>
    <n v="75"/>
    <n v="75"/>
    <n v="25"/>
    <n v="187.5"/>
  </r>
  <r>
    <s v="LETICIA"/>
    <x v="570"/>
    <x v="264"/>
    <x v="31"/>
    <s v="COMÉRCIO"/>
    <x v="58"/>
    <s v=" ETIQUETA ALGODÃO"/>
    <s v="ETIQUETA "/>
    <s v="LEVE "/>
    <n v="1000"/>
    <n v="2.5"/>
    <n v="2500"/>
    <n v="0"/>
    <d v="2025-02-27T00:00:00"/>
    <n v="9"/>
    <m/>
    <s v="ENTREGUE"/>
    <n v="250"/>
    <n v="500"/>
    <n v="500"/>
    <n v="500"/>
    <n v="1750"/>
  </r>
  <r>
    <s v="AMANDA"/>
    <x v="571"/>
    <x v="264"/>
    <x v="31"/>
    <s v="COSMÉTICO"/>
    <x v="72"/>
    <s v="AVENTAL NY 210"/>
    <s v="AVENTAL"/>
    <s v="LEVE"/>
    <n v="60"/>
    <n v="19.7"/>
    <n v="1182"/>
    <n v="591"/>
    <d v="2026-02-18T00:00:00"/>
    <n v="8"/>
    <m/>
    <s v="ENTREGUE"/>
    <n v="15"/>
    <n v="90"/>
    <n v="90"/>
    <n v="30"/>
    <n v="225"/>
  </r>
  <r>
    <s v="AMANDA"/>
    <x v="571"/>
    <x v="264"/>
    <x v="31"/>
    <s v="COSMÉTICO"/>
    <x v="72"/>
    <s v="KIMONO TACTEL"/>
    <s v="KIMONO"/>
    <s v="LEVE"/>
    <n v="60"/>
    <n v="26"/>
    <n v="1560"/>
    <n v="780"/>
    <d v="2026-02-18T00:00:00"/>
    <n v="8"/>
    <m/>
    <s v="ENTREGUE"/>
    <n v="15"/>
    <n v="90"/>
    <n v="90"/>
    <n v="30"/>
    <n v="225"/>
  </r>
  <r>
    <s v="AMANDA"/>
    <x v="571"/>
    <x v="264"/>
    <x v="31"/>
    <s v="COSMÉTICO"/>
    <x v="72"/>
    <s v="CAPA DE CORTE TACTEL 1,4X1,5"/>
    <s v="CAPA"/>
    <s v="LEVE"/>
    <n v="70"/>
    <n v="22.5"/>
    <n v="1575"/>
    <n v="787.5"/>
    <d v="2026-02-18T00:00:00"/>
    <n v="8"/>
    <m/>
    <s v="ENTREGUE"/>
    <n v="17.5"/>
    <n v="105"/>
    <n v="105"/>
    <n v="35"/>
    <n v="262.5"/>
  </r>
  <r>
    <s v="LETICIA"/>
    <x v="572"/>
    <x v="265"/>
    <x v="31"/>
    <s v="COSMÉTICO"/>
    <x v="94"/>
    <s v="SACOLA LONA IMPERMEAVEL COR CRU"/>
    <s v="SACOLA"/>
    <s v="PESADA"/>
    <n v="300"/>
    <n v="26.5"/>
    <n v="7950"/>
    <n v="3975"/>
    <d v="2026-02-25T00:00:00"/>
    <n v="9"/>
    <m/>
    <s v="ENTREGUE"/>
    <n v="75"/>
    <n v="450"/>
    <n v="450"/>
    <n v="150"/>
    <n v="1125"/>
  </r>
  <r>
    <s v="AMANDA"/>
    <x v="573"/>
    <x v="265"/>
    <x v="31"/>
    <s v="PET"/>
    <x v="161"/>
    <s v="AVENTAL NY EMBORRACHADO"/>
    <s v="AVENTAL"/>
    <s v="LEVE"/>
    <n v="200"/>
    <n v="23.5"/>
    <n v="4700"/>
    <n v="4700"/>
    <d v="2026-02-24T00:00:00"/>
    <n v="9"/>
    <m/>
    <s v="ENTREGUE"/>
    <n v="50"/>
    <n v="300"/>
    <n v="300"/>
    <n v="100"/>
    <n v="750"/>
  </r>
  <r>
    <s v="AMANDA"/>
    <x v="573"/>
    <x v="265"/>
    <x v="31"/>
    <s v="PET"/>
    <x v="161"/>
    <s v="NECESSAIRE ALÇA"/>
    <s v="NECESSAIRE"/>
    <s v="PESADA"/>
    <n v="100"/>
    <n v="14.5"/>
    <n v="1450"/>
    <n v="1450"/>
    <d v="2026-02-24T00:00:00"/>
    <n v="9"/>
    <m/>
    <s v="ENTREGUE"/>
    <n v="25"/>
    <n v="150"/>
    <n v="150"/>
    <n v="50"/>
    <n v="375"/>
  </r>
  <r>
    <s v="AMANDA"/>
    <x v="574"/>
    <x v="266"/>
    <x v="32"/>
    <s v="COSMÉTICO"/>
    <x v="165"/>
    <s v="CAPA DE CORTE TACTEL"/>
    <s v="CAPA"/>
    <s v="LEVE"/>
    <n v="100"/>
    <n v="15"/>
    <n v="1500"/>
    <n v="750"/>
    <d v="2026-02-26T00:00:00"/>
    <n v="9"/>
    <m/>
    <s v="ENTREGUE"/>
    <n v="25"/>
    <n v="150"/>
    <n v="150"/>
    <n v="50"/>
    <n v="375"/>
  </r>
  <r>
    <s v="AMANDA"/>
    <x v="575"/>
    <x v="266"/>
    <x v="32"/>
    <s v="COSMÉTICO"/>
    <x v="275"/>
    <s v="NECESSAIRE MALETA MAKE"/>
    <s v="NECESSAIRE"/>
    <s v="PESADA"/>
    <n v="500"/>
    <n v="15.5"/>
    <n v="7750"/>
    <n v="2418"/>
    <d v="2026-03-03T00:00:00"/>
    <n v="10"/>
    <m/>
    <s v="ENTREGUE"/>
    <n v="125"/>
    <n v="750"/>
    <n v="750"/>
    <n v="250"/>
    <n v="1875"/>
  </r>
  <r>
    <s v="AMANDA"/>
    <x v="576"/>
    <x v="266"/>
    <x v="32"/>
    <s v="PET"/>
    <x v="276"/>
    <s v="BANDANA PET "/>
    <s v="BANDANA"/>
    <s v="LEVE"/>
    <n v="100"/>
    <n v="7"/>
    <n v="700"/>
    <n v="0"/>
    <d v="2026-02-25T00:00:00"/>
    <n v="9"/>
    <m/>
    <s v="ENTREGUE"/>
    <n v="25"/>
    <n v="150"/>
    <n v="150"/>
    <n v="50"/>
    <n v="375"/>
  </r>
  <r>
    <s v="AMANDA"/>
    <x v="576"/>
    <x v="266"/>
    <x v="32"/>
    <s v="PET"/>
    <x v="276"/>
    <s v="NECESSAIRE MALETA MAKE"/>
    <s v="NECESSAIRE"/>
    <s v="PESADA"/>
    <n v="100"/>
    <n v="19.899999999999999"/>
    <n v="1989.9999999999998"/>
    <n v="0"/>
    <d v="2026-02-25T00:00:00"/>
    <n v="9"/>
    <m/>
    <s v="ENTREGUE"/>
    <n v="25"/>
    <n v="150"/>
    <n v="150"/>
    <n v="50"/>
    <n v="375"/>
  </r>
  <r>
    <s v="LETICIA"/>
    <x v="577"/>
    <x v="267"/>
    <x v="32"/>
    <s v="COSMÉTICO"/>
    <x v="74"/>
    <s v="CAPA DE CORTE CETIM"/>
    <s v="CAPA"/>
    <s v="LEVE"/>
    <n v="100"/>
    <n v="15"/>
    <n v="1500"/>
    <n v="1500"/>
    <d v="2026-03-02T00:00:00"/>
    <n v="10"/>
    <m/>
    <s v="ENTREGUE"/>
    <n v="50"/>
    <n v="150"/>
    <n v="150"/>
    <n v="50"/>
    <n v="400"/>
  </r>
  <r>
    <s v="LETICIA"/>
    <x v="577"/>
    <x v="267"/>
    <x v="32"/>
    <s v="COSMÉTICO"/>
    <x v="74"/>
    <s v="AVENTAL OXFORD MODELO PADRÃO"/>
    <s v="AVENTAL"/>
    <s v="LEVE"/>
    <n v="100"/>
    <n v="16"/>
    <n v="1600"/>
    <n v="1600"/>
    <d v="2026-03-02T00:00:00"/>
    <n v="10"/>
    <m/>
    <s v="ENTREGUE"/>
    <n v="50"/>
    <n v="150"/>
    <n v="150"/>
    <n v="50"/>
    <n v="400"/>
  </r>
  <r>
    <s v="LETICIA"/>
    <x v="28"/>
    <x v="267"/>
    <x v="32"/>
    <s v="PET"/>
    <x v="44"/>
    <s v="BANDANA PET "/>
    <s v="BANDANA"/>
    <s v="LEVE"/>
    <n v="500"/>
    <n v="6"/>
    <n v="3000"/>
    <n v="3000"/>
    <d v="2026-02-27T00:00:00"/>
    <n v="9"/>
    <m/>
    <s v="ENTREGUE"/>
    <n v="125"/>
    <n v="750"/>
    <n v="750"/>
    <n v="250"/>
    <n v="1875"/>
  </r>
  <r>
    <s v="AMANDA"/>
    <x v="578"/>
    <x v="267"/>
    <x v="32"/>
    <s v="COSMÉTICO"/>
    <x v="277"/>
    <s v="AVENTAL NY EMBORRACHADO"/>
    <s v="AVENTAL"/>
    <s v="LEVE"/>
    <n v="100"/>
    <n v="27"/>
    <n v="2700"/>
    <n v="2700"/>
    <d v="2026-02-25T00:00:00"/>
    <n v="9"/>
    <m/>
    <s v="ENTREGUE"/>
    <n v="50"/>
    <n v="150"/>
    <n v="150"/>
    <n v="50"/>
    <n v="400"/>
  </r>
  <r>
    <s v="AMANDA"/>
    <x v="578"/>
    <x v="267"/>
    <x v="32"/>
    <s v="COSMÉTICO"/>
    <x v="277"/>
    <s v="CAPA DE CORTE TACTEL"/>
    <s v="CAPA"/>
    <s v="LEVE"/>
    <n v="100"/>
    <n v="17"/>
    <n v="1700"/>
    <n v="1700"/>
    <d v="2026-02-25T00:00:00"/>
    <n v="9"/>
    <m/>
    <s v="ENTREGUE"/>
    <n v="50"/>
    <n v="150"/>
    <n v="150"/>
    <n v="50"/>
    <n v="400"/>
  </r>
  <r>
    <s v="LETICIA"/>
    <x v="579"/>
    <x v="268"/>
    <x v="32"/>
    <s v="COSMÉTICO"/>
    <x v="63"/>
    <s v="SHOUDER BAG"/>
    <s v="SHOUDER BAG"/>
    <s v="PESADA"/>
    <n v="50"/>
    <n v="42"/>
    <n v="2100"/>
    <n v="2100"/>
    <d v="2026-03-06T00:00:00"/>
    <n v="10"/>
    <m/>
    <s v="ENTREGUE"/>
    <n v="25"/>
    <n v="75"/>
    <n v="75"/>
    <n v="25"/>
    <n v="200"/>
  </r>
  <r>
    <s v="LETICIA"/>
    <x v="580"/>
    <x v="268"/>
    <x v="32"/>
    <s v="COSMÉTICO"/>
    <x v="131"/>
    <s v="SACOLA TNT LAMINADO"/>
    <s v="SACOLA"/>
    <s v="PESADA"/>
    <n v="100"/>
    <n v="14.5"/>
    <n v="1450"/>
    <n v="725"/>
    <d v="2026-02-25T00:00:00"/>
    <n v="9"/>
    <m/>
    <s v="ENTREGUE"/>
    <n v="25"/>
    <n v="150"/>
    <n v="150"/>
    <n v="50"/>
    <n v="375"/>
  </r>
  <r>
    <s v="LETICIA"/>
    <x v="580"/>
    <x v="268"/>
    <x v="32"/>
    <s v="COSMÉTICO"/>
    <x v="131"/>
    <s v="CAPA DE CORTE CETIM"/>
    <s v="CAPA"/>
    <s v="LEVE"/>
    <n v="150"/>
    <n v="17"/>
    <n v="2550"/>
    <n v="1275"/>
    <d v="2026-02-25T00:00:00"/>
    <n v="9"/>
    <m/>
    <s v="ENTREGUE"/>
    <n v="37.5"/>
    <n v="225"/>
    <n v="225"/>
    <n v="75"/>
    <n v="562.5"/>
  </r>
  <r>
    <s v="LETICIA"/>
    <x v="580"/>
    <x v="268"/>
    <x v="32"/>
    <s v="COSMÉTICO"/>
    <x v="131"/>
    <s v="AVENTAL OXFORD MODELO PADRÃO"/>
    <s v="AVENTAL"/>
    <s v="LEVE"/>
    <n v="150"/>
    <n v="14.8"/>
    <n v="2220"/>
    <n v="1110"/>
    <d v="2026-02-25T00:00:00"/>
    <n v="9"/>
    <m/>
    <s v="ENTREGUE"/>
    <n v="37.5"/>
    <n v="225"/>
    <n v="225"/>
    <n v="75"/>
    <n v="562.5"/>
  </r>
  <r>
    <s v="REBECA"/>
    <x v="581"/>
    <x v="269"/>
    <x v="32"/>
    <s v="COSMÉTICO"/>
    <x v="278"/>
    <s v="AVENTAL OXFORD MODELO PADRÃO"/>
    <s v="AVENTAL"/>
    <s v="LEVE"/>
    <n v="50"/>
    <n v="17"/>
    <n v="850"/>
    <n v="0"/>
    <d v="2026-04-02T00:00:00"/>
    <n v="14"/>
    <m/>
    <s v="ENTREGUE"/>
    <n v="12.5"/>
    <n v="75"/>
    <n v="75"/>
    <n v="25"/>
    <n v="187.5"/>
  </r>
  <r>
    <s v="REBECA"/>
    <x v="581"/>
    <x v="269"/>
    <x v="32"/>
    <s v="COSMÉTICO"/>
    <x v="278"/>
    <s v="AVENTAL BARBEIRO COURO SINTETICO "/>
    <s v="AVENTAL"/>
    <s v="PESADA"/>
    <n v="10"/>
    <n v="85"/>
    <n v="850"/>
    <n v="0"/>
    <d v="2026-04-02T00:00:00"/>
    <n v="14"/>
    <m/>
    <s v="ENTREGUE"/>
    <n v="2.5"/>
    <n v="15"/>
    <n v="15"/>
    <n v="5"/>
    <n v="37.5"/>
  </r>
  <r>
    <s v="REBECA"/>
    <x v="581"/>
    <x v="269"/>
    <x v="32"/>
    <s v="COSMÉTICO"/>
    <x v="278"/>
    <s v="CAPA DE CORTE TACTEL"/>
    <s v="CAPA"/>
    <s v="LEVE"/>
    <n v="50"/>
    <n v="17.5"/>
    <n v="875"/>
    <n v="0"/>
    <d v="2026-04-02T00:00:00"/>
    <n v="14"/>
    <m/>
    <s v="ENTREGUE"/>
    <n v="12.5"/>
    <n v="75"/>
    <n v="75"/>
    <n v="25"/>
    <n v="187.5"/>
  </r>
  <r>
    <s v="LETICIA"/>
    <x v="582"/>
    <x v="269"/>
    <x v="32"/>
    <s v="COSMÉTICO"/>
    <x v="279"/>
    <s v="ETIQUETA LONITA"/>
    <s v="ETIQUETA "/>
    <s v="LEVE"/>
    <n v="500"/>
    <n v="2.5"/>
    <n v="1250"/>
    <n v="625"/>
    <d v="2026-03-06T00:00:00"/>
    <n v="10"/>
    <m/>
    <s v="ENTREGUE"/>
    <n v="125"/>
    <n v="750"/>
    <n v="750"/>
    <n v="250"/>
    <n v="1875"/>
  </r>
  <r>
    <s v="LETICIA"/>
    <x v="583"/>
    <x v="270"/>
    <x v="32"/>
    <s v="COMÉRCIO"/>
    <x v="280"/>
    <s v="CAMISETA DRYFIT"/>
    <s v="CAMISETA"/>
    <s v="LEVE"/>
    <n v="370"/>
    <n v="35"/>
    <n v="12950"/>
    <n v="7700"/>
    <d v="2026-03-09T00:00:00"/>
    <n v="11"/>
    <m/>
    <s v="ENTREGUE"/>
    <n v="92.5"/>
    <n v="555"/>
    <n v="555"/>
    <n v="185"/>
    <n v="1387.5"/>
  </r>
  <r>
    <s v="LETICIA"/>
    <x v="584"/>
    <x v="270"/>
    <x v="32"/>
    <s v="EDITORA"/>
    <x v="78"/>
    <s v="MAPA EM OXFORD SUBLIMADO"/>
    <s v="TOALHA"/>
    <s v="LEVE"/>
    <n v="1150"/>
    <n v="6.2"/>
    <n v="7130"/>
    <n v="7130"/>
    <d v="2026-03-04T00:00:00"/>
    <n v="10"/>
    <m/>
    <s v="ENTREGUE"/>
    <n v="287.5"/>
    <n v="1725"/>
    <n v="1725"/>
    <n v="575"/>
    <n v="4312.5"/>
  </r>
  <r>
    <s v="REBECA"/>
    <x v="585"/>
    <x v="271"/>
    <x v="33"/>
    <s v="COSMÉTICO"/>
    <x v="281"/>
    <s v="NECESSAIRE MALETA MAKE"/>
    <s v="NECESSAIRE"/>
    <s v="PESADA"/>
    <n v="100"/>
    <n v="15"/>
    <n v="1500"/>
    <n v="0"/>
    <d v="2026-02-23T00:00:00"/>
    <n v="9"/>
    <m/>
    <s v="ENTREGUE"/>
    <n v="25"/>
    <n v="150"/>
    <n v="150"/>
    <n v="50"/>
    <n v="375"/>
  </r>
  <r>
    <s v="LETICIA"/>
    <x v="586"/>
    <x v="271"/>
    <x v="33"/>
    <s v="PET"/>
    <x v="44"/>
    <s v="CAMISETA MALHA PV"/>
    <s v="CAMISETA"/>
    <s v="LEVE"/>
    <n v="1000"/>
    <n v="23.5"/>
    <n v="23500"/>
    <n v="23500"/>
    <d v="2026-03-05T00:00:00"/>
    <n v="10"/>
    <m/>
    <s v="ENTREGUE"/>
    <n v="250"/>
    <n v="1500"/>
    <n v="1500"/>
    <n v="500"/>
    <n v="3750"/>
  </r>
  <r>
    <s v="LETICIA"/>
    <x v="587"/>
    <x v="272"/>
    <x v="33"/>
    <s v="PET"/>
    <x v="1"/>
    <s v="AVENTAL NY EMBORRACHADO"/>
    <s v="AVENTAL"/>
    <s v="LEVE"/>
    <n v="2000"/>
    <n v="23.5"/>
    <n v="47000"/>
    <n v="47000"/>
    <d v="2026-03-06T00:00:00"/>
    <n v="10"/>
    <m/>
    <s v="ENTREGUE"/>
    <n v="500"/>
    <n v="3000"/>
    <n v="3000"/>
    <n v="1000"/>
    <n v="7500"/>
  </r>
  <r>
    <s v="LETICIA"/>
    <x v="40"/>
    <x v="272"/>
    <x v="33"/>
    <s v="PET"/>
    <x v="41"/>
    <s v="AVENTAL NY EMBORRACHADO"/>
    <s v="AVENTAL"/>
    <s v="LEVE"/>
    <n v="250"/>
    <n v="23.5"/>
    <n v="5875"/>
    <n v="5875"/>
    <d v="2026-03-16T00:00:00"/>
    <n v="12"/>
    <m/>
    <s v="ENTREGUE"/>
    <n v="62.5"/>
    <n v="375"/>
    <n v="375"/>
    <n v="125"/>
    <n v="937.5"/>
  </r>
  <r>
    <s v="REBECA"/>
    <x v="588"/>
    <x v="272"/>
    <x v="33"/>
    <s v="COSMÉTICO"/>
    <x v="202"/>
    <s v="AVENTAL OXFORD MODELO PADRÃO"/>
    <s v="AVENTAL"/>
    <s v="LEVE"/>
    <n v="100"/>
    <n v="17"/>
    <n v="1700"/>
    <n v="1700"/>
    <d v="2026-03-09T00:00:00"/>
    <n v="11"/>
    <m/>
    <s v="ENTREGUE"/>
    <n v="25"/>
    <n v="150"/>
    <n v="150"/>
    <n v="50"/>
    <n v="375"/>
  </r>
  <r>
    <s v="REBECA"/>
    <x v="588"/>
    <x v="272"/>
    <x v="33"/>
    <s v="COSMÉTICO"/>
    <x v="202"/>
    <s v="KIMONO TACTEL"/>
    <s v="KIMONO"/>
    <s v="LEVE"/>
    <n v="100"/>
    <n v="28"/>
    <n v="2800"/>
    <n v="2800"/>
    <d v="2026-03-09T00:00:00"/>
    <n v="11"/>
    <m/>
    <s v="ENTREGUE"/>
    <n v="25"/>
    <n v="150"/>
    <n v="150"/>
    <n v="50"/>
    <n v="375"/>
  </r>
  <r>
    <s v="LETICIA"/>
    <x v="589"/>
    <x v="273"/>
    <x v="33"/>
    <s v="COSMÉTICO"/>
    <x v="138"/>
    <s v="CAMISETA POLO"/>
    <s v="POLO"/>
    <s v="PESADA"/>
    <n v="5"/>
    <n v="75"/>
    <n v="375"/>
    <n v="375"/>
    <d v="2026-02-20T00:00:00"/>
    <n v="8"/>
    <m/>
    <s v="ENTREGUE"/>
    <n v="1.25"/>
    <n v="7.5"/>
    <n v="7.5"/>
    <n v="2.5"/>
    <n v="18.75"/>
  </r>
  <r>
    <s v="REBECA"/>
    <x v="590"/>
    <x v="273"/>
    <x v="33"/>
    <s v="COSMÉTICO"/>
    <x v="282"/>
    <s v="KIMONO OXFORD"/>
    <s v="KIMONO"/>
    <s v="LEVE"/>
    <n v="100"/>
    <n v="29"/>
    <n v="2900"/>
    <n v="1450"/>
    <d v="2026-03-12T00:00:00"/>
    <n v="11"/>
    <m/>
    <s v="ENTREGUE"/>
    <n v="25"/>
    <n v="150"/>
    <n v="150"/>
    <n v="50"/>
    <n v="375"/>
  </r>
  <r>
    <s v="REBECA"/>
    <x v="590"/>
    <x v="273"/>
    <x v="33"/>
    <s v="COSMÉTICO"/>
    <x v="282"/>
    <s v="AVENTAL OXFORD MODELO PADRÃO"/>
    <s v="AVENTAL"/>
    <s v="LEVE"/>
    <n v="100"/>
    <n v="17"/>
    <n v="1700"/>
    <n v="850"/>
    <d v="2026-03-12T00:00:00"/>
    <n v="11"/>
    <m/>
    <s v="ENTREGUE"/>
    <n v="25"/>
    <n v="150"/>
    <n v="150"/>
    <n v="50"/>
    <n v="375"/>
  </r>
  <r>
    <s v="LETICIA"/>
    <x v="591"/>
    <x v="274"/>
    <x v="33"/>
    <s v="COMÉRCIO"/>
    <x v="111"/>
    <s v="SACO TNT COM VISOR 30LX40A"/>
    <s v="SACO"/>
    <s v="LEVE"/>
    <n v="300"/>
    <n v="6.5"/>
    <n v="1950"/>
    <n v="975"/>
    <d v="2026-03-13T00:00:00"/>
    <n v="11"/>
    <m/>
    <s v="ENTREGUE"/>
    <n v="75"/>
    <n v="450"/>
    <n v="450"/>
    <n v="150"/>
    <n v="1125"/>
  </r>
  <r>
    <s v="LETICIA"/>
    <x v="591"/>
    <x v="274"/>
    <x v="33"/>
    <s v="COMÉRCIO"/>
    <x v="111"/>
    <s v="SACO TNT COM VISOR 50LX55A"/>
    <s v="SACO"/>
    <s v="LEVE"/>
    <n v="100"/>
    <n v="10.7"/>
    <n v="1070"/>
    <n v="535"/>
    <d v="2026-03-13T00:00:00"/>
    <n v="11"/>
    <m/>
    <s v="ENTREGUE"/>
    <n v="25"/>
    <n v="150"/>
    <n v="150"/>
    <n v="50"/>
    <n v="375"/>
  </r>
  <r>
    <s v="LETICIA"/>
    <x v="41"/>
    <x v="274"/>
    <x v="33"/>
    <s v="COSMÉTICO"/>
    <x v="87"/>
    <s v="AVENTAL NY VERMELHO"/>
    <s v="AVENTAL"/>
    <s v="LEVE"/>
    <n v="5"/>
    <n v="67"/>
    <n v="335"/>
    <n v="167.5"/>
    <d v="2026-03-04T00:00:00"/>
    <n v="10"/>
    <m/>
    <s v="ENTREGUE"/>
    <n v="1.25"/>
    <n v="7.5"/>
    <n v="7.5"/>
    <n v="2.5"/>
    <n v="18.75"/>
  </r>
  <r>
    <s v="LETICIA"/>
    <x v="41"/>
    <x v="274"/>
    <x v="33"/>
    <s v="COSMÉTICO"/>
    <x v="87"/>
    <s v="CAMISETA POLO VERMELHA"/>
    <s v="POLO"/>
    <s v="PESADA"/>
    <n v="57"/>
    <n v="67"/>
    <n v="3819"/>
    <n v="1909.5"/>
    <d v="2026-03-04T00:00:00"/>
    <n v="10"/>
    <e v="#REF!"/>
    <s v="ENTREGUE"/>
    <n v="14.25"/>
    <n v="85.5"/>
    <n v="85.5"/>
    <n v="28.5"/>
    <n v="213.75"/>
  </r>
  <r>
    <s v="LETICIA"/>
    <x v="41"/>
    <x v="274"/>
    <x v="33"/>
    <s v="COSMÉTICO"/>
    <x v="87"/>
    <s v="CAMISETA POLO BRANCA"/>
    <s v="POLO"/>
    <s v="PESADA"/>
    <n v="12"/>
    <n v="67"/>
    <n v="804"/>
    <n v="402"/>
    <d v="2026-03-04T00:00:00"/>
    <n v="10"/>
    <m/>
    <s v="ENTREGUE"/>
    <n v="3"/>
    <n v="18"/>
    <n v="18"/>
    <n v="6"/>
    <n v="45"/>
  </r>
  <r>
    <s v="LETICIA"/>
    <x v="41"/>
    <x v="274"/>
    <x v="33"/>
    <s v="COSMÉTICO"/>
    <x v="87"/>
    <s v="CAMISETA MALHA PV"/>
    <s v="CAMISETA"/>
    <s v="LEVE"/>
    <n v="15"/>
    <n v="45"/>
    <n v="675"/>
    <n v="337.5"/>
    <d v="2026-03-04T00:00:00"/>
    <n v="10"/>
    <m/>
    <s v="ENTREGUE"/>
    <n v="3.75"/>
    <n v="22.5"/>
    <n v="22.5"/>
    <n v="7.5"/>
    <n v="56.25"/>
  </r>
  <r>
    <s v="LETICIA"/>
    <x v="42"/>
    <x v="275"/>
    <x v="34"/>
    <s v="COSMÉTICO"/>
    <x v="37"/>
    <s v="AVENTAL NY 210"/>
    <s v="AVENTAL"/>
    <s v="LEVE"/>
    <n v="300"/>
    <n v="19.5"/>
    <n v="5850"/>
    <n v="5850"/>
    <d v="2026-03-02T00:00:00"/>
    <n v="10"/>
    <m/>
    <s v="ENTREGUE"/>
    <n v="75"/>
    <n v="450"/>
    <n v="450"/>
    <n v="150"/>
    <n v="1125"/>
  </r>
  <r>
    <s v="FERNANDA"/>
    <x v="592"/>
    <x v="276"/>
    <x v="34"/>
    <s v="HAVANNA"/>
    <x v="283"/>
    <s v="AVENTAL OXFORD MODELO PADRÃO"/>
    <s v="AVENTAL"/>
    <s v="LEVE"/>
    <n v="5"/>
    <n v="25"/>
    <n v="125"/>
    <n v="125"/>
    <d v="2026-03-16T00:00:00"/>
    <n v="12"/>
    <m/>
    <s v="ENTREGUE"/>
    <n v="1.25"/>
    <n v="7.5"/>
    <n v="7.5"/>
    <n v="2.5"/>
    <n v="18.75"/>
  </r>
  <r>
    <s v="FERNANDA"/>
    <x v="592"/>
    <x v="276"/>
    <x v="34"/>
    <s v="HAVANNA"/>
    <x v="283"/>
    <s v="FAIXA DE CABELO"/>
    <s v="FAIXA"/>
    <s v="LEVE"/>
    <n v="3"/>
    <n v="21"/>
    <n v="63"/>
    <n v="63"/>
    <d v="2026-03-16T00:00:00"/>
    <n v="12"/>
    <m/>
    <s v="ENTREGUE"/>
    <n v="0.75"/>
    <n v="4.5"/>
    <n v="4.5"/>
    <n v="1.5"/>
    <n v="11.25"/>
  </r>
  <r>
    <s v="FERNANDA"/>
    <x v="592"/>
    <x v="276"/>
    <x v="34"/>
    <s v="HAVANNA"/>
    <x v="283"/>
    <s v="CAMISETA MALHA 100% ALGODÃO"/>
    <s v="CAMISETA"/>
    <s v="LEVE"/>
    <n v="4"/>
    <n v="36.75"/>
    <n v="147"/>
    <n v="147"/>
    <d v="2026-03-16T00:00:00"/>
    <n v="12"/>
    <m/>
    <s v="ENTREGUE"/>
    <n v="1"/>
    <n v="6"/>
    <n v="6"/>
    <n v="2"/>
    <n v="15"/>
  </r>
  <r>
    <s v="FERNANDA"/>
    <x v="592"/>
    <x v="276"/>
    <x v="34"/>
    <s v="HAVANNA"/>
    <x v="283"/>
    <s v="BABY LOOK FEMININA MALHA 100% ALGODAO"/>
    <s v="BABY LOOK"/>
    <s v="LEVE"/>
    <n v="8"/>
    <n v="36.75"/>
    <n v="294"/>
    <n v="294"/>
    <d v="2026-03-16T00:00:00"/>
    <n v="12"/>
    <m/>
    <s v="ENTREGUE"/>
    <n v="2"/>
    <n v="12"/>
    <n v="12"/>
    <n v="4"/>
    <n v="30"/>
  </r>
  <r>
    <s v="LETICIA"/>
    <x v="43"/>
    <x v="276"/>
    <x v="34"/>
    <s v="COMÉRCIO"/>
    <x v="40"/>
    <s v="NECESSAIRE NY PLASTIFICADO"/>
    <s v="NECESSAIRE"/>
    <s v="PESADA"/>
    <n v="300"/>
    <n v="23"/>
    <n v="6900"/>
    <n v="0"/>
    <d v="2026-03-16T00:00:00"/>
    <n v="12"/>
    <m/>
    <s v="ENTREGUE"/>
    <n v="75"/>
    <n v="450"/>
    <n v="450"/>
    <n v="150"/>
    <n v="1125"/>
  </r>
  <r>
    <s v="LETICIA"/>
    <x v="593"/>
    <x v="277"/>
    <x v="34"/>
    <s v="COSMÉTICO"/>
    <x v="157"/>
    <s v="AVENTAL NY 210"/>
    <s v="AVENTAL"/>
    <s v="LEVE"/>
    <n v="100"/>
    <n v="19.7"/>
    <n v="1970"/>
    <n v="0"/>
    <d v="2026-03-10T00:00:00"/>
    <n v="11"/>
    <m/>
    <s v="ENTREGUE"/>
    <n v="25"/>
    <n v="150"/>
    <n v="150"/>
    <n v="50"/>
    <n v="375"/>
  </r>
  <r>
    <s v="LETICIA"/>
    <x v="44"/>
    <x v="277"/>
    <x v="34"/>
    <s v="COSMÉTICO"/>
    <x v="63"/>
    <s v="CAMISETA MALHA 100% ALGODÃO"/>
    <s v="CAMISETA"/>
    <s v="LEVE"/>
    <n v="108"/>
    <n v="27"/>
    <n v="2916"/>
    <n v="2916"/>
    <d v="2026-03-16T00:00:00"/>
    <n v="12"/>
    <m/>
    <s v="ENTREGUE"/>
    <n v="27"/>
    <n v="162"/>
    <n v="162"/>
    <n v="54"/>
    <n v="405"/>
  </r>
  <r>
    <s v="LETICIA"/>
    <x v="44"/>
    <x v="277"/>
    <x v="34"/>
    <s v="COSMÉTICO"/>
    <x v="63"/>
    <s v="CAMISETA MALHA 100% ALGODÃO - TAM G3"/>
    <s v="CAMISETA"/>
    <s v="LEVE"/>
    <n v="2"/>
    <n v="37"/>
    <n v="74"/>
    <n v="74"/>
    <d v="2026-03-16T00:00:00"/>
    <n v="12"/>
    <m/>
    <s v="ENTREGUE"/>
    <n v="0.5"/>
    <n v="3"/>
    <n v="3"/>
    <n v="1"/>
    <n v="7.5"/>
  </r>
  <r>
    <s v="FERNANDA"/>
    <x v="594"/>
    <x v="277"/>
    <x v="34"/>
    <s v="HAVANNA"/>
    <x v="147"/>
    <s v="FAIXA DE CABELO"/>
    <s v="FAIXA"/>
    <s v="LEVE"/>
    <n v="2"/>
    <n v="21"/>
    <n v="42"/>
    <n v="42"/>
    <d v="2026-03-16T00:00:00"/>
    <n v="12"/>
    <m/>
    <s v="ENTREGUE"/>
    <n v="0.5"/>
    <n v="3"/>
    <n v="3"/>
    <n v="1"/>
    <n v="7.5"/>
  </r>
  <r>
    <s v="FERNANDA"/>
    <x v="594"/>
    <x v="277"/>
    <x v="34"/>
    <s v="HAVANNA"/>
    <x v="147"/>
    <s v="AVENTAL OXFORD MODELO PADRÃO"/>
    <s v="AVENTAL"/>
    <s v="LEVE"/>
    <n v="4"/>
    <n v="25"/>
    <n v="100"/>
    <n v="100"/>
    <d v="2026-03-16T00:00:00"/>
    <n v="12"/>
    <m/>
    <s v="ENTREGUE"/>
    <n v="1"/>
    <n v="6"/>
    <n v="6"/>
    <n v="2"/>
    <n v="15"/>
  </r>
  <r>
    <s v="FERNANDA"/>
    <x v="594"/>
    <x v="277"/>
    <x v="34"/>
    <s v="HAVANNA"/>
    <x v="147"/>
    <s v="CAMISETA MANGA LONGA 100% ALGODÃO"/>
    <s v="CAMISETA"/>
    <s v="LEVE"/>
    <n v="4"/>
    <n v="47.5"/>
    <n v="190"/>
    <n v="190"/>
    <d v="2026-03-16T00:00:00"/>
    <n v="12"/>
    <m/>
    <s v="ENTREGUE"/>
    <n v="1"/>
    <n v="6"/>
    <n v="6"/>
    <n v="2"/>
    <n v="15"/>
  </r>
  <r>
    <s v="FERNANDA"/>
    <x v="594"/>
    <x v="277"/>
    <x v="34"/>
    <s v="HAVANNA"/>
    <x v="147"/>
    <s v="BLUSA DE MOLETOM "/>
    <s v="MOLETOM"/>
    <s v="LEVE"/>
    <n v="2"/>
    <n v="85"/>
    <n v="170"/>
    <n v="170"/>
    <d v="2026-03-16T00:00:00"/>
    <n v="12"/>
    <m/>
    <s v="ENTREGUE"/>
    <n v="0.5"/>
    <n v="3"/>
    <n v="3"/>
    <n v="1"/>
    <n v="7.5"/>
  </r>
  <r>
    <s v="FERNANDA"/>
    <x v="594"/>
    <x v="277"/>
    <x v="34"/>
    <s v="HAVANNA"/>
    <x v="147"/>
    <s v="BABY LOOK FEMININA MALHA 100% ALGODAO"/>
    <s v="BABY LOOK"/>
    <s v="LEVE"/>
    <n v="2"/>
    <n v="36.75"/>
    <n v="73.5"/>
    <n v="73.5"/>
    <d v="2026-03-16T00:00:00"/>
    <n v="12"/>
    <m/>
    <s v="ENTREGUE"/>
    <n v="0.5"/>
    <n v="3"/>
    <n v="3"/>
    <n v="1"/>
    <n v="7.5"/>
  </r>
  <r>
    <s v="LETICIA"/>
    <x v="595"/>
    <x v="278"/>
    <x v="34"/>
    <s v="PET"/>
    <x v="1"/>
    <s v="AVENTAL NY EMBORRACHADO"/>
    <s v="AVENTAL"/>
    <s v="LEVE"/>
    <n v="400"/>
    <n v="23.5"/>
    <n v="9400"/>
    <n v="9400"/>
    <d v="2026-03-06T00:00:00"/>
    <n v="10"/>
    <m/>
    <s v="ENTREGUE"/>
    <n v="100"/>
    <n v="600"/>
    <n v="600"/>
    <n v="200"/>
    <n v="1500"/>
  </r>
  <r>
    <s v="LETICIA"/>
    <x v="596"/>
    <x v="278"/>
    <x v="34"/>
    <s v="PET"/>
    <x v="44"/>
    <s v="AVENTAL NY EMBORRACHADO"/>
    <s v="AVENTAL"/>
    <s v="LEVE"/>
    <n v="120"/>
    <n v="25"/>
    <n v="3000"/>
    <n v="3000"/>
    <d v="2026-03-20T00:00:00"/>
    <n v="12"/>
    <m/>
    <s v="ENTREGUE"/>
    <n v="30"/>
    <n v="180"/>
    <n v="180"/>
    <n v="60"/>
    <n v="450"/>
  </r>
  <r>
    <s v="LETICIA"/>
    <x v="597"/>
    <x v="278"/>
    <x v="34"/>
    <s v="PET"/>
    <x v="44"/>
    <s v="CAPA PROTETOR PREMIER"/>
    <s v="CAPA"/>
    <s v="PESADA"/>
    <n v="80"/>
    <n v="19.5"/>
    <n v="1560"/>
    <n v="1560"/>
    <d v="2026-03-20T00:00:00"/>
    <n v="12"/>
    <m/>
    <s v="ENTREGUE"/>
    <n v="20"/>
    <n v="120"/>
    <n v="120"/>
    <n v="40"/>
    <n v="300"/>
  </r>
  <r>
    <s v="LETICIA"/>
    <x v="598"/>
    <x v="278"/>
    <x v="34"/>
    <s v="COSMÉTICO"/>
    <x v="284"/>
    <s v="NECESSAIRE COURO SINTÉTICO "/>
    <s v="NECESSAIRE"/>
    <s v="PESADA"/>
    <n v="100"/>
    <n v="22.5"/>
    <n v="2250"/>
    <n v="2250"/>
    <d v="2026-03-20T00:00:00"/>
    <n v="12"/>
    <m/>
    <s v="ENTREGUE"/>
    <n v="25"/>
    <n v="150"/>
    <n v="150"/>
    <n v="50"/>
    <n v="375"/>
  </r>
  <r>
    <s v="LETICIA"/>
    <x v="575"/>
    <x v="279"/>
    <x v="35"/>
    <s v="COSMÉTICO"/>
    <x v="42"/>
    <s v="MOCHILA INFANTIL CRISTAL"/>
    <s v="MOCHILA"/>
    <s v="PESADA"/>
    <n v="1500"/>
    <n v="10.5"/>
    <n v="15750"/>
    <n v="15750"/>
    <d v="2026-03-23T00:00:00"/>
    <n v="13"/>
    <m/>
    <s v="ENTREGUE"/>
    <n v="375"/>
    <n v="2250"/>
    <n v="2250"/>
    <n v="750"/>
    <n v="5625"/>
  </r>
  <r>
    <s v="REBECA"/>
    <x v="599"/>
    <x v="280"/>
    <x v="35"/>
    <s v="COMÉRCIO"/>
    <x v="209"/>
    <s v="CAMISETA POLO MALHA 100% ALGODÃO"/>
    <s v="CAMISETA"/>
    <s v="LEVE"/>
    <n v="56"/>
    <n v="67"/>
    <n v="3752"/>
    <n v="3752"/>
    <d v="2026-03-24T00:00:00"/>
    <n v="13"/>
    <m/>
    <s v="ENTREGUE"/>
    <n v="14"/>
    <n v="84"/>
    <n v="84"/>
    <n v="28"/>
    <n v="210"/>
  </r>
  <r>
    <s v="REBECA"/>
    <x v="599"/>
    <x v="280"/>
    <x v="35"/>
    <s v="COMÉRCIO"/>
    <x v="209"/>
    <s v="CAMISETA DRY FIT MANGA LONGA"/>
    <s v="CAMISETA"/>
    <s v="LEVE"/>
    <n v="34"/>
    <n v="55"/>
    <n v="1870"/>
    <n v="1870"/>
    <d v="2026-03-24T00:00:00"/>
    <n v="13"/>
    <m/>
    <s v="ENTREGUE"/>
    <n v="8.5"/>
    <n v="51"/>
    <n v="51"/>
    <n v="17"/>
    <n v="127.5"/>
  </r>
  <r>
    <s v="REBECA"/>
    <x v="600"/>
    <x v="280"/>
    <x v="35"/>
    <s v="COSMÉTICO"/>
    <x v="255"/>
    <s v="KIMONO TACTEL"/>
    <s v="KIMONO"/>
    <s v="LEVE"/>
    <n v="60"/>
    <n v="35"/>
    <n v="2100"/>
    <n v="0"/>
    <d v="2026-03-10T00:00:00"/>
    <n v="11"/>
    <m/>
    <s v="ENTREGUE"/>
    <n v="15"/>
    <n v="90"/>
    <n v="90"/>
    <n v="30"/>
    <n v="225"/>
  </r>
  <r>
    <s v="REBECA"/>
    <x v="601"/>
    <x v="281"/>
    <x v="35"/>
    <s v="PET"/>
    <x v="50"/>
    <s v="AVENTAL NY EMBORRACHADO"/>
    <s v="AVENTAL"/>
    <s v="LEVE"/>
    <n v="227"/>
    <n v="25"/>
    <n v="5675"/>
    <n v="0"/>
    <d v="2026-03-25T00:00:00"/>
    <n v="13"/>
    <m/>
    <s v="ENTREGUE"/>
    <n v="56.75"/>
    <n v="340.5"/>
    <n v="340.5"/>
    <n v="113.5"/>
    <n v="851.25"/>
  </r>
  <r>
    <s v="LETICIA"/>
    <x v="602"/>
    <x v="282"/>
    <x v="35"/>
    <s v="PET"/>
    <x v="144"/>
    <s v="AVENTAL NY EMBORRACHADO"/>
    <s v="AVENTAL"/>
    <s v="LEVE"/>
    <n v="100"/>
    <n v="29.7"/>
    <n v="2970"/>
    <n v="0"/>
    <d v="2026-03-26T00:00:00"/>
    <n v="13"/>
    <m/>
    <s v="ENTREGUE"/>
    <n v="25"/>
    <n v="150"/>
    <n v="150"/>
    <n v="50"/>
    <n v="375"/>
  </r>
  <r>
    <s v="LETICIA"/>
    <x v="603"/>
    <x v="282"/>
    <x v="35"/>
    <s v="COSMÉTICO"/>
    <x v="160"/>
    <s v="CAPA DE CORTE TACTEL"/>
    <s v="CAPA"/>
    <s v="LEVE"/>
    <n v="50"/>
    <n v="18"/>
    <n v="900"/>
    <n v="450"/>
    <d v="2026-03-27T00:00:00"/>
    <n v="13"/>
    <m/>
    <s v="ENTREGUE"/>
    <n v="12.5"/>
    <n v="75"/>
    <n v="75"/>
    <n v="25"/>
    <n v="187.5"/>
  </r>
  <r>
    <s v="LETICIA"/>
    <x v="603"/>
    <x v="282"/>
    <x v="35"/>
    <s v="COSMÉTICO"/>
    <x v="160"/>
    <s v="AVENTAL NY 210"/>
    <s v="AVENTAL"/>
    <s v="LEVE"/>
    <n v="50"/>
    <n v="19.899999999999999"/>
    <n v="994.99999999999989"/>
    <n v="497.49999999999994"/>
    <d v="2026-03-27T00:00:00"/>
    <n v="13"/>
    <m/>
    <s v="ENTREGUE"/>
    <n v="12.5"/>
    <n v="75"/>
    <n v="75"/>
    <n v="25"/>
    <n v="187.5"/>
  </r>
  <r>
    <s v="REBECA"/>
    <x v="604"/>
    <x v="282"/>
    <x v="35"/>
    <s v="COSMÉTICO"/>
    <x v="71"/>
    <s v="CAMISETA MALHA PV COR BRANCA"/>
    <s v="CAMISETA"/>
    <s v="LEVE"/>
    <n v="50"/>
    <n v="39"/>
    <n v="1950"/>
    <n v="975"/>
    <d v="2026-03-26T00:00:00"/>
    <n v="13"/>
    <m/>
    <s v="ENTREGUE"/>
    <n v="12.5"/>
    <n v="75"/>
    <n v="75"/>
    <n v="25"/>
    <n v="187.5"/>
  </r>
  <r>
    <s v="REBECA"/>
    <x v="604"/>
    <x v="282"/>
    <x v="35"/>
    <s v="COSMÉTICO"/>
    <x v="71"/>
    <s v="CAMISETA MALHA PV COR PRETA ESTAMPA FRENTE E VERSO"/>
    <s v="CAMISETA"/>
    <s v="LEVE"/>
    <n v="50"/>
    <n v="42.5"/>
    <n v="2125"/>
    <n v="1062.5"/>
    <d v="2026-03-26T00:00:00"/>
    <n v="13"/>
    <m/>
    <s v="ENTREGUE"/>
    <n v="12.5"/>
    <n v="75"/>
    <n v="75"/>
    <n v="25"/>
    <n v="187.5"/>
  </r>
  <r>
    <s v="REBECA"/>
    <x v="604"/>
    <x v="282"/>
    <x v="35"/>
    <s v="COSMÉTICO"/>
    <x v="71"/>
    <s v="CAMISETA MALHA PV COR VERDE ESTAMPA FRENTE E VERSO"/>
    <s v="CAMISETA"/>
    <s v="LEVE"/>
    <n v="100"/>
    <n v="42.5"/>
    <n v="4250"/>
    <n v="2125"/>
    <d v="2026-03-26T00:00:00"/>
    <n v="13"/>
    <m/>
    <s v="ENTREGUE"/>
    <n v="25"/>
    <n v="150"/>
    <n v="150"/>
    <n v="50"/>
    <n v="375"/>
  </r>
  <r>
    <s v="REBECA"/>
    <x v="604"/>
    <x v="282"/>
    <x v="35"/>
    <s v="COSMÉTICO"/>
    <x v="71"/>
    <s v="CAMISETA MALHA PV LOGO EY"/>
    <s v="CAMISETA"/>
    <s v="LEVE"/>
    <n v="50"/>
    <n v="26.5"/>
    <n v="1325"/>
    <n v="662.5"/>
    <d v="2026-03-26T00:00:00"/>
    <n v="13"/>
    <m/>
    <s v="ENTREGUE"/>
    <n v="12.5"/>
    <n v="75"/>
    <n v="75"/>
    <n v="25"/>
    <n v="187.5"/>
  </r>
  <r>
    <s v="REBECA"/>
    <x v="605"/>
    <x v="282"/>
    <x v="35"/>
    <s v="HAVANNA"/>
    <x v="285"/>
    <s v="CAMISETA MANGA LONGA 100% ALGODÃO"/>
    <s v="CAMISETA"/>
    <s v="LEVE"/>
    <n v="2"/>
    <n v="47.5"/>
    <n v="95"/>
    <n v="95"/>
    <d v="2026-02-27T00:00:00"/>
    <n v="9"/>
    <m/>
    <s v="ENTREGUE"/>
    <n v="0.5"/>
    <n v="3"/>
    <n v="3"/>
    <n v="1"/>
    <n v="7.5"/>
  </r>
  <r>
    <s v="REBECA"/>
    <x v="605"/>
    <x v="282"/>
    <x v="35"/>
    <s v="HAVANNA"/>
    <x v="285"/>
    <s v="BABY LOOK FEMININA MALHA 100% ALGODAO"/>
    <s v="BABY LOOK"/>
    <s v="LEVE"/>
    <n v="8"/>
    <n v="36.75"/>
    <n v="294"/>
    <n v="294"/>
    <d v="2026-02-27T00:00:00"/>
    <n v="9"/>
    <m/>
    <s v="ENTREGUE"/>
    <n v="2"/>
    <n v="12"/>
    <n v="12"/>
    <n v="4"/>
    <n v="30"/>
  </r>
  <r>
    <s v="REBECA"/>
    <x v="605"/>
    <x v="282"/>
    <x v="35"/>
    <s v="HAVANNA"/>
    <x v="285"/>
    <s v="AVENTAL OXFORD MODELO PADRÃO"/>
    <s v="AVENTAL"/>
    <s v="LEVE"/>
    <n v="4"/>
    <n v="25"/>
    <n v="100"/>
    <n v="100"/>
    <d v="2026-02-27T00:00:00"/>
    <n v="9"/>
    <m/>
    <s v="ENTREGUE"/>
    <n v="1"/>
    <n v="6"/>
    <n v="6"/>
    <n v="2"/>
    <n v="15"/>
  </r>
  <r>
    <s v="LETICIA"/>
    <x v="606"/>
    <x v="282"/>
    <x v="35"/>
    <s v="COSMÉTICO"/>
    <x v="286"/>
    <s v="AVENTAL NY 210"/>
    <s v="AVENTAL"/>
    <s v="LEVE"/>
    <n v="100"/>
    <n v="19.5"/>
    <n v="1950"/>
    <n v="975"/>
    <d v="2026-03-26T00:00:00"/>
    <n v="13"/>
    <m/>
    <s v="ENTREGUE"/>
    <n v="25"/>
    <n v="150"/>
    <n v="150"/>
    <n v="50"/>
    <n v="375"/>
  </r>
  <r>
    <s v="LETICIA"/>
    <x v="607"/>
    <x v="283"/>
    <x v="36"/>
    <s v="COSMÉTICO"/>
    <x v="221"/>
    <s v="NECESSAIRE MALETA MAKE"/>
    <s v="NECESSAIRE"/>
    <s v="PESADA"/>
    <n v="300"/>
    <n v="15.9"/>
    <n v="4770"/>
    <n v="0"/>
    <d v="2026-03-30T00:00:00"/>
    <n v="14"/>
    <m/>
    <s v="ENTREGUE"/>
    <n v="75"/>
    <n v="450"/>
    <n v="450"/>
    <n v="150"/>
    <n v="1125"/>
  </r>
  <r>
    <s v="LETICIA"/>
    <x v="608"/>
    <x v="283"/>
    <x v="36"/>
    <s v="COSMÉTICO"/>
    <x v="287"/>
    <s v="CAMISETA MALHA 100% ALGODÃO"/>
    <s v="CAMISETA"/>
    <s v="LEVE"/>
    <n v="30"/>
    <n v="37"/>
    <n v="1110"/>
    <n v="1110"/>
    <d v="2026-03-30T00:00:00"/>
    <n v="14"/>
    <m/>
    <s v="ENTREGUE"/>
    <n v="7.5"/>
    <n v="45"/>
    <n v="45"/>
    <n v="15"/>
    <n v="112.5"/>
  </r>
  <r>
    <s v="LETICIA"/>
    <x v="608"/>
    <x v="283"/>
    <x v="36"/>
    <s v="COSMÉTICO"/>
    <x v="287"/>
    <s v="CAMISETA POLO MALHA 100% ALGODÃO"/>
    <s v="POLO"/>
    <s v="LEVE"/>
    <n v="10"/>
    <n v="75"/>
    <n v="750"/>
    <n v="750"/>
    <d v="2026-03-30T00:00:00"/>
    <n v="14"/>
    <m/>
    <s v="ENTREGUE"/>
    <n v="2.5"/>
    <n v="15"/>
    <n v="15"/>
    <n v="5"/>
    <n v="37.5"/>
  </r>
  <r>
    <s v="LETICIA"/>
    <x v="47"/>
    <x v="283"/>
    <x v="36"/>
    <s v="PET"/>
    <x v="44"/>
    <s v="MANTA COBERTOR PET 1M X 70"/>
    <s v="MANTA"/>
    <s v="LEVE"/>
    <n v="1500"/>
    <n v="15.7"/>
    <n v="23550"/>
    <n v="23550"/>
    <d v="2026-03-27T00:00:00"/>
    <n v="13"/>
    <m/>
    <s v="ENTREGUE"/>
    <n v="375"/>
    <n v="2250"/>
    <n v="2250"/>
    <n v="750"/>
    <n v="5625"/>
  </r>
  <r>
    <s v="FERNANDA"/>
    <x v="609"/>
    <x v="284"/>
    <x v="36"/>
    <s v="HAVANNA"/>
    <x v="10"/>
    <s v="CAMISETA MALHA 100% ALGODÃO"/>
    <s v="CAMISETA"/>
    <s v="LEVE"/>
    <n v="6"/>
    <n v="36.75"/>
    <n v="220.5"/>
    <n v="220.5"/>
    <d v="2026-03-06T00:00:00"/>
    <n v="10"/>
    <m/>
    <s v="ENTREGUE"/>
    <n v="1.5"/>
    <n v="9"/>
    <n v="9"/>
    <n v="3"/>
    <n v="22.5"/>
  </r>
  <r>
    <s v="FERNANDA"/>
    <x v="609"/>
    <x v="284"/>
    <x v="36"/>
    <s v="HAVANNA"/>
    <x v="10"/>
    <s v="BABY LOOK FEMININA MALHA 100% ALGODAO"/>
    <s v="BABY LOOK"/>
    <s v="LEVE"/>
    <n v="15"/>
    <n v="36.75"/>
    <n v="551.25"/>
    <n v="551.25"/>
    <d v="2026-03-06T00:00:00"/>
    <n v="10"/>
    <m/>
    <s v="ENTREGUE"/>
    <n v="3.75"/>
    <n v="22.5"/>
    <n v="22.5"/>
    <n v="7.5"/>
    <n v="56.25"/>
  </r>
  <r>
    <s v="FERNANDA"/>
    <x v="609"/>
    <x v="284"/>
    <x v="36"/>
    <s v="HAVANNA"/>
    <x v="10"/>
    <s v="AVENTAL OXFORD MODELO PADRÃO"/>
    <s v="AVENTAL"/>
    <s v="LEVE"/>
    <n v="4"/>
    <n v="25"/>
    <n v="100"/>
    <n v="100"/>
    <d v="2026-03-06T00:00:00"/>
    <n v="10"/>
    <m/>
    <s v="ENTREGUE"/>
    <n v="1"/>
    <n v="6"/>
    <n v="6"/>
    <n v="2"/>
    <n v="15"/>
  </r>
  <r>
    <s v="LETICIA"/>
    <x v="610"/>
    <x v="284"/>
    <x v="36"/>
    <s v="COSMÉTICO"/>
    <x v="189"/>
    <s v="CAMISETA MALHA 100% ALGODÃO"/>
    <s v="CAMISETA"/>
    <s v="LEVE"/>
    <n v="100"/>
    <n v="28"/>
    <n v="2800"/>
    <n v="1400"/>
    <d v="2026-03-31T00:00:00"/>
    <n v="14"/>
    <m/>
    <s v="ENTREGUE"/>
    <n v="25"/>
    <n v="150"/>
    <n v="150"/>
    <n v="50"/>
    <n v="375"/>
  </r>
  <r>
    <s v="REBECA"/>
    <x v="611"/>
    <x v="285"/>
    <x v="36"/>
    <s v="COSMÉTICO"/>
    <x v="288"/>
    <s v="AVENTAL NY 210"/>
    <s v="AVENTAL"/>
    <s v="LEVE"/>
    <n v="200"/>
    <n v="25"/>
    <n v="5000"/>
    <n v="5000"/>
    <d v="2026-04-01T00:00:00"/>
    <n v="14"/>
    <m/>
    <s v="ENTREGUE"/>
    <n v="50"/>
    <n v="300"/>
    <n v="300"/>
    <n v="100"/>
    <n v="750"/>
  </r>
  <r>
    <s v="REBECA"/>
    <x v="612"/>
    <x v="285"/>
    <x v="36"/>
    <s v="COSMÉTICO"/>
    <x v="94"/>
    <s v="CAMISETA MALHA PV"/>
    <s v="AVENTAL"/>
    <s v="LEVE"/>
    <n v="50"/>
    <n v="35"/>
    <n v="1750"/>
    <n v="0"/>
    <d v="2026-04-01T00:00:00"/>
    <n v="14"/>
    <m/>
    <s v="ENTREGUE"/>
    <n v="12.5"/>
    <n v="75"/>
    <n v="75"/>
    <n v="25"/>
    <n v="187.5"/>
  </r>
  <r>
    <s v="LETICIA"/>
    <x v="613"/>
    <x v="285"/>
    <x v="36"/>
    <s v="COSMÉTICO"/>
    <x v="94"/>
    <s v="SACOLA LONA IMPERMEAVEL COR CRU"/>
    <s v="SACOLA"/>
    <s v="PESADA"/>
    <n v="500"/>
    <n v="26.5"/>
    <n v="13250"/>
    <n v="6625"/>
    <d v="2026-04-03T00:00:00"/>
    <n v="14"/>
    <m/>
    <s v="ENTREGUE"/>
    <n v="125"/>
    <n v="750"/>
    <n v="750"/>
    <n v="250"/>
    <n v="1875"/>
  </r>
  <r>
    <s v="REBECA"/>
    <x v="614"/>
    <x v="285"/>
    <x v="36"/>
    <s v="COSMÉTICO"/>
    <x v="235"/>
    <s v="NECESSAIRE MALETA MAKE"/>
    <s v="NECESSAIRE"/>
    <s v="PESADA"/>
    <n v="200"/>
    <n v="14.99"/>
    <n v="2998"/>
    <n v="0"/>
    <d v="2026-04-02T00:00:00"/>
    <n v="14"/>
    <m/>
    <s v="ENTREGUE"/>
    <n v="50"/>
    <n v="300"/>
    <n v="300"/>
    <n v="100"/>
    <n v="750"/>
  </r>
  <r>
    <s v="REBECA"/>
    <x v="615"/>
    <x v="286"/>
    <x v="36"/>
    <s v="COSMÉTICO"/>
    <x v="289"/>
    <s v="NECESSAIRE MALETA MAKE"/>
    <s v="NECESSAIRE"/>
    <s v="PESADA"/>
    <n v="100"/>
    <n v="18"/>
    <n v="1800"/>
    <n v="0"/>
    <d v="2026-04-07T00:00:00"/>
    <n v="15"/>
    <m/>
    <s v="ENTREGUE"/>
    <n v="25"/>
    <n v="150"/>
    <n v="150"/>
    <n v="50"/>
    <n v="375"/>
  </r>
  <r>
    <s v="LETICIA"/>
    <x v="616"/>
    <x v="286"/>
    <x v="36"/>
    <s v="EDITORA"/>
    <x v="78"/>
    <s v="SACOLA DE ALGODÃO"/>
    <s v="SACOLA"/>
    <s v="LEVE"/>
    <n v="5000"/>
    <n v="8.1999999999999993"/>
    <n v="41000"/>
    <n v="41000"/>
    <d v="2026-04-02T00:00:00"/>
    <n v="14"/>
    <m/>
    <s v="ENTREGUE"/>
    <n v="1250"/>
    <n v="7500"/>
    <n v="7500"/>
    <n v="2500"/>
    <n v="18750"/>
  </r>
  <r>
    <s v="LETICIA"/>
    <x v="617"/>
    <x v="286"/>
    <x v="36"/>
    <s v="EDITORA"/>
    <x v="78"/>
    <s v="SACOLA NYLON 70 PLASTIFICADO"/>
    <s v="SACOLA"/>
    <s v="PESADA"/>
    <n v="9000"/>
    <n v="11"/>
    <n v="99000"/>
    <n v="99000"/>
    <d v="2026-04-06T00:00:00"/>
    <n v="15"/>
    <m/>
    <s v="ENTREGUE"/>
    <n v="2250"/>
    <n v="13500"/>
    <n v="13500"/>
    <n v="4500"/>
    <n v="33750"/>
  </r>
  <r>
    <s v="LETICIA"/>
    <x v="618"/>
    <x v="286"/>
    <x v="36"/>
    <s v="COSMÉTICO"/>
    <x v="94"/>
    <s v="AVENTAL NY 210"/>
    <s v="AVENTAL"/>
    <s v="LEVE"/>
    <n v="350"/>
    <n v="17.5"/>
    <n v="6125"/>
    <n v="6125"/>
    <d v="2026-04-02T00:00:00"/>
    <n v="14"/>
    <m/>
    <s v="ENTREGUE"/>
    <n v="87.5"/>
    <n v="525"/>
    <n v="525"/>
    <n v="175"/>
    <n v="1312.5"/>
  </r>
  <r>
    <s v="LETICIA"/>
    <x v="618"/>
    <x v="286"/>
    <x v="36"/>
    <s v="COSMÉTICO"/>
    <x v="94"/>
    <s v="CAPA DE CORTE IMPERMEAVEL"/>
    <s v="CAPA"/>
    <s v="LEVE"/>
    <n v="200"/>
    <n v="26.5"/>
    <n v="5300"/>
    <n v="5300"/>
    <d v="2026-04-02T00:00:00"/>
    <n v="14"/>
    <m/>
    <s v="ENTREGUE"/>
    <n v="50"/>
    <n v="300"/>
    <n v="300"/>
    <n v="100"/>
    <n v="750"/>
  </r>
  <r>
    <s v="LETICIA"/>
    <x v="618"/>
    <x v="286"/>
    <x v="36"/>
    <s v="COSMÉTICO"/>
    <x v="94"/>
    <s v="TOUCA DE CETIM COM DIFUSOR"/>
    <s v="TOUCA"/>
    <s v="PESADA"/>
    <n v="500"/>
    <n v="14.5"/>
    <n v="7250"/>
    <n v="7250"/>
    <d v="2026-04-02T00:00:00"/>
    <n v="14"/>
    <m/>
    <s v="ENTREGUE"/>
    <n v="125"/>
    <n v="750"/>
    <n v="750"/>
    <n v="250"/>
    <n v="1875"/>
  </r>
  <r>
    <s v="LETICIA"/>
    <x v="618"/>
    <x v="286"/>
    <x v="36"/>
    <s v="COSMÉTICO"/>
    <x v="94"/>
    <s v="TOUCA DE CETIM DUPLA FACE"/>
    <s v="TOUCA"/>
    <s v="PESADA"/>
    <n v="500"/>
    <n v="13"/>
    <n v="6500"/>
    <n v="6500"/>
    <d v="2026-04-02T00:00:00"/>
    <n v="14"/>
    <m/>
    <s v="ENTREGUE"/>
    <m/>
    <m/>
    <m/>
    <m/>
    <m/>
  </r>
  <r>
    <s v="LETICIA"/>
    <x v="618"/>
    <x v="286"/>
    <x v="36"/>
    <s v="COSMÉTICO"/>
    <x v="94"/>
    <s v="BABY LOOK MALHA 100% ALGODÃO "/>
    <s v="BABY LOOK"/>
    <s v="LEVE"/>
    <n v="400"/>
    <n v="24.5"/>
    <n v="9800"/>
    <n v="196"/>
    <d v="2026-04-02T00:00:00"/>
    <n v="14"/>
    <m/>
    <s v="ENTREGUE"/>
    <n v="100"/>
    <n v="600"/>
    <n v="600"/>
    <n v="200"/>
    <n v="1500"/>
  </r>
  <r>
    <s v="LETICIA"/>
    <x v="618"/>
    <x v="286"/>
    <x v="36"/>
    <s v="COSMÉTICO"/>
    <x v="94"/>
    <s v="CAMISETA MALHA 100% ALGODÃO"/>
    <s v="CAMISETA"/>
    <s v="LEVE"/>
    <n v="400"/>
    <n v="24.5"/>
    <n v="9800"/>
    <n v="220.86"/>
    <d v="2026-04-02T00:00:00"/>
    <n v="14"/>
    <m/>
    <s v="ENTREGUE"/>
    <n v="100"/>
    <n v="600"/>
    <n v="600"/>
    <n v="200"/>
    <n v="1500"/>
  </r>
  <r>
    <s v="FERNANDA"/>
    <x v="619"/>
    <x v="286"/>
    <x v="36"/>
    <s v="HAVANNA"/>
    <x v="109"/>
    <s v="CAMISETA POLO PIQUET"/>
    <s v="POLO"/>
    <s v="PESADA"/>
    <n v="2"/>
    <n v="65"/>
    <n v="130"/>
    <n v="130"/>
    <d v="2026-03-13T00:00:00"/>
    <n v="11"/>
    <m/>
    <s v="ENTREGUE"/>
    <n v="0.5"/>
    <n v="3"/>
    <n v="3"/>
    <n v="1"/>
    <n v="7.5"/>
  </r>
  <r>
    <s v="FERNANDA"/>
    <x v="619"/>
    <x v="286"/>
    <x v="36"/>
    <s v="HAVANNA"/>
    <x v="109"/>
    <s v="FAIXA DE CABELO"/>
    <s v="FAIXA"/>
    <s v="LEVE"/>
    <n v="5"/>
    <n v="21"/>
    <n v="105"/>
    <n v="105"/>
    <d v="2026-03-13T00:00:00"/>
    <n v="11"/>
    <m/>
    <s v="ENTREGUE"/>
    <n v="1.25"/>
    <n v="7.5"/>
    <n v="7.5"/>
    <n v="2.5"/>
    <n v="18.75"/>
  </r>
  <r>
    <s v="FERNANDA"/>
    <x v="619"/>
    <x v="286"/>
    <x v="36"/>
    <s v="HAVANNA"/>
    <x v="109"/>
    <s v="CAMISETA MALHA 100% ALGODÃO"/>
    <s v="CAMISETA"/>
    <s v="LEVE"/>
    <n v="8"/>
    <n v="36.75"/>
    <n v="294"/>
    <n v="294"/>
    <d v="2026-03-13T00:00:00"/>
    <n v="11"/>
    <n v="1900"/>
    <s v="ENTREGUE"/>
    <n v="2"/>
    <n v="12"/>
    <n v="12"/>
    <n v="4"/>
    <n v="30"/>
  </r>
  <r>
    <s v="FERNANDA"/>
    <x v="619"/>
    <x v="286"/>
    <x v="36"/>
    <s v="HAVANNA"/>
    <x v="109"/>
    <s v="BABY LOOK FEMININA MALHA 100% ALGODAO"/>
    <s v="BABY LOOK"/>
    <s v="LEVE"/>
    <n v="8"/>
    <n v="36.75"/>
    <n v="294"/>
    <n v="294"/>
    <d v="2026-03-13T00:00:00"/>
    <n v="11"/>
    <m/>
    <s v="ENTREGUE"/>
    <n v="2"/>
    <n v="12"/>
    <n v="12"/>
    <n v="4"/>
    <n v="30"/>
  </r>
  <r>
    <s v="REBECA"/>
    <x v="620"/>
    <x v="287"/>
    <x v="36"/>
    <s v="COSMÉTICO"/>
    <x v="156"/>
    <s v="AVENTAL OXFORD MODELO PADRÃO"/>
    <s v="AVENTAL"/>
    <s v="LEVE"/>
    <n v="50"/>
    <n v="20"/>
    <n v="1000"/>
    <n v="0"/>
    <d v="2026-04-07T00:00:00"/>
    <n v="15"/>
    <m/>
    <s v="ENTREGUE"/>
    <n v="12.5"/>
    <n v="75"/>
    <n v="75"/>
    <n v="25"/>
    <n v="187.5"/>
  </r>
  <r>
    <s v="REBECA"/>
    <x v="620"/>
    <x v="287"/>
    <x v="36"/>
    <s v="COSMÉTICO"/>
    <x v="156"/>
    <s v="CAPA DE CORTE TACTEL"/>
    <s v="CAPA"/>
    <s v="LEVE"/>
    <n v="50"/>
    <n v="20"/>
    <n v="1000"/>
    <n v="0"/>
    <d v="2026-04-07T00:00:00"/>
    <n v="15"/>
    <m/>
    <s v="ENTREGUE"/>
    <n v="12.5"/>
    <n v="75"/>
    <n v="75"/>
    <n v="25"/>
    <n v="187.5"/>
  </r>
  <r>
    <s v="LETICIA"/>
    <x v="621"/>
    <x v="287"/>
    <x v="36"/>
    <s v="PET"/>
    <x v="1"/>
    <s v="AVENTA NYLON EMBORRACHADO"/>
    <s v="AVENTAL"/>
    <s v="LEVE"/>
    <n v="3000"/>
    <n v="23.5"/>
    <n v="70500"/>
    <n v="70500"/>
    <d v="2026-04-06T00:00:00"/>
    <n v="15"/>
    <m/>
    <s v="ENTREGUE"/>
    <n v="750"/>
    <n v="4500"/>
    <n v="4500"/>
    <n v="1500"/>
    <n v="11250"/>
  </r>
  <r>
    <s v="LETICIA"/>
    <x v="50"/>
    <x v="287"/>
    <x v="36"/>
    <s v="PET"/>
    <x v="41"/>
    <s v="JALECO GROOMER"/>
    <s v="JALECO"/>
    <s v="PESADA"/>
    <n v="60"/>
    <n v="55"/>
    <n v="3300"/>
    <n v="3300"/>
    <d v="2026-04-07T00:00:00"/>
    <n v="15"/>
    <m/>
    <s v="ENTREGUE"/>
    <n v="15"/>
    <n v="90"/>
    <n v="90"/>
    <n v="30"/>
    <n v="225"/>
  </r>
  <r>
    <s v="LETICIA"/>
    <x v="49"/>
    <x v="287"/>
    <x v="36"/>
    <s v="PET"/>
    <x v="41"/>
    <s v="JALECO GROOMER"/>
    <s v="JALECO"/>
    <s v="PESADA"/>
    <n v="50"/>
    <n v="45"/>
    <n v="2250"/>
    <n v="2250"/>
    <d v="2026-04-07T00:00:00"/>
    <n v="15"/>
    <m/>
    <s v="ENTREGUE"/>
    <n v="12.5"/>
    <n v="75"/>
    <n v="75"/>
    <n v="25"/>
    <n v="187.5"/>
  </r>
  <r>
    <s v="LETICIA"/>
    <x v="48"/>
    <x v="287"/>
    <x v="36"/>
    <s v="COSMÉTICO"/>
    <x v="0"/>
    <s v="CAMISETA GOLA CARECA MALHA PV"/>
    <s v="CAMISETA"/>
    <s v="LEVE"/>
    <n v="100"/>
    <n v="24.5"/>
    <n v="2450"/>
    <n v="2450"/>
    <d v="2026-04-07T00:00:00"/>
    <n v="15"/>
    <m/>
    <s v="ENTREGUE"/>
    <n v="25"/>
    <n v="150"/>
    <n v="150"/>
    <n v="50"/>
    <n v="375"/>
  </r>
  <r>
    <s v="LETICIA"/>
    <x v="48"/>
    <x v="287"/>
    <x v="36"/>
    <s v="COSMÉTICO"/>
    <x v="0"/>
    <s v="CAMISETA GOLA CARECA MALHA PV BIG"/>
    <s v="CAMISETA"/>
    <s v="LEVE"/>
    <n v="30"/>
    <n v="26.5"/>
    <n v="795"/>
    <n v="795"/>
    <d v="2026-04-07T00:00:00"/>
    <n v="15"/>
    <m/>
    <s v="ENTREGUE"/>
    <n v="7.5"/>
    <n v="45"/>
    <n v="45"/>
    <n v="15"/>
    <n v="112.5"/>
  </r>
  <r>
    <s v="LETICIA"/>
    <x v="48"/>
    <x v="287"/>
    <x v="36"/>
    <s v="COSMÉTICO"/>
    <x v="0"/>
    <s v="AVENTAL OXFORD MODELO PADRÃO"/>
    <s v="AVENTAL"/>
    <s v="LEVE"/>
    <n v="150"/>
    <n v="14"/>
    <n v="2100"/>
    <n v="2100"/>
    <d v="2026-04-07T00:00:00"/>
    <n v="15"/>
    <m/>
    <s v="ENTREGUE"/>
    <n v="37.5"/>
    <n v="225"/>
    <n v="225"/>
    <n v="75"/>
    <n v="562.5"/>
  </r>
  <r>
    <s v="LETICIA"/>
    <x v="48"/>
    <x v="287"/>
    <x v="36"/>
    <s v="COSMÉTICO"/>
    <x v="0"/>
    <s v="AVENTAL OXFORD MODELO PADRÃO"/>
    <s v="AVENTAL"/>
    <s v="LEVE"/>
    <n v="150"/>
    <n v="14"/>
    <n v="2100"/>
    <n v="2100"/>
    <d v="2026-04-07T00:00:00"/>
    <n v="15"/>
    <m/>
    <s v="ENTREGUE"/>
    <n v="37.5"/>
    <n v="225"/>
    <n v="225"/>
    <n v="75"/>
    <n v="562.5"/>
  </r>
  <r>
    <s v="LETICIA"/>
    <x v="48"/>
    <x v="287"/>
    <x v="36"/>
    <s v="COSMÉTICO"/>
    <x v="0"/>
    <s v="CAPA DE CORTE TACTEL"/>
    <s v="CAPA"/>
    <s v="LEVE"/>
    <n v="150"/>
    <n v="24.5"/>
    <n v="3675"/>
    <n v="3675"/>
    <d v="2026-04-07T00:00:00"/>
    <n v="15"/>
    <m/>
    <s v="ENTREGUE"/>
    <n v="37.5"/>
    <n v="225"/>
    <n v="225"/>
    <n v="75"/>
    <n v="562.5"/>
  </r>
  <r>
    <s v="LETICIA"/>
    <x v="51"/>
    <x v="287"/>
    <x v="36"/>
    <s v="COSMÉTICO"/>
    <x v="0"/>
    <s v="CAMISETA GOLA CARECA MALHA PV"/>
    <s v="CAMISETA"/>
    <s v="LEVE"/>
    <n v="300"/>
    <n v="24.5"/>
    <n v="7350"/>
    <n v="7350"/>
    <d v="2026-04-07T00:00:00"/>
    <n v="15"/>
    <m/>
    <s v="ENTREGUE"/>
    <n v="75"/>
    <n v="450"/>
    <n v="450"/>
    <n v="150"/>
    <n v="1125"/>
  </r>
  <r>
    <s v="LETICIA"/>
    <x v="51"/>
    <x v="287"/>
    <x v="36"/>
    <s v="COSMÉTICO"/>
    <x v="0"/>
    <s v="CAMISETA GOLA CARECA MALHA PV BIG"/>
    <s v="CAMISETA"/>
    <s v="LEVE"/>
    <n v="30"/>
    <n v="26.5"/>
    <n v="795"/>
    <n v="795"/>
    <d v="2026-04-07T00:00:00"/>
    <n v="15"/>
    <m/>
    <s v="ENTREGUE"/>
    <n v="7.5"/>
    <n v="45"/>
    <n v="45"/>
    <n v="15"/>
    <n v="112.5"/>
  </r>
  <r>
    <s v="LETICIA"/>
    <x v="51"/>
    <x v="287"/>
    <x v="36"/>
    <s v="COSMÉTICO"/>
    <x v="0"/>
    <s v="AVENTAL OXFORD MODELO PADRÃO"/>
    <s v="AVENTAL"/>
    <s v="LEVE"/>
    <n v="150"/>
    <n v="14"/>
    <n v="2100"/>
    <n v="2100"/>
    <d v="2026-04-07T00:00:00"/>
    <n v="15"/>
    <m/>
    <s v="ENTREGUE"/>
    <n v="37.5"/>
    <n v="225"/>
    <n v="225"/>
    <n v="75"/>
    <n v="562.5"/>
  </r>
  <r>
    <s v="LETICIA"/>
    <x v="622"/>
    <x v="288"/>
    <x v="37"/>
    <s v="PET"/>
    <x v="41"/>
    <s v="AVENTAL NY EMBORRACHADO"/>
    <s v="AVENTAL"/>
    <s v="LEVE"/>
    <n v="250"/>
    <n v="23.5"/>
    <n v="5875"/>
    <n v="5875"/>
    <d v="2026-04-16T00:00:00"/>
    <n v="16"/>
    <m/>
    <s v="ENTREGUE"/>
    <n v="62.5"/>
    <n v="375"/>
    <n v="375"/>
    <n v="125"/>
    <n v="937.5"/>
  </r>
  <r>
    <s v="LETICIA"/>
    <x v="623"/>
    <x v="288"/>
    <x v="37"/>
    <s v="PET"/>
    <x v="44"/>
    <s v="CAPA DE CADEIRA HELANCA"/>
    <s v="CAPA DE CADEIRA"/>
    <s v="PESADA"/>
    <n v="400"/>
    <n v="11.5"/>
    <n v="4600"/>
    <n v="4600"/>
    <d v="2026-04-09T00:00:00"/>
    <n v="15"/>
    <m/>
    <s v="ENTREGUE"/>
    <n v="100"/>
    <n v="600"/>
    <n v="600"/>
    <n v="200"/>
    <n v="1500"/>
  </r>
  <r>
    <s v="LETICIA"/>
    <x v="624"/>
    <x v="289"/>
    <x v="37"/>
    <s v="COSMÉTICO"/>
    <x v="136"/>
    <s v="CAMISETA GOLA CARECA  MALHA 100% ALGODÃO"/>
    <s v="CAMISETA"/>
    <s v="LEVE"/>
    <n v="105"/>
    <n v="35"/>
    <n v="3675"/>
    <n v="3675"/>
    <d v="2026-03-12T00:00:00"/>
    <n v="11"/>
    <m/>
    <s v="ENTREGUE"/>
    <n v="26.25"/>
    <n v="157.5"/>
    <n v="157.5"/>
    <n v="52.5"/>
    <n v="393.75"/>
  </r>
  <r>
    <s v="REBECA"/>
    <x v="625"/>
    <x v="289"/>
    <x v="37"/>
    <s v="COSMÉTICO"/>
    <x v="290"/>
    <s v="AVENTAL OXFORD MODELO PADRÃO"/>
    <s v="AVENTAL"/>
    <s v="LEVE"/>
    <n v="50"/>
    <n v="25"/>
    <n v="1250"/>
    <n v="0"/>
    <d v="2026-03-20T00:00:00"/>
    <n v="12"/>
    <m/>
    <s v="ENTREGUE"/>
    <n v="12.5"/>
    <n v="75"/>
    <n v="75"/>
    <n v="25"/>
    <n v="187.5"/>
  </r>
  <r>
    <s v="REBECA"/>
    <x v="626"/>
    <x v="290"/>
    <x v="37"/>
    <s v="COSMÉTICO"/>
    <x v="291"/>
    <s v="SACOLA DE ALGODÃO"/>
    <s v="SACOLA"/>
    <s v="PESADA"/>
    <n v="700"/>
    <n v="8.8000000000000007"/>
    <n v="6160.0000000000009"/>
    <n v="6160.0000000000009"/>
    <d v="2026-04-10T00:00:00"/>
    <n v="15"/>
    <m/>
    <s v="ENTREGUE"/>
    <n v="175"/>
    <n v="1050"/>
    <n v="1050"/>
    <n v="350"/>
    <n v="2625"/>
  </r>
  <r>
    <s v="REBECA"/>
    <x v="626"/>
    <x v="290"/>
    <x v="37"/>
    <s v="COSMÉTICO"/>
    <x v="291"/>
    <s v="SACOLA DE ALGODÃO"/>
    <s v="SACOLA"/>
    <s v="PESADA"/>
    <n v="300"/>
    <n v="9.5"/>
    <n v="2850"/>
    <n v="2850"/>
    <d v="2026-04-10T00:00:00"/>
    <n v="15"/>
    <m/>
    <s v="ENTREGUE"/>
    <n v="75"/>
    <n v="450"/>
    <n v="450"/>
    <n v="150"/>
    <n v="1125"/>
  </r>
  <r>
    <s v="LETICIA"/>
    <x v="45"/>
    <x v="290"/>
    <x v="37"/>
    <s v="PET"/>
    <x v="44"/>
    <s v="TOALHA DE NATAÇÃO"/>
    <s v="TOLHA"/>
    <s v="LEVE"/>
    <n v="1300"/>
    <n v="35.5"/>
    <n v="46150"/>
    <n v="46150"/>
    <d v="2026-04-10T00:00:00"/>
    <n v="15"/>
    <m/>
    <s v="ENTREGUE"/>
    <n v="325"/>
    <n v="1950"/>
    <n v="1950"/>
    <n v="650"/>
    <n v="4875"/>
  </r>
  <r>
    <s v="REBECA"/>
    <x v="627"/>
    <x v="291"/>
    <x v="37"/>
    <s v="COSMÉTICO"/>
    <x v="292"/>
    <s v="AVENTAL NY 210"/>
    <s v="AVENTAL"/>
    <s v="LEVE"/>
    <n v="500"/>
    <n v="18.7"/>
    <n v="9350"/>
    <n v="9350"/>
    <d v="2026-04-14T00:00:00"/>
    <n v="16"/>
    <m/>
    <s v="ENTREGUE"/>
    <n v="125"/>
    <n v="750"/>
    <n v="750"/>
    <n v="250"/>
    <n v="1875"/>
  </r>
  <r>
    <s v="REBECA"/>
    <x v="627"/>
    <x v="291"/>
    <x v="37"/>
    <s v="COSMÉTICO"/>
    <x v="292"/>
    <s v="KIMONO TACTEL"/>
    <s v="KIMONO"/>
    <s v="LEVE"/>
    <n v="250"/>
    <n v="26.15"/>
    <n v="6537.5"/>
    <n v="6537.5"/>
    <d v="2026-04-14T00:00:00"/>
    <n v="16"/>
    <m/>
    <s v="ENTREGUE"/>
    <n v="62.5"/>
    <n v="375"/>
    <n v="375"/>
    <n v="125"/>
    <n v="937.5"/>
  </r>
  <r>
    <s v="REBECA"/>
    <x v="628"/>
    <x v="292"/>
    <x v="38"/>
    <s v="HAVANNA"/>
    <x v="208"/>
    <s v="AVENTAL OXFORD MODELO PADRÃO"/>
    <s v="AVENTAL"/>
    <s v="LEVE"/>
    <n v="4"/>
    <n v="25"/>
    <n v="100"/>
    <n v="0"/>
    <d v="2026-04-13T00:00:00"/>
    <n v="16"/>
    <m/>
    <s v="ENTREGUE"/>
    <n v="1"/>
    <n v="6"/>
    <n v="6"/>
    <n v="2"/>
    <n v="15"/>
  </r>
  <r>
    <s v="REBECA"/>
    <x v="628"/>
    <x v="292"/>
    <x v="38"/>
    <s v="HAVANNA"/>
    <x v="208"/>
    <s v="FAIXA DE CABELO"/>
    <s v="FAIXA"/>
    <s v="LEVE"/>
    <n v="6"/>
    <n v="21"/>
    <n v="126"/>
    <n v="0"/>
    <d v="2026-04-13T00:00:00"/>
    <n v="16"/>
    <m/>
    <s v="ENTREGUE"/>
    <n v="1.5"/>
    <n v="9"/>
    <n v="9"/>
    <n v="3"/>
    <n v="22.5"/>
  </r>
  <r>
    <s v="REBECA"/>
    <x v="628"/>
    <x v="292"/>
    <x v="38"/>
    <s v="HAVANNA"/>
    <x v="208"/>
    <s v="CAMISETA POLO PIQUET"/>
    <s v="POLO"/>
    <s v="LEVE"/>
    <n v="4"/>
    <n v="65"/>
    <n v="260"/>
    <n v="0"/>
    <d v="2026-04-13T00:00:00"/>
    <n v="16"/>
    <n v="1900"/>
    <s v="ENTREGUE"/>
    <n v="1"/>
    <n v="6"/>
    <n v="6"/>
    <n v="2"/>
    <n v="15"/>
  </r>
  <r>
    <s v="REBECA"/>
    <x v="628"/>
    <x v="292"/>
    <x v="38"/>
    <s v="HAVANNA"/>
    <x v="208"/>
    <s v="CAMISETA MALHA 100% ALGODÃO"/>
    <s v="CAMISETA"/>
    <s v="LEVE"/>
    <n v="2"/>
    <n v="36.75"/>
    <n v="73.5"/>
    <n v="0"/>
    <d v="2026-04-13T00:00:00"/>
    <n v="16"/>
    <m/>
    <s v="ENTREGUE"/>
    <n v="0.5"/>
    <n v="3"/>
    <n v="3"/>
    <n v="1"/>
    <n v="7.5"/>
  </r>
  <r>
    <s v="REBECA"/>
    <x v="628"/>
    <x v="292"/>
    <x v="38"/>
    <s v="HAVANNA"/>
    <x v="208"/>
    <s v="BABY LOOK FEMININA MALHA 100% ALGODAO"/>
    <s v="BABY LOOK"/>
    <s v="LEVE"/>
    <n v="1"/>
    <n v="36.75"/>
    <n v="36.75"/>
    <n v="0"/>
    <d v="2026-04-13T00:00:00"/>
    <n v="16"/>
    <m/>
    <s v="ENTREGUE"/>
    <n v="0.25"/>
    <n v="1.5"/>
    <n v="1.5"/>
    <n v="0.5"/>
    <n v="3.75"/>
  </r>
  <r>
    <s v="LETICIA"/>
    <x v="629"/>
    <x v="292"/>
    <x v="38"/>
    <s v="COSMÉTICO"/>
    <x v="97"/>
    <s v="CAPA DE CORTE 1,40X1,50"/>
    <s v="CAPA"/>
    <s v="LEVE"/>
    <n v="100"/>
    <n v="26.5"/>
    <n v="31.5"/>
    <n v="31.5"/>
    <d v="2026-04-14T00:00:00"/>
    <n v="16"/>
    <m/>
    <s v="ENTREGUE"/>
    <n v="25"/>
    <n v="150"/>
    <n v="150"/>
    <n v="50"/>
    <n v="375"/>
  </r>
  <r>
    <s v="LETICIA"/>
    <x v="630"/>
    <x v="292"/>
    <x v="38"/>
    <s v="COMÉRCIO"/>
    <x v="45"/>
    <s v="SAQUINHO ALGODÃO CRU"/>
    <s v="SAQUINHO"/>
    <s v="PESADA"/>
    <n v="500"/>
    <n v="3.5"/>
    <n v="1750"/>
    <n v="1750"/>
    <d v="2026-04-14T00:00:00"/>
    <n v="16"/>
    <m/>
    <s v="ENTREGUE"/>
    <n v="125"/>
    <n v="750"/>
    <n v="750"/>
    <n v="250"/>
    <n v="1875"/>
  </r>
  <r>
    <s v="LETICIA"/>
    <x v="630"/>
    <x v="292"/>
    <x v="38"/>
    <s v="COMÉRCIO"/>
    <x v="45"/>
    <s v="ALMOFADA PORTA PULCEIRA"/>
    <s v="ALMOFADA PORTA PULCEIRA"/>
    <s v="PESADA"/>
    <n v="45"/>
    <n v="12"/>
    <n v="540"/>
    <n v="540"/>
    <d v="2026-04-14T00:00:00"/>
    <n v="16"/>
    <m/>
    <s v="ENTREGUE"/>
    <n v="11.25"/>
    <n v="67.5"/>
    <n v="67.5"/>
    <n v="22.5"/>
    <n v="168.75"/>
  </r>
  <r>
    <s v="LETICIA"/>
    <x v="631"/>
    <x v="292"/>
    <x v="38"/>
    <s v="COSMÉTICO"/>
    <x v="94"/>
    <s v="SACOCHILA NY 70"/>
    <s v="SACOCHILA"/>
    <s v="PESADA"/>
    <n v="100"/>
    <n v="10.9"/>
    <n v="1090"/>
    <n v="1090"/>
    <d v="2026-04-13T00:00:00"/>
    <n v="16"/>
    <m/>
    <s v="ENTREGUE"/>
    <n v="25"/>
    <n v="150"/>
    <n v="150"/>
    <n v="50"/>
    <n v="375"/>
  </r>
  <r>
    <s v="LETICIA"/>
    <x v="632"/>
    <x v="292"/>
    <x v="38"/>
    <s v="PET"/>
    <x v="44"/>
    <s v="CAMISETA  MALHA PV"/>
    <s v="CAMISETA"/>
    <s v="LEVE"/>
    <n v="4"/>
    <n v="45"/>
    <n v="180"/>
    <n v="180"/>
    <d v="2026-04-14T00:00:00"/>
    <n v="16"/>
    <m/>
    <s v="ENTREGUE"/>
    <n v="1"/>
    <n v="6"/>
    <n v="6"/>
    <n v="2"/>
    <n v="15"/>
  </r>
  <r>
    <s v="LETICIA"/>
    <x v="632"/>
    <x v="292"/>
    <x v="38"/>
    <s v="PET"/>
    <x v="44"/>
    <s v="CAMISA SOCIAL"/>
    <s v="CAMISA"/>
    <s v="PESADA"/>
    <n v="2"/>
    <n v="150"/>
    <n v="300"/>
    <n v="300"/>
    <d v="2026-04-14T00:00:00"/>
    <n v="16"/>
    <m/>
    <s v="ENTREGUE"/>
    <n v="0.5"/>
    <n v="3"/>
    <n v="3"/>
    <n v="1"/>
    <n v="7.5"/>
  </r>
  <r>
    <s v="LETICIA"/>
    <x v="633"/>
    <x v="293"/>
    <x v="38"/>
    <s v="PET"/>
    <x v="1"/>
    <s v="AVENTAN NYLON EMBORRACHADO"/>
    <s v="AVENTAL"/>
    <s v="LEVE"/>
    <n v="500"/>
    <n v="23.5"/>
    <n v="11750"/>
    <n v="11750"/>
    <d v="2026-04-02T00:00:00"/>
    <n v="14"/>
    <m/>
    <s v="ENTREGUE"/>
    <n v="125"/>
    <n v="750"/>
    <n v="750"/>
    <n v="250"/>
    <n v="1875"/>
  </r>
  <r>
    <s v="LETICIA"/>
    <x v="634"/>
    <x v="293"/>
    <x v="38"/>
    <s v="COSMÉTICO"/>
    <x v="134"/>
    <s v="SACO DE ALGODÃO"/>
    <s v="SACO"/>
    <s v="LEVE"/>
    <n v="300"/>
    <n v="8.6999999999999993"/>
    <n v="2610"/>
    <n v="1305"/>
    <d v="2026-04-15T00:00:00"/>
    <n v="16"/>
    <m/>
    <s v="ENTREGUE"/>
    <n v="75"/>
    <n v="450"/>
    <n v="450"/>
    <n v="150"/>
    <n v="1125"/>
  </r>
  <r>
    <s v="LETICIA"/>
    <x v="634"/>
    <x v="293"/>
    <x v="38"/>
    <s v="COSMÉTICO"/>
    <x v="134"/>
    <s v="NECESSAIRE EXECUTIVE"/>
    <s v="NECESSAIRE"/>
    <s v="PESADA"/>
    <n v="150"/>
    <n v="12.5"/>
    <n v="1875"/>
    <n v="1875"/>
    <d v="2026-04-15T00:00:00"/>
    <n v="16"/>
    <m/>
    <s v="ENTREGUE"/>
    <n v="37.5"/>
    <n v="225"/>
    <n v="225"/>
    <n v="75"/>
    <n v="562.5"/>
  </r>
  <r>
    <s v="LETICIA"/>
    <x v="634"/>
    <x v="293"/>
    <x v="38"/>
    <s v="COSMÉTICO"/>
    <x v="134"/>
    <s v="NECESSAIRE EXECUTIVE"/>
    <s v="NECESSAIRE"/>
    <s v="PESADA"/>
    <n v="120"/>
    <n v="12.5"/>
    <n v="1500"/>
    <n v="1500"/>
    <d v="2026-04-15T00:00:00"/>
    <n v="16"/>
    <m/>
    <s v="ENTREGUE"/>
    <n v="30"/>
    <n v="180"/>
    <n v="180"/>
    <n v="60"/>
    <n v="450"/>
  </r>
  <r>
    <s v="REBECA"/>
    <x v="635"/>
    <x v="294"/>
    <x v="38"/>
    <s v="COSMÉTICO"/>
    <x v="293"/>
    <s v="AVENTAL OXFORD MODELO PADRÃO"/>
    <s v="AVENTAL"/>
    <s v="LEVE"/>
    <n v="10"/>
    <n v="25"/>
    <n v="250"/>
    <n v="125"/>
    <d v="2026-04-16T00:00:00"/>
    <n v="16"/>
    <m/>
    <s v="ENTREGUE"/>
    <n v="2.5"/>
    <n v="15"/>
    <n v="15"/>
    <n v="5"/>
    <n v="37.5"/>
  </r>
  <r>
    <s v="LETICIA"/>
    <x v="636"/>
    <x v="294"/>
    <x v="38"/>
    <s v="COSMÉTICO"/>
    <x v="39"/>
    <s v="SACO DE ALGODÃO"/>
    <s v="SACO"/>
    <s v="PESADA"/>
    <n v="300"/>
    <n v="16.5"/>
    <n v="4950"/>
    <n v="2475"/>
    <d v="2026-04-16T00:00:00"/>
    <n v="16"/>
    <m/>
    <s v="ENTREGUE"/>
    <n v="75"/>
    <n v="450"/>
    <n v="450"/>
    <n v="150"/>
    <n v="1125"/>
  </r>
  <r>
    <s v="REBECA"/>
    <x v="637"/>
    <x v="295"/>
    <x v="38"/>
    <s v="HAVANNA"/>
    <x v="164"/>
    <s v="AVENTAL OXFORD MODELO PADRÃO"/>
    <s v="AVENTAL"/>
    <s v="LEVE"/>
    <n v="2"/>
    <n v="25"/>
    <n v="50"/>
    <n v="50"/>
    <d v="2026-04-09T00:00:00"/>
    <n v="15"/>
    <m/>
    <s v="ENTREGUE"/>
    <n v="0.5"/>
    <n v="3"/>
    <n v="3"/>
    <n v="1"/>
    <n v="7.5"/>
  </r>
  <r>
    <s v="REBECA"/>
    <x v="637"/>
    <x v="295"/>
    <x v="38"/>
    <s v="HAVANNA"/>
    <x v="164"/>
    <s v="FAIXA DE CABELO"/>
    <s v="FAIXA"/>
    <s v="LEVE"/>
    <n v="2"/>
    <n v="21"/>
    <n v="42"/>
    <n v="42"/>
    <d v="2026-04-09T00:00:00"/>
    <n v="15"/>
    <m/>
    <s v="ENTREGUE"/>
    <n v="0.5"/>
    <n v="3"/>
    <n v="3"/>
    <n v="1"/>
    <n v="7.5"/>
  </r>
  <r>
    <s v="REBECA"/>
    <x v="637"/>
    <x v="295"/>
    <x v="38"/>
    <s v="HAVANNA"/>
    <x v="164"/>
    <s v="BABY LOOK FEMININA MALHA 100% ALGODAO"/>
    <s v="BABY LOOK"/>
    <s v="LEVE"/>
    <n v="3"/>
    <n v="36.75"/>
    <n v="110.25"/>
    <n v="110.25"/>
    <d v="2026-04-09T00:00:00"/>
    <n v="15"/>
    <m/>
    <s v="ENTREGUE"/>
    <n v="0.75"/>
    <n v="4.5"/>
    <n v="4.5"/>
    <n v="1.5"/>
    <n v="11.25"/>
  </r>
  <r>
    <s v="REBECA"/>
    <x v="637"/>
    <x v="295"/>
    <x v="38"/>
    <s v="HAVANNA"/>
    <x v="164"/>
    <s v="CAMISETA MALHA 100% ALGODÃO"/>
    <s v="CAMISETA"/>
    <s v="LEVE"/>
    <n v="1"/>
    <n v="36.75"/>
    <n v="36.75"/>
    <n v="36.75"/>
    <d v="2026-04-09T00:00:00"/>
    <n v="15"/>
    <m/>
    <s v="ENTREGUE"/>
    <n v="0.25"/>
    <n v="1.5"/>
    <n v="1.5"/>
    <n v="0.5"/>
    <n v="3.75"/>
  </r>
  <r>
    <s v="LETICIA"/>
    <x v="638"/>
    <x v="295"/>
    <x v="38"/>
    <s v="EDITORA"/>
    <x v="78"/>
    <s v="SAQUINHO ALGODÃO CRU"/>
    <s v="SAQUINHO"/>
    <s v="PESADA"/>
    <n v="12000"/>
    <n v="5"/>
    <n v="60000"/>
    <n v="60000"/>
    <d v="2026-04-14T00:00:00"/>
    <n v="16"/>
    <m/>
    <s v="ENTREGUE"/>
    <n v="3000"/>
    <n v="18000"/>
    <n v="18000"/>
    <n v="6000"/>
    <n v="45000"/>
  </r>
  <r>
    <s v="LETICIA"/>
    <x v="639"/>
    <x v="295"/>
    <x v="38"/>
    <s v="COSMÉTICO"/>
    <x v="294"/>
    <s v="AVENTAL OXFORD MODELO PADRÃO"/>
    <s v="AVENTAL"/>
    <s v="LEVE"/>
    <n v="100"/>
    <n v="17"/>
    <n v="1700"/>
    <n v="1700"/>
    <d v="2026-04-20T00:00:00"/>
    <n v="17"/>
    <m/>
    <s v="ENTREGUE"/>
    <n v="25"/>
    <n v="150"/>
    <n v="150"/>
    <n v="50"/>
    <n v="375"/>
  </r>
  <r>
    <s v="LETICIA"/>
    <x v="639"/>
    <x v="295"/>
    <x v="38"/>
    <s v="COSMÉTICO"/>
    <x v="294"/>
    <s v="CAPA DE CORTE CETIM"/>
    <s v="CAPA"/>
    <s v="LEVE"/>
    <n v="50"/>
    <n v="20"/>
    <n v="1000"/>
    <n v="1000"/>
    <d v="2026-04-20T00:00:00"/>
    <n v="17"/>
    <m/>
    <s v="ENTREGUE"/>
    <n v="12.5"/>
    <n v="75"/>
    <n v="75"/>
    <n v="25"/>
    <n v="187.5"/>
  </r>
  <r>
    <s v="LETICIA"/>
    <x v="55"/>
    <x v="295"/>
    <x v="38"/>
    <s v="COSMÉTICO"/>
    <x v="37"/>
    <s v="AVENTAL NY 210"/>
    <s v="AVENTAL"/>
    <s v="LEVE"/>
    <n v="100"/>
    <n v="19.5"/>
    <n v="1950"/>
    <n v="1950"/>
    <d v="2026-04-20T00:00:00"/>
    <n v="17"/>
    <m/>
    <s v="ENTREGUE"/>
    <n v="25"/>
    <n v="150"/>
    <n v="150"/>
    <n v="50"/>
    <n v="375"/>
  </r>
  <r>
    <s v="LETICIA"/>
    <x v="55"/>
    <x v="295"/>
    <x v="38"/>
    <s v="COSMÉTICO"/>
    <x v="37"/>
    <s v="CAPA DE CORTE CETIM"/>
    <s v="CAPA"/>
    <s v="LEVE"/>
    <n v="100"/>
    <n v="20"/>
    <n v="2000"/>
    <n v="2000"/>
    <d v="2026-04-20T00:00:00"/>
    <n v="17"/>
    <m/>
    <s v="ENTREGUE"/>
    <n v="25"/>
    <n v="150"/>
    <n v="150"/>
    <n v="50"/>
    <n v="375"/>
  </r>
  <r>
    <s v="LETICIA"/>
    <x v="55"/>
    <x v="295"/>
    <x v="38"/>
    <s v="COSMÉTICO"/>
    <x v="37"/>
    <s v="KIMONO CETIM"/>
    <s v="KIMONO"/>
    <s v="PESADA"/>
    <n v="100"/>
    <n v="35"/>
    <n v="3500"/>
    <n v="3500"/>
    <d v="2026-04-20T00:00:00"/>
    <n v="17"/>
    <m/>
    <s v="ENTREGUE"/>
    <n v="25"/>
    <n v="150"/>
    <n v="150"/>
    <n v="50"/>
    <n v="375"/>
  </r>
  <r>
    <s v="LETICIA"/>
    <x v="640"/>
    <x v="296"/>
    <x v="38"/>
    <s v="COSMÉTICO"/>
    <x v="137"/>
    <s v="KIMONO TACTEL"/>
    <s v="KIMONO"/>
    <s v="LEVE"/>
    <n v="50"/>
    <n v="35"/>
    <n v="1750"/>
    <n v="875"/>
    <d v="2026-04-20T00:00:00"/>
    <n v="17"/>
    <m/>
    <s v="ENTREGUE"/>
    <n v="12.5"/>
    <n v="75"/>
    <n v="75"/>
    <n v="25"/>
    <n v="187.5"/>
  </r>
  <r>
    <s v="LETICIA"/>
    <x v="641"/>
    <x v="296"/>
    <x v="38"/>
    <s v="COSMÉTICO"/>
    <x v="42"/>
    <s v="AVENTAL NY 210"/>
    <s v="AVENTAL"/>
    <s v="LEVE"/>
    <n v="500"/>
    <n v="19.5"/>
    <n v="9750"/>
    <n v="9750"/>
    <d v="2026-04-20T00:00:00"/>
    <n v="17"/>
    <m/>
    <s v="ENTREGUE"/>
    <n v="125"/>
    <n v="750"/>
    <n v="750"/>
    <n v="250"/>
    <n v="1875"/>
  </r>
  <r>
    <s v="LETICIA"/>
    <x v="642"/>
    <x v="296"/>
    <x v="38"/>
    <s v="COSMÉTICO"/>
    <x v="90"/>
    <s v="CAMISETA MALHA PV"/>
    <s v="CAMISETA"/>
    <s v="LEVE"/>
    <n v="100"/>
    <n v="26.5"/>
    <n v="2650"/>
    <n v="1325"/>
    <d v="2026-04-10T00:00:00"/>
    <n v="15"/>
    <m/>
    <s v="ENTREGUE"/>
    <n v="25"/>
    <n v="150"/>
    <n v="150"/>
    <n v="50"/>
    <n v="375"/>
  </r>
  <r>
    <s v="REBECA"/>
    <x v="643"/>
    <x v="297"/>
    <x v="39"/>
    <s v="HAVANNA"/>
    <x v="133"/>
    <s v="AVENTAL OXFORD MODELO PADRÃO"/>
    <s v="AVENTAL"/>
    <s v="LEVE"/>
    <n v="6"/>
    <n v="25"/>
    <n v="150"/>
    <n v="150"/>
    <d v="2026-03-24T00:00:00"/>
    <n v="13"/>
    <m/>
    <s v="ENTREGUE"/>
    <n v="1.5"/>
    <n v="9"/>
    <n v="9"/>
    <n v="3"/>
    <n v="22.5"/>
  </r>
  <r>
    <s v="REBECA"/>
    <x v="644"/>
    <x v="298"/>
    <x v="39"/>
    <s v="COSMÉTICO"/>
    <x v="295"/>
    <s v="AVENTAL NY EMBORRACHADO"/>
    <s v="AVENTAL"/>
    <s v="LEVE"/>
    <n v="100"/>
    <n v="27"/>
    <n v="2700"/>
    <n v="1350"/>
    <d v="2026-04-27T00:00:00"/>
    <n v="18"/>
    <m/>
    <s v="ENTREGUE"/>
    <n v="25"/>
    <n v="150"/>
    <n v="150"/>
    <n v="50"/>
    <n v="375"/>
  </r>
  <r>
    <s v="REBECA"/>
    <x v="645"/>
    <x v="299"/>
    <x v="39"/>
    <s v="COSMÉTICO"/>
    <x v="296"/>
    <s v="AVENTAL BARBEIRO COURO SINTETICO "/>
    <s v="AVENTAL"/>
    <s v="PESADA"/>
    <n v="30"/>
    <n v="85"/>
    <n v="2550"/>
    <n v="1275"/>
    <d v="2026-04-24T00:00:00"/>
    <n v="17"/>
    <m/>
    <s v="ENTREGUE"/>
    <n v="7.5"/>
    <n v="45"/>
    <n v="45"/>
    <n v="15"/>
    <n v="112.5"/>
  </r>
  <r>
    <s v="LETICIA"/>
    <x v="646"/>
    <x v="300"/>
    <x v="39"/>
    <s v="PET"/>
    <x v="297"/>
    <s v="JALECO GROOMER"/>
    <s v="JALECO"/>
    <s v="LEVE"/>
    <n v="53"/>
    <n v="50"/>
    <n v="2650"/>
    <n v="2650"/>
    <d v="2026-04-29T00:00:00"/>
    <n v="18"/>
    <m/>
    <s v="ENTREGUE"/>
    <n v="13.25"/>
    <n v="79.5"/>
    <n v="79.5"/>
    <n v="26.5"/>
    <n v="198.75"/>
  </r>
  <r>
    <s v="LETICIA"/>
    <x v="647"/>
    <x v="300"/>
    <x v="39"/>
    <s v="PET"/>
    <x v="57"/>
    <s v="AVENTAL NY EMBORRACHADO"/>
    <s v="AVENTAL"/>
    <s v="LEVE"/>
    <n v="300"/>
    <n v="24.5"/>
    <n v="7350"/>
    <n v="7350"/>
    <d v="2026-04-24T00:00:00"/>
    <n v="17"/>
    <m/>
    <s v="ENTREGUE"/>
    <n v="75"/>
    <n v="450"/>
    <n v="450"/>
    <n v="150"/>
    <n v="1125"/>
  </r>
  <r>
    <s v="LETICIA"/>
    <x v="59"/>
    <x v="300"/>
    <x v="39"/>
    <s v="COSMÉTICO"/>
    <x v="145"/>
    <s v="CAPA DE CORTE CETIM"/>
    <s v="CAPA"/>
    <s v="LEVE"/>
    <n v="300"/>
    <n v="35"/>
    <n v="10500"/>
    <n v="5250"/>
    <d v="2026-04-18T00:00:00"/>
    <n v="16"/>
    <m/>
    <s v="ENTREGUE"/>
    <n v="75"/>
    <n v="450"/>
    <n v="450"/>
    <n v="150"/>
    <n v="1125"/>
  </r>
  <r>
    <s v="REBECA"/>
    <x v="648"/>
    <x v="300"/>
    <x v="39"/>
    <s v="HAVANNA"/>
    <x v="133"/>
    <s v="CAMISETA MALHA 100% ALGODÃO"/>
    <s v="CAMISETA"/>
    <s v="LEVE"/>
    <n v="8"/>
    <n v="36.75"/>
    <n v="294"/>
    <n v="294"/>
    <d v="2026-04-22T00:00:00"/>
    <n v="17"/>
    <m/>
    <s v="ENTREGUE"/>
    <n v="2"/>
    <n v="12"/>
    <n v="12"/>
    <n v="4"/>
    <n v="30"/>
  </r>
  <r>
    <s v="REBECA"/>
    <x v="649"/>
    <x v="301"/>
    <x v="40"/>
    <s v="COSMÉTICO"/>
    <x v="298"/>
    <s v="CAPA DE CORTE"/>
    <s v="CAPA"/>
    <s v="LEVE"/>
    <n v="100"/>
    <n v="39.5"/>
    <n v="3950"/>
    <n v="0"/>
    <d v="2026-04-30T00:00:00"/>
    <n v="18"/>
    <m/>
    <s v="ENTREGUE"/>
    <n v="25"/>
    <n v="150"/>
    <n v="150"/>
    <n v="50"/>
    <n v="375"/>
  </r>
  <r>
    <s v="REBECA"/>
    <x v="649"/>
    <x v="301"/>
    <x v="40"/>
    <s v="COSMÉTICO"/>
    <x v="298"/>
    <s v="AVENTAL NY EMBORRACHADO"/>
    <s v="AVENTAL"/>
    <s v="LEVE"/>
    <n v="100"/>
    <n v="35"/>
    <n v="3500"/>
    <n v="0"/>
    <d v="2026-04-30T00:00:00"/>
    <n v="18"/>
    <m/>
    <s v="ENTREGUE"/>
    <n v="25"/>
    <n v="150"/>
    <n v="150"/>
    <n v="50"/>
    <n v="375"/>
  </r>
  <r>
    <s v="REBECA"/>
    <x v="650"/>
    <x v="301"/>
    <x v="40"/>
    <s v="HAVANNA"/>
    <x v="299"/>
    <s v="AVENTAL OXFORD MODELO PADRÃO"/>
    <s v="AVENTAL"/>
    <s v="LEVE"/>
    <n v="9"/>
    <n v="25"/>
    <n v="225"/>
    <n v="225"/>
    <d v="2026-04-29T00:00:00"/>
    <n v="18"/>
    <m/>
    <s v="ENTREGUE"/>
    <n v="2.25"/>
    <n v="13.5"/>
    <n v="13.5"/>
    <n v="4.5"/>
    <n v="33.75"/>
  </r>
  <r>
    <s v="REBECA"/>
    <x v="650"/>
    <x v="301"/>
    <x v="40"/>
    <s v="HAVANNA"/>
    <x v="299"/>
    <s v="CAMISETA MALHA 100% ALGODÃO"/>
    <s v="CAMISETA"/>
    <s v="LEVE"/>
    <n v="24"/>
    <n v="36.75"/>
    <n v="882"/>
    <n v="882"/>
    <d v="2026-04-29T00:00:00"/>
    <n v="18"/>
    <m/>
    <s v="ENTREGUE"/>
    <n v="6"/>
    <n v="36"/>
    <n v="36"/>
    <n v="12"/>
    <n v="90"/>
  </r>
  <r>
    <s v="REBECA"/>
    <x v="650"/>
    <x v="301"/>
    <x v="40"/>
    <s v="HAVANNA"/>
    <x v="299"/>
    <s v="CALÇA BRIM"/>
    <s v="CALÇA"/>
    <s v="PESADA"/>
    <n v="13"/>
    <n v="75"/>
    <n v="975"/>
    <n v="975"/>
    <d v="2026-04-29T00:00:00"/>
    <n v="18"/>
    <m/>
    <s v="ENTREGUE"/>
    <n v="3.25"/>
    <n v="19.5"/>
    <n v="19.5"/>
    <n v="6.5"/>
    <n v="48.75"/>
  </r>
  <r>
    <s v="REBECA"/>
    <x v="650"/>
    <x v="301"/>
    <x v="40"/>
    <s v="HAVANNA"/>
    <x v="299"/>
    <s v="BLUSA DE MOLETOM "/>
    <s v="MOLETOM"/>
    <s v="PESADA"/>
    <n v="1"/>
    <n v="85"/>
    <n v="85"/>
    <n v="85"/>
    <d v="2026-04-29T00:00:00"/>
    <n v="18"/>
    <m/>
    <s v="ENTREGUE"/>
    <n v="0.25"/>
    <n v="1.5"/>
    <n v="1.5"/>
    <n v="0.5"/>
    <n v="3.75"/>
  </r>
  <r>
    <s v="REBECA"/>
    <x v="650"/>
    <x v="301"/>
    <x v="40"/>
    <s v="HAVANNA"/>
    <x v="299"/>
    <s v="FAIXA DE CABELO"/>
    <s v="FAIXA"/>
    <s v="LEVE"/>
    <n v="6"/>
    <n v="21"/>
    <n v="126"/>
    <n v="126"/>
    <d v="2026-04-29T00:00:00"/>
    <n v="18"/>
    <m/>
    <s v="ENTREGUE"/>
    <n v="1.5"/>
    <n v="9"/>
    <n v="9"/>
    <n v="3"/>
    <n v="22.5"/>
  </r>
  <r>
    <s v="REBECA"/>
    <x v="651"/>
    <x v="301"/>
    <x v="40"/>
    <s v="COSMÉTICO"/>
    <x v="255"/>
    <s v="AVENTAL BARBEIRO COURO SINTETICO "/>
    <s v="AVENTAL"/>
    <s v="PESADA"/>
    <n v="60"/>
    <n v="67"/>
    <n v="4020"/>
    <n v="4020"/>
    <d v="2026-04-28T00:00:00"/>
    <n v="18"/>
    <m/>
    <s v="ENTREGUE"/>
    <n v="15"/>
    <n v="90"/>
    <n v="90"/>
    <n v="30"/>
    <n v="225"/>
  </r>
  <r>
    <s v="LETICIA"/>
    <x v="652"/>
    <x v="301"/>
    <x v="40"/>
    <s v="COMÉRCIO"/>
    <x v="40"/>
    <s v="NECESSAIRE NY PLASTIFICADO"/>
    <s v="NECESSAIRE"/>
    <s v="PESADA"/>
    <n v="300"/>
    <n v="23"/>
    <n v="6900"/>
    <n v="0"/>
    <d v="2026-04-20T00:00:00"/>
    <n v="17"/>
    <m/>
    <s v="ENTREGUE"/>
    <n v="75"/>
    <n v="450"/>
    <n v="450"/>
    <n v="150"/>
    <n v="1125"/>
  </r>
  <r>
    <s v="LETICIA"/>
    <x v="653"/>
    <x v="302"/>
    <x v="40"/>
    <s v="COMÉRCIO"/>
    <x v="198"/>
    <s v="CAMISETA MALHA 100% ALGODÃO"/>
    <s v="CAMISETA"/>
    <s v="LEVE"/>
    <n v="100"/>
    <n v="27.16"/>
    <n v="2716"/>
    <n v="1358"/>
    <d v="2026-05-18T00:00:00"/>
    <n v="21"/>
    <m/>
    <s v="ENTREGUE"/>
    <n v="25"/>
    <n v="150"/>
    <n v="150"/>
    <n v="50"/>
    <n v="375"/>
  </r>
  <r>
    <s v="LETICIA"/>
    <x v="654"/>
    <x v="303"/>
    <x v="41"/>
    <s v="COSMÉTICO"/>
    <x v="69"/>
    <s v="CAMISETA MALHA 100% POLIÉSTER"/>
    <s v="CAMISETA"/>
    <s v="LEVE"/>
    <n v="105"/>
    <n v="22.5"/>
    <n v="2362.5"/>
    <n v="2362.5"/>
    <d v="2026-05-15T00:00:00"/>
    <n v="20"/>
    <m/>
    <s v="ENTREGUE"/>
    <n v="26.25"/>
    <n v="157.5"/>
    <n v="157.5"/>
    <n v="52.5"/>
    <n v="393.75"/>
  </r>
  <r>
    <s v="LETICIA"/>
    <x v="64"/>
    <x v="303"/>
    <x v="41"/>
    <s v="COSMÉTICO"/>
    <x v="300"/>
    <s v="AVENTAL OXFORD MODELO PADRÃO"/>
    <s v="AVENTAL"/>
    <s v="LEVE"/>
    <n v="100"/>
    <n v="18"/>
    <n v="1800"/>
    <n v="1800"/>
    <d v="2026-05-20T00:00:00"/>
    <n v="21"/>
    <m/>
    <s v="ENTREGUE"/>
    <n v="25"/>
    <n v="150"/>
    <n v="150"/>
    <n v="50"/>
    <n v="375"/>
  </r>
  <r>
    <s v="REBECA"/>
    <x v="655"/>
    <x v="304"/>
    <x v="41"/>
    <s v="COSMÉTICO"/>
    <x v="195"/>
    <s v="AVENTAL NY EMBORRACHADO"/>
    <s v="AVENTAL"/>
    <s v="LEVE"/>
    <n v="120"/>
    <n v="27"/>
    <n v="3240"/>
    <n v="0"/>
    <d v="2026-04-29T00:00:00"/>
    <n v="18"/>
    <m/>
    <s v="ENTREGUE"/>
    <n v="30"/>
    <n v="180"/>
    <n v="180"/>
    <n v="60"/>
    <n v="450"/>
  </r>
  <r>
    <s v="REBECA"/>
    <x v="656"/>
    <x v="304"/>
    <x v="41"/>
    <s v="PET"/>
    <x v="301"/>
    <s v="AVENTAL NY EMBORRACHADO"/>
    <s v="AVENTAL"/>
    <s v="LEVE"/>
    <n v="100"/>
    <n v="25"/>
    <n v="2500"/>
    <n v="1250"/>
    <d v="2026-05-21T00:00:00"/>
    <n v="21"/>
    <m/>
    <s v="ENTREGUE"/>
    <n v="25"/>
    <n v="150"/>
    <n v="150"/>
    <n v="50"/>
    <n v="375"/>
  </r>
  <r>
    <s v="LETICIA"/>
    <x v="657"/>
    <x v="305"/>
    <x v="41"/>
    <s v="PET"/>
    <x v="1"/>
    <s v="AVENTAL NYLON EMBORRACHADO"/>
    <s v="AVENTAL"/>
    <s v="LEVE"/>
    <n v="2000"/>
    <n v="23.5"/>
    <n v="47000"/>
    <n v="47000"/>
    <d v="2026-05-05T00:00:00"/>
    <n v="19"/>
    <m/>
    <s v="ENTREGUE"/>
    <n v="500"/>
    <n v="3000"/>
    <n v="3000"/>
    <n v="1000"/>
    <n v="7500"/>
  </r>
  <r>
    <s v="LETICIA"/>
    <x v="658"/>
    <x v="305"/>
    <x v="41"/>
    <s v="EDITORA"/>
    <x v="78"/>
    <s v="SACOLA DE ALGODÃO"/>
    <s v="SACOLA"/>
    <s v="LEVE"/>
    <n v="2020"/>
    <n v="13.5"/>
    <n v="27270"/>
    <n v="13635"/>
    <d v="2026-05-05T00:00:00"/>
    <n v="19"/>
    <m/>
    <s v="ENTREGUE"/>
    <n v="505"/>
    <n v="3030"/>
    <n v="3030"/>
    <n v="1010"/>
    <n v="7575"/>
  </r>
  <r>
    <s v="LETICIA"/>
    <x v="659"/>
    <x v="305"/>
    <x v="41"/>
    <s v="COSMÉTICO"/>
    <x v="136"/>
    <s v="SACOLA DE ALGODÃO"/>
    <s v="SACOLA"/>
    <s v="LEVE"/>
    <n v="240"/>
    <n v="9.8000000000000007"/>
    <n v="2352"/>
    <n v="2352"/>
    <d v="2026-04-10T00:00:00"/>
    <n v="15"/>
    <m/>
    <s v="ENTREGUE"/>
    <n v="60"/>
    <n v="360"/>
    <n v="360"/>
    <n v="120"/>
    <n v="900"/>
  </r>
  <r>
    <s v="LETICIA"/>
    <x v="659"/>
    <x v="305"/>
    <x v="41"/>
    <s v="COSMÉTICO"/>
    <x v="136"/>
    <s v="SACOLA DE ALGODÃO"/>
    <s v="SACOLA"/>
    <s v="LEVE"/>
    <n v="120"/>
    <n v="7"/>
    <n v="840"/>
    <n v="840"/>
    <d v="2026-04-10T00:00:00"/>
    <n v="15"/>
    <m/>
    <s v="ENTREGUE"/>
    <n v="30"/>
    <n v="180"/>
    <n v="180"/>
    <n v="60"/>
    <n v="450"/>
  </r>
  <r>
    <s v="REBECA"/>
    <x v="660"/>
    <x v="306"/>
    <x v="41"/>
    <s v="COSMÉTICO"/>
    <x v="302"/>
    <s v="NECESSAIRE MALETA MAKE"/>
    <s v="NECESSAIRE"/>
    <s v="PESADA"/>
    <n v="700"/>
    <n v="14"/>
    <n v="9800"/>
    <n v="0"/>
    <d v="2026-05-25T00:00:00"/>
    <n v="22"/>
    <m/>
    <s v="ENTREGUE"/>
    <n v="175"/>
    <n v="1050"/>
    <n v="1050"/>
    <n v="350"/>
    <n v="2625"/>
  </r>
  <r>
    <s v="LETICIA"/>
    <x v="661"/>
    <x v="306"/>
    <x v="41"/>
    <s v="COSMÉTICO"/>
    <x v="119"/>
    <s v="AVENTAL NY EMBORRACHADO COR VERDE"/>
    <s v="AVENTAL"/>
    <s v="LEVE"/>
    <n v="150"/>
    <n v="23.5"/>
    <n v="3525"/>
    <n v="3525"/>
    <d v="2026-05-23T00:00:00"/>
    <n v="21"/>
    <m/>
    <s v="ENTREGUE"/>
    <n v="37.5"/>
    <n v="225"/>
    <n v="225"/>
    <n v="75"/>
    <n v="562.5"/>
  </r>
  <r>
    <s v="LETICIA"/>
    <x v="662"/>
    <x v="306"/>
    <x v="41"/>
    <s v="COSMÉTICO"/>
    <x v="0"/>
    <s v="AVENTAL OXFORD MODELO PADRÃO"/>
    <s v="AVENTAL"/>
    <s v="LEVE"/>
    <n v="500"/>
    <n v="14"/>
    <n v="7000"/>
    <n v="3500"/>
    <d v="2026-05-23T00:00:00"/>
    <n v="21"/>
    <n v="1900"/>
    <s v="ENTREGUE"/>
    <n v="125"/>
    <n v="750"/>
    <n v="750"/>
    <n v="250"/>
    <n v="1875"/>
  </r>
  <r>
    <s v="REBECA"/>
    <x v="663"/>
    <x v="307"/>
    <x v="41"/>
    <s v="PET"/>
    <x v="303"/>
    <s v="AVENTAL NY EMBORRACHADO"/>
    <s v="AVENTAL"/>
    <s v="LEVE"/>
    <n v="150"/>
    <n v="26.5"/>
    <n v="3975"/>
    <n v="1987.5"/>
    <d v="2026-05-26T00:00:00"/>
    <n v="22"/>
    <m/>
    <s v="ENTREGUE"/>
    <n v="37.5"/>
    <n v="225"/>
    <n v="225"/>
    <n v="75"/>
    <n v="562.5"/>
  </r>
  <r>
    <s v="REBECA"/>
    <x v="664"/>
    <x v="308"/>
    <x v="42"/>
    <s v="COSMÉTICO"/>
    <x v="304"/>
    <s v="AVENTAL OXFORD MODELO PADRÃO"/>
    <s v="AVENTAL"/>
    <s v="LEVE"/>
    <n v="50"/>
    <n v="20"/>
    <n v="1000"/>
    <n v="0"/>
    <d v="2026-05-27T00:00:00"/>
    <n v="22"/>
    <m/>
    <s v="ENTREGUE"/>
    <n v="12.5"/>
    <n v="75"/>
    <n v="75"/>
    <n v="25"/>
    <n v="187.5"/>
  </r>
  <r>
    <s v="LETICIA"/>
    <x v="665"/>
    <x v="308"/>
    <x v="42"/>
    <s v="COSMÉTICO"/>
    <x v="42"/>
    <s v="AVENTAL TACTEL REGULAVEL"/>
    <s v="AVENTAL"/>
    <s v="LEVE"/>
    <n v="300"/>
    <n v="15"/>
    <n v="4500"/>
    <n v="4500"/>
    <d v="2026-05-27T00:00:00"/>
    <n v="22"/>
    <m/>
    <s v="ENTREGUE"/>
    <n v="75"/>
    <n v="450"/>
    <n v="450"/>
    <n v="150"/>
    <n v="1125"/>
  </r>
  <r>
    <s v="LETICIA"/>
    <x v="666"/>
    <x v="308"/>
    <x v="42"/>
    <s v="COSMÉTICO"/>
    <x v="97"/>
    <s v="CAPA DE CORTE TACTEL"/>
    <s v="CAPA"/>
    <s v="LEVE"/>
    <n v="100"/>
    <n v="31.5"/>
    <n v="3150"/>
    <n v="3150"/>
    <d v="2026-05-27T00:00:00"/>
    <n v="22"/>
    <m/>
    <s v="ENTREGUE"/>
    <n v="25"/>
    <n v="150"/>
    <n v="150"/>
    <n v="50"/>
    <n v="375"/>
  </r>
  <r>
    <s v="LETICIA"/>
    <x v="667"/>
    <x v="308"/>
    <x v="42"/>
    <s v="COSMÉTICO"/>
    <x v="97"/>
    <s v="CAPA DE CORTE TACTEL"/>
    <s v="CAPA"/>
    <s v="LEVE"/>
    <n v="24"/>
    <n v="31.5"/>
    <n v="756"/>
    <n v="756"/>
    <d v="2026-05-27T00:00:00"/>
    <n v="22"/>
    <m/>
    <s v="ENTREGUE"/>
    <n v="6"/>
    <n v="36"/>
    <n v="36"/>
    <n v="12"/>
    <n v="90"/>
  </r>
  <r>
    <s v="LETICIA"/>
    <x v="668"/>
    <x v="308"/>
    <x v="42"/>
    <s v="COSMÉTICO"/>
    <x v="97"/>
    <s v="CAPA DE CORTE TACTEL"/>
    <s v="CAPA"/>
    <s v="LEVE"/>
    <n v="100"/>
    <n v="31.5"/>
    <n v="3150"/>
    <n v="3150"/>
    <d v="2026-05-27T00:00:00"/>
    <n v="22"/>
    <m/>
    <s v="ENTREGUE"/>
    <n v="25"/>
    <n v="150"/>
    <n v="150"/>
    <n v="50"/>
    <n v="375"/>
  </r>
  <r>
    <s v="LETICIA"/>
    <x v="665"/>
    <x v="309"/>
    <x v="42"/>
    <s v="COSMÉTICO"/>
    <x v="120"/>
    <s v="NECESSAIRE CRISTAL"/>
    <s v="NECESSAIRE"/>
    <s v="PESADA"/>
    <n v="200"/>
    <n v="16.5"/>
    <n v="3300"/>
    <n v="3300"/>
    <d v="2026-05-28T00:00:00"/>
    <n v="22"/>
    <m/>
    <s v="ENTREGUE"/>
    <n v="50"/>
    <n v="300"/>
    <n v="300"/>
    <n v="100"/>
    <n v="750"/>
  </r>
  <r>
    <s v="LETICIA"/>
    <x v="665"/>
    <x v="309"/>
    <x v="42"/>
    <s v="COSMÉTICO"/>
    <x v="120"/>
    <s v="NECESSAIRE COURO SINTÉTICO "/>
    <s v="NECESSAIRE"/>
    <s v="PESADA"/>
    <n v="300"/>
    <n v="19"/>
    <n v="5700"/>
    <n v="5700"/>
    <d v="2026-05-28T00:00:00"/>
    <n v="22"/>
    <m/>
    <s v="ENTREGUE"/>
    <n v="75"/>
    <n v="450"/>
    <n v="450"/>
    <n v="150"/>
    <n v="1125"/>
  </r>
  <r>
    <s v="REBECA"/>
    <x v="669"/>
    <x v="310"/>
    <x v="42"/>
    <s v="COSMÉTICO"/>
    <x v="305"/>
    <s v="AVENTAL OXFORD MODELO PADRÃO"/>
    <s v="AVENTAL"/>
    <s v="LEVE"/>
    <n v="50"/>
    <n v="20"/>
    <n v="1000"/>
    <n v="0"/>
    <d v="2026-06-01T00:00:00"/>
    <n v="23"/>
    <m/>
    <s v="ENTREGUE"/>
    <n v="12.5"/>
    <n v="75"/>
    <n v="75"/>
    <n v="25"/>
    <n v="187.5"/>
  </r>
  <r>
    <s v="REBECA"/>
    <x v="669"/>
    <x v="310"/>
    <x v="42"/>
    <s v="COSMÉTICO"/>
    <x v="305"/>
    <s v="CAMISETA MALHA 100% ALGODÃO"/>
    <s v="CAMISETA"/>
    <s v="LEVE"/>
    <n v="50"/>
    <n v="35"/>
    <n v="1750"/>
    <n v="0"/>
    <d v="2026-06-01T00:00:00"/>
    <n v="23"/>
    <m/>
    <s v="ENTREGUE"/>
    <n v="12.5"/>
    <n v="75"/>
    <n v="75"/>
    <n v="25"/>
    <n v="187.5"/>
  </r>
  <r>
    <s v="REBECA"/>
    <x v="669"/>
    <x v="310"/>
    <x v="42"/>
    <s v="COSMÉTICO"/>
    <x v="305"/>
    <s v="KIMONO TACTEL"/>
    <s v="KIMONO"/>
    <s v="LEVE"/>
    <n v="10"/>
    <n v="55"/>
    <n v="550"/>
    <n v="0"/>
    <d v="2026-06-01T00:00:00"/>
    <n v="23"/>
    <m/>
    <s v="ENTREGUE"/>
    <n v="2.5"/>
    <n v="15"/>
    <n v="15"/>
    <n v="5"/>
    <n v="37.5"/>
  </r>
  <r>
    <s v="REBECA"/>
    <x v="669"/>
    <x v="310"/>
    <x v="42"/>
    <s v="COSMÉTICO"/>
    <x v="305"/>
    <s v="NECESSAIRE MALETA MAKE"/>
    <s v="NECESSAIRE"/>
    <s v="PESADA"/>
    <n v="100"/>
    <n v="22.5"/>
    <n v="2250"/>
    <n v="0"/>
    <d v="2026-06-01T00:00:00"/>
    <n v="23"/>
    <m/>
    <s v="ENTREGUE"/>
    <n v="25"/>
    <n v="150"/>
    <n v="150"/>
    <n v="50"/>
    <n v="375"/>
  </r>
  <r>
    <s v="REBECA"/>
    <x v="669"/>
    <x v="310"/>
    <x v="42"/>
    <s v="COSMÉTICO"/>
    <x v="305"/>
    <s v="BOLSA CRISTAL"/>
    <s v="BOLSA"/>
    <s v="PESADA"/>
    <n v="100"/>
    <n v="17.899999999999999"/>
    <n v="1789.9999999999998"/>
    <n v="0"/>
    <d v="2026-06-01T00:00:00"/>
    <n v="23"/>
    <m/>
    <s v="ENTREGUE"/>
    <n v="25"/>
    <n v="150"/>
    <n v="150"/>
    <n v="50"/>
    <n v="375"/>
  </r>
  <r>
    <s v="LETICIA"/>
    <x v="56"/>
    <x v="310"/>
    <x v="42"/>
    <s v="COMÉRCIO"/>
    <x v="140"/>
    <s v="NECESSAIRE NY IMPERMEÁVEL"/>
    <s v="NECESSAIRE"/>
    <s v="PESADA"/>
    <n v="100"/>
    <n v="19.149999999999999"/>
    <n v="1914.9999999999998"/>
    <n v="957.49999999999989"/>
    <d v="2026-05-29T00:00:00"/>
    <n v="22"/>
    <m/>
    <s v="ENTREGUE"/>
    <n v="25"/>
    <n v="150"/>
    <n v="150"/>
    <n v="50"/>
    <n v="375"/>
  </r>
  <r>
    <s v="REBECA"/>
    <x v="670"/>
    <x v="311"/>
    <x v="43"/>
    <s v="COSMÉTICO"/>
    <x v="302"/>
    <s v="CAPA DE CORTE TACTEL"/>
    <s v="CAPA"/>
    <s v="LEVE"/>
    <n v="150"/>
    <n v="17"/>
    <n v="2550"/>
    <n v="0"/>
    <d v="2026-06-08T00:00:00"/>
    <n v="24"/>
    <m/>
    <s v="ENTREGUE"/>
    <n v="37.5"/>
    <n v="225"/>
    <n v="225"/>
    <n v="75"/>
    <n v="562.5"/>
  </r>
  <r>
    <s v="REBECA"/>
    <x v="671"/>
    <x v="311"/>
    <x v="43"/>
    <s v="HAVANNA"/>
    <x v="306"/>
    <s v="CAMISETA MALHA 100% ALGODÃO"/>
    <s v="CAMISETA"/>
    <s v="LEVE"/>
    <n v="16"/>
    <n v="36.75"/>
    <n v="588"/>
    <n v="588"/>
    <d v="2026-05-21T00:00:00"/>
    <n v="21"/>
    <m/>
    <s v="ENTREGUE"/>
    <n v="4"/>
    <n v="24"/>
    <n v="24"/>
    <n v="8"/>
    <n v="60"/>
  </r>
  <r>
    <s v="REBECA"/>
    <x v="671"/>
    <x v="311"/>
    <x v="43"/>
    <s v="HAVANNA"/>
    <x v="306"/>
    <s v="CAMISETA POLO PIQUET"/>
    <s v="POLO"/>
    <s v="PESADA"/>
    <n v="4"/>
    <n v="65"/>
    <n v="260"/>
    <n v="260"/>
    <d v="2026-05-21T00:00:00"/>
    <n v="21"/>
    <m/>
    <s v="ENTREGUE"/>
    <n v="1"/>
    <n v="6"/>
    <n v="6"/>
    <n v="2"/>
    <n v="15"/>
  </r>
  <r>
    <s v="REBECA"/>
    <x v="671"/>
    <x v="311"/>
    <x v="43"/>
    <s v="HAVANNA"/>
    <x v="306"/>
    <s v="FAIXA DE CABELO"/>
    <s v="FAIXA"/>
    <s v="LEVE"/>
    <n v="10"/>
    <n v="21"/>
    <n v="210"/>
    <n v="210"/>
    <d v="2026-05-21T00:00:00"/>
    <n v="21"/>
    <m/>
    <s v="ENTREGUE"/>
    <n v="2.5"/>
    <n v="15"/>
    <n v="15"/>
    <n v="5"/>
    <n v="37.5"/>
  </r>
  <r>
    <s v="REBECA"/>
    <x v="671"/>
    <x v="311"/>
    <x v="43"/>
    <s v="HAVANNA"/>
    <x v="306"/>
    <s v="AVENTAL OXFORD MODELO PADRÃO"/>
    <s v="AVENTAL"/>
    <s v="LEVE"/>
    <n v="10"/>
    <n v="25"/>
    <n v="250"/>
    <n v="250"/>
    <d v="2026-05-21T00:00:00"/>
    <n v="21"/>
    <m/>
    <s v="ENTREGUE"/>
    <n v="2.5"/>
    <n v="15"/>
    <n v="15"/>
    <n v="5"/>
    <n v="37.5"/>
  </r>
  <r>
    <s v="LETICIA"/>
    <x v="672"/>
    <x v="311"/>
    <x v="43"/>
    <s v="COSMÉTICO"/>
    <x v="38"/>
    <s v="NECESSAIRE NY PLASTIFICADO"/>
    <s v=" NECESSAIRE"/>
    <s v="PESADA"/>
    <n v="4000"/>
    <n v="12.3"/>
    <n v="49200"/>
    <n v="24600"/>
    <d v="2026-05-28T00:00:00"/>
    <n v="22"/>
    <m/>
    <s v="ENTREGUE"/>
    <n v="1000"/>
    <n v="6000"/>
    <n v="6000"/>
    <n v="2000"/>
    <n v="15000"/>
  </r>
  <r>
    <s v="LETICIA"/>
    <x v="673"/>
    <x v="311"/>
    <x v="43"/>
    <s v="PET"/>
    <x v="214"/>
    <s v="CAMISETA MALHA PV GOLA CARECA"/>
    <s v="CAMISETA"/>
    <s v="LEVE"/>
    <n v="196"/>
    <n v="26.5"/>
    <n v="5194"/>
    <n v="2597"/>
    <d v="2026-06-08T00:00:00"/>
    <n v="24"/>
    <m/>
    <s v="ENTREGUE"/>
    <n v="49"/>
    <n v="294"/>
    <n v="294"/>
    <n v="98"/>
    <n v="735"/>
  </r>
  <r>
    <s v="LETICIA"/>
    <x v="673"/>
    <x v="311"/>
    <x v="43"/>
    <s v="PET"/>
    <x v="214"/>
    <s v="CAMISETA MALHA PV GOLA CARECA"/>
    <s v="CAMISETA"/>
    <s v="LEVE"/>
    <n v="4"/>
    <n v="37"/>
    <n v="148"/>
    <n v="74"/>
    <d v="2026-06-08T00:00:00"/>
    <n v="24"/>
    <m/>
    <s v="ENTREGUE"/>
    <n v="1"/>
    <n v="6"/>
    <n v="6"/>
    <n v="2"/>
    <n v="15"/>
  </r>
  <r>
    <s v="REBECA"/>
    <x v="674"/>
    <x v="312"/>
    <x v="43"/>
    <s v="HAVANNA"/>
    <x v="307"/>
    <s v="CAMISETA MALHA 100% ALGODÃO"/>
    <s v="CAMISETA"/>
    <s v="LEVE"/>
    <n v="8"/>
    <n v="36.75"/>
    <n v="294"/>
    <n v="294"/>
    <d v="2026-04-23T00:00:00"/>
    <n v="17"/>
    <m/>
    <s v="ENTREGUE"/>
    <m/>
    <m/>
    <m/>
    <m/>
    <m/>
  </r>
  <r>
    <s v="REBECA"/>
    <x v="674"/>
    <x v="312"/>
    <x v="43"/>
    <s v="HAVANNA"/>
    <x v="307"/>
    <s v="AVENTAL OXFORD MODELO PADRÃO"/>
    <s v="AVENTAL"/>
    <s v="LEVE"/>
    <n v="2"/>
    <n v="25"/>
    <n v="50"/>
    <n v="50"/>
    <d v="2026-04-23T00:00:00"/>
    <n v="17"/>
    <m/>
    <s v="ENTREGUE"/>
    <m/>
    <m/>
    <m/>
    <m/>
    <m/>
  </r>
  <r>
    <s v="REBECA"/>
    <x v="674"/>
    <x v="312"/>
    <x v="43"/>
    <s v="HAVANNA"/>
    <x v="307"/>
    <s v="FAIXA DE CABELO"/>
    <s v="FAIXA"/>
    <s v="LEVE"/>
    <n v="3"/>
    <n v="21"/>
    <n v="63"/>
    <n v="63"/>
    <d v="2026-04-23T00:00:00"/>
    <n v="17"/>
    <m/>
    <s v="ENTREGUE"/>
    <m/>
    <m/>
    <m/>
    <m/>
    <m/>
  </r>
  <r>
    <s v="LETICIA"/>
    <x v="675"/>
    <x v="313"/>
    <x v="43"/>
    <s v="COSMÉTICO"/>
    <x v="207"/>
    <s v="AVENTAL OXFORD MODELO PADRÃO"/>
    <s v="AVENTAL"/>
    <s v="LEVE"/>
    <n v="100"/>
    <n v="15.5"/>
    <n v="1550"/>
    <n v="775"/>
    <d v="2026-05-19T00:00:00"/>
    <n v="21"/>
    <m/>
    <s v="ENTREGUE"/>
    <n v="25"/>
    <n v="150"/>
    <n v="150"/>
    <n v="50"/>
    <n v="375"/>
  </r>
  <r>
    <s v="LETICIA"/>
    <x v="675"/>
    <x v="313"/>
    <x v="43"/>
    <s v="COSMÉTICO"/>
    <x v="207"/>
    <s v="CAPA DE CORTE TACTEL"/>
    <s v="CAPA"/>
    <s v="LEVE"/>
    <n v="50"/>
    <n v="18"/>
    <n v="900"/>
    <n v="450"/>
    <d v="2026-05-19T00:00:00"/>
    <n v="21"/>
    <m/>
    <s v="ENTREGUE"/>
    <n v="12.5"/>
    <n v="75"/>
    <n v="75"/>
    <n v="25"/>
    <n v="187.5"/>
  </r>
  <r>
    <s v="REBECA"/>
    <x v="676"/>
    <x v="314"/>
    <x v="1"/>
    <s v="COSMÉTICO"/>
    <x v="308"/>
    <s v="NECESSAIRE MALETA MAKE"/>
    <s v="NECESSAIRE"/>
    <s v="PESADA"/>
    <n v="100"/>
    <n v="18.5"/>
    <n v="1850"/>
    <n v="925"/>
    <d v="2026-06-10T00:00:00"/>
    <n v="24"/>
    <m/>
    <s v="ENTREGUE"/>
    <n v="25"/>
    <n v="150"/>
    <n v="150"/>
    <n v="50"/>
    <n v="375"/>
  </r>
  <r>
    <s v="LETICIA"/>
    <x v="70"/>
    <x v="314"/>
    <x v="1"/>
    <s v="PET"/>
    <x v="41"/>
    <s v="AVENTAL NY EMBORRACHADO"/>
    <s v="AVENTAL"/>
    <s v="LEVE"/>
    <n v="500"/>
    <n v="23.5"/>
    <n v="11750"/>
    <n v="11750"/>
    <d v="2026-05-18T00:00:00"/>
    <n v="21"/>
    <m/>
    <s v="ENTREGUE"/>
    <n v="125"/>
    <n v="750"/>
    <n v="750"/>
    <n v="250"/>
    <n v="1875"/>
  </r>
  <r>
    <s v="SANDY"/>
    <x v="677"/>
    <x v="314"/>
    <x v="1"/>
    <s v="COMÉRCIO"/>
    <x v="39"/>
    <s v="SACO DE ALGODÃO"/>
    <s v="SACO"/>
    <s v="LEVE"/>
    <n v="200"/>
    <n v="16.5"/>
    <n v="3300"/>
    <n v="3300"/>
    <d v="2026-05-27T00:00:00"/>
    <n v="22"/>
    <m/>
    <s v="ENTREGUE"/>
    <n v="50"/>
    <n v="300"/>
    <n v="300"/>
    <n v="100"/>
    <n v="750"/>
  </r>
  <r>
    <s v="SANDY"/>
    <x v="677"/>
    <x v="314"/>
    <x v="1"/>
    <s v="COMÉRCIO"/>
    <x v="39"/>
    <s v="ETIQUETA DE ALGODÃO"/>
    <s v="ETIQUETA"/>
    <s v="LEVE"/>
    <n v="500"/>
    <n v="2.5"/>
    <n v="1250"/>
    <n v="1250"/>
    <d v="2026-05-27T00:00:00"/>
    <n v="22"/>
    <m/>
    <s v="ENTREGUE"/>
    <n v="125"/>
    <n v="750"/>
    <n v="750"/>
    <n v="250"/>
    <n v="1875"/>
  </r>
  <r>
    <s v="LETICIA"/>
    <x v="678"/>
    <x v="315"/>
    <x v="1"/>
    <s v="COSMÉTICO"/>
    <x v="280"/>
    <s v="CAMISETA POLO MALHA 100% ALGODÃO"/>
    <s v="POLO"/>
    <s v="PESADA"/>
    <n v="37"/>
    <n v="70"/>
    <n v="2590"/>
    <n v="2590"/>
    <d v="2026-05-15T00:00:00"/>
    <n v="20"/>
    <m/>
    <s v="ENTREGUE"/>
    <n v="9.25"/>
    <n v="55.5"/>
    <n v="55.5"/>
    <n v="18.5"/>
    <n v="138.75"/>
  </r>
  <r>
    <s v="REBECA"/>
    <x v="679"/>
    <x v="316"/>
    <x v="1"/>
    <s v="COSMÉTICO"/>
    <x v="289"/>
    <s v="NECESSAIRE MALETA MAKE"/>
    <s v="NECESSAIRE"/>
    <s v="PESADA"/>
    <n v="100"/>
    <n v="9"/>
    <n v="900"/>
    <n v="900"/>
    <d v="2026-05-29T00:00:00"/>
    <n v="22"/>
    <m/>
    <s v="ENTREGUE"/>
    <n v="25"/>
    <n v="150"/>
    <n v="150"/>
    <n v="50"/>
    <n v="375"/>
  </r>
  <r>
    <s v="LETICIA"/>
    <x v="680"/>
    <x v="317"/>
    <x v="2"/>
    <s v="COSMÉTICO"/>
    <x v="63"/>
    <s v="TOALHA DE BANHO"/>
    <s v="TOALHA"/>
    <s v="LEVE"/>
    <n v="15"/>
    <n v="45"/>
    <n v="675"/>
    <n v="675"/>
    <d v="2026-05-14T00:00:00"/>
    <n v="20"/>
    <m/>
    <s v="ENTREGUE"/>
    <n v="3.75"/>
    <n v="22.5"/>
    <n v="22.5"/>
    <n v="7.5"/>
    <n v="56.25"/>
  </r>
  <r>
    <s v="REBECA"/>
    <x v="681"/>
    <x v="317"/>
    <x v="2"/>
    <s v="COSMÉTICO"/>
    <x v="309"/>
    <s v="AVENTAL NY 210"/>
    <s v="AVENTAL"/>
    <s v="LEVE"/>
    <n v="100"/>
    <n v="19.899999999999999"/>
    <n v="1989.9999999999998"/>
    <n v="994.99999999999989"/>
    <d v="2026-05-18T00:00:00"/>
    <n v="21"/>
    <m/>
    <s v="ENTREGUE"/>
    <n v="25"/>
    <n v="150"/>
    <n v="150"/>
    <n v="50"/>
    <n v="375"/>
  </r>
  <r>
    <s v="REBECA"/>
    <x v="682"/>
    <x v="317"/>
    <x v="2"/>
    <s v="COSMÉTICO"/>
    <x v="310"/>
    <s v="NECESSAIRE MALETA MAKE"/>
    <s v="NECESSAIRE"/>
    <s v="PESADA"/>
    <n v="100"/>
    <n v="18.5"/>
    <n v="1850"/>
    <n v="925"/>
    <d v="2026-06-16T00:00:00"/>
    <n v="25"/>
    <m/>
    <s v="ENTREGUE"/>
    <n v="25"/>
    <n v="150"/>
    <n v="150"/>
    <n v="50"/>
    <n v="375"/>
  </r>
  <r>
    <s v="LETICIA"/>
    <x v="683"/>
    <x v="317"/>
    <x v="2"/>
    <s v="COMÉRCIO"/>
    <x v="40"/>
    <s v="NECESSAIRE NY PLASTIFICADO"/>
    <s v="NECESSAIRE"/>
    <s v="PESADA"/>
    <n v="300"/>
    <n v="23"/>
    <n v="6900"/>
    <n v="0"/>
    <d v="2026-05-18T00:00:00"/>
    <n v="21"/>
    <m/>
    <s v="ENTREGUE"/>
    <n v="75"/>
    <n v="450"/>
    <n v="450"/>
    <n v="150"/>
    <n v="1125"/>
  </r>
  <r>
    <s v="LETICIA"/>
    <x v="684"/>
    <x v="318"/>
    <x v="2"/>
    <s v="COSMÉTICO"/>
    <x v="129"/>
    <s v="AVENTAL OXFORD MODELO PADRÃO"/>
    <s v="AVENTAL"/>
    <s v="LEVE"/>
    <n v="100"/>
    <n v="17"/>
    <n v="1700"/>
    <n v="850"/>
    <d v="2026-06-17T00:00:00"/>
    <n v="25"/>
    <m/>
    <s v="ENTREGUE"/>
    <n v="25"/>
    <n v="150"/>
    <n v="150"/>
    <n v="50"/>
    <n v="375"/>
  </r>
  <r>
    <s v="LETICIA"/>
    <x v="685"/>
    <x v="318"/>
    <x v="2"/>
    <s v="COSMÉTICO"/>
    <x v="0"/>
    <s v="CAMISETA MALHA PV"/>
    <s v="CAMISETA"/>
    <s v="LEVE"/>
    <n v="150"/>
    <n v="24.5"/>
    <n v="3675"/>
    <n v="3675"/>
    <d v="2026-06-03T00:00:00"/>
    <n v="23"/>
    <m/>
    <s v="ENTREGUE"/>
    <n v="37.5"/>
    <n v="225"/>
    <n v="225"/>
    <n v="75"/>
    <n v="562.5"/>
  </r>
  <r>
    <s v="LETICIA"/>
    <x v="686"/>
    <x v="318"/>
    <x v="2"/>
    <s v="COSMÉTICO"/>
    <x v="0"/>
    <s v="KIMONO TACTEL"/>
    <s v="KIMONO"/>
    <s v="LEVE"/>
    <n v="200"/>
    <n v="26.5"/>
    <n v="5300"/>
    <n v="5300"/>
    <d v="2026-06-03T00:00:00"/>
    <n v="23"/>
    <m/>
    <s v="ENTREGUE"/>
    <n v="50"/>
    <n v="300"/>
    <n v="300"/>
    <n v="100"/>
    <n v="750"/>
  </r>
  <r>
    <s v="LETICIA"/>
    <x v="686"/>
    <x v="318"/>
    <x v="2"/>
    <s v="COSMÉTICO"/>
    <x v="0"/>
    <s v="AVENTAL OXFORD MODELO PADRÃO"/>
    <s v="AVENTAL"/>
    <s v="LEVE"/>
    <n v="500"/>
    <n v="14"/>
    <n v="7000"/>
    <n v="7000"/>
    <d v="2026-06-03T00:00:00"/>
    <n v="23"/>
    <m/>
    <s v="ENTREGUE"/>
    <n v="125"/>
    <n v="750"/>
    <n v="750"/>
    <n v="250"/>
    <n v="1875"/>
  </r>
  <r>
    <s v="LETICIA"/>
    <x v="686"/>
    <x v="318"/>
    <x v="2"/>
    <s v="COSMÉTICO"/>
    <x v="0"/>
    <s v="CAMISETA MALHA PV"/>
    <s v="CAMISETA"/>
    <s v="LEVE"/>
    <n v="300"/>
    <n v="24.5"/>
    <n v="7350"/>
    <n v="7350"/>
    <d v="2026-06-03T00:00:00"/>
    <n v="23"/>
    <m/>
    <s v="ENTREGUE"/>
    <n v="75"/>
    <n v="450"/>
    <n v="450"/>
    <n v="150"/>
    <n v="1125"/>
  </r>
  <r>
    <s v="LETICIA"/>
    <x v="687"/>
    <x v="319"/>
    <x v="2"/>
    <s v="PET"/>
    <x v="1"/>
    <s v="AVENTAL NYLON EMBORRACHADO"/>
    <s v="AVENTAL"/>
    <s v="LEVE"/>
    <n v="2000"/>
    <n v="23.5"/>
    <n v="47000"/>
    <n v="47000"/>
    <d v="2026-06-05T00:00:00"/>
    <n v="23"/>
    <m/>
    <s v="ENTREGUE"/>
    <n v="500"/>
    <n v="3000"/>
    <n v="3000"/>
    <n v="1000"/>
    <n v="7500"/>
  </r>
  <r>
    <s v="LETICIA"/>
    <x v="688"/>
    <x v="319"/>
    <x v="2"/>
    <s v="COSMÉTICO"/>
    <x v="0"/>
    <s v="KIMONO TACTEL"/>
    <s v="KIMONO"/>
    <s v="LEVE"/>
    <n v="150"/>
    <n v="26.5"/>
    <n v="3975"/>
    <n v="3975"/>
    <d v="2026-06-03T00:00:00"/>
    <n v="23"/>
    <m/>
    <s v="ENTREGUE"/>
    <n v="37.5"/>
    <n v="225"/>
    <n v="225"/>
    <n v="75"/>
    <n v="562.5"/>
  </r>
  <r>
    <s v="LETICIA"/>
    <x v="688"/>
    <x v="319"/>
    <x v="2"/>
    <s v="COSMÉTICO"/>
    <x v="0"/>
    <s v="CAPA DE CORTE"/>
    <s v="CAPA"/>
    <s v="LEVE"/>
    <n v="150"/>
    <n v="24.5"/>
    <n v="3675"/>
    <n v="3675"/>
    <d v="2026-06-03T00:00:00"/>
    <n v="23"/>
    <m/>
    <s v="ENTREGUE"/>
    <n v="37.5"/>
    <n v="225"/>
    <n v="225"/>
    <n v="75"/>
    <n v="562.5"/>
  </r>
  <r>
    <s v="REBECA"/>
    <x v="689"/>
    <x v="320"/>
    <x v="2"/>
    <s v="COSMÉTICO"/>
    <x v="311"/>
    <s v="KIMONO OXFORD"/>
    <s v="KIMONO"/>
    <s v="LEVE"/>
    <n v="100"/>
    <n v="29"/>
    <n v="2900"/>
    <n v="600"/>
    <d v="2026-06-15T00:00:00"/>
    <n v="25"/>
    <m/>
    <s v="ENTREGUE"/>
    <n v="25"/>
    <n v="150"/>
    <n v="150"/>
    <n v="50"/>
    <n v="375"/>
  </r>
  <r>
    <s v="REBECA"/>
    <x v="689"/>
    <x v="320"/>
    <x v="2"/>
    <s v="COSMÉTICO"/>
    <x v="311"/>
    <s v="AVENTAL OXFORD MODELO PADRÃO"/>
    <s v="AVENTAL"/>
    <s v="LEVE"/>
    <n v="200"/>
    <n v="17"/>
    <n v="3400"/>
    <n v="3400"/>
    <d v="2026-06-15T00:00:00"/>
    <n v="25"/>
    <m/>
    <s v="ENTREGUE"/>
    <n v="50"/>
    <n v="300"/>
    <n v="300"/>
    <n v="100"/>
    <n v="750"/>
  </r>
  <r>
    <s v="REBECA"/>
    <x v="690"/>
    <x v="321"/>
    <x v="2"/>
    <s v="HAVANNA"/>
    <x v="312"/>
    <s v="CALÇA BRIM"/>
    <s v="CALÇA"/>
    <s v="PESADA"/>
    <n v="4"/>
    <n v="80"/>
    <n v="320"/>
    <n v="0"/>
    <d v="2026-06-08T00:00:00"/>
    <n v="24"/>
    <m/>
    <s v="ENTREGUE"/>
    <n v="1"/>
    <n v="6"/>
    <n v="6"/>
    <n v="2"/>
    <n v="15"/>
  </r>
  <r>
    <s v="REBECA"/>
    <x v="690"/>
    <x v="321"/>
    <x v="2"/>
    <s v="HAVANNA"/>
    <x v="312"/>
    <s v="CAMISETA MALHA 100% ALGODÃO"/>
    <s v="CAMISETA"/>
    <s v="LEVE"/>
    <n v="6"/>
    <n v="36.75"/>
    <n v="220.5"/>
    <n v="0"/>
    <d v="2026-06-08T00:00:00"/>
    <n v="24"/>
    <m/>
    <s v="ENTREGUE"/>
    <n v="1.5"/>
    <n v="9"/>
    <n v="9"/>
    <n v="3"/>
    <n v="22.5"/>
  </r>
  <r>
    <s v="REBECA"/>
    <x v="690"/>
    <x v="321"/>
    <x v="2"/>
    <s v="HAVANNA"/>
    <x v="312"/>
    <s v="CALÇA BRIM"/>
    <s v="CALÇA"/>
    <s v="PESADA"/>
    <n v="1"/>
    <n v="90"/>
    <n v="90"/>
    <n v="0"/>
    <d v="2026-06-08T00:00:00"/>
    <n v="24"/>
    <m/>
    <s v="ENTREGUE"/>
    <n v="0.25"/>
    <n v="1.5"/>
    <n v="1.5"/>
    <n v="0.5"/>
    <n v="3.75"/>
  </r>
  <r>
    <s v="LETICIA"/>
    <x v="691"/>
    <x v="321"/>
    <x v="2"/>
    <s v="COSMÉTICO"/>
    <x v="313"/>
    <s v="CAMISETA MALHA PV"/>
    <s v="CAMISETA"/>
    <s v="LEVE"/>
    <n v="660"/>
    <n v="36"/>
    <n v="23760"/>
    <n v="11880"/>
    <d v="2026-05-28T00:00:00"/>
    <n v="22"/>
    <m/>
    <s v="ENTREGUE"/>
    <n v="165"/>
    <n v="990"/>
    <n v="990"/>
    <n v="330"/>
    <n v="2475"/>
  </r>
  <r>
    <s v="LETICIA"/>
    <x v="692"/>
    <x v="322"/>
    <x v="44"/>
    <s v="COSMÉTICO"/>
    <x v="314"/>
    <s v="AVENTAL NY EMBORRACHADO"/>
    <s v="AVENTAL"/>
    <s v="LEVE"/>
    <n v="100"/>
    <n v="27"/>
    <n v="2700"/>
    <n v="1350"/>
    <d v="2026-06-09T00:00:00"/>
    <n v="24"/>
    <m/>
    <s v="ENTREGUE"/>
    <n v="25"/>
    <n v="150"/>
    <n v="150"/>
    <n v="50"/>
    <n v="375"/>
  </r>
  <r>
    <s v="LETICIA"/>
    <x v="693"/>
    <x v="322"/>
    <x v="44"/>
    <s v="COSMÉTICO"/>
    <x v="0"/>
    <s v="AVENTAL OXFORD MODELO PADRÃO"/>
    <s v="AVENTAL"/>
    <s v="LEVE"/>
    <n v="200"/>
    <n v="14"/>
    <n v="2800"/>
    <n v="1400"/>
    <d v="2026-05-26T00:00:00"/>
    <n v="22"/>
    <m/>
    <s v="ENTREGUE"/>
    <n v="50"/>
    <n v="300"/>
    <n v="300"/>
    <n v="100"/>
    <n v="750"/>
  </r>
  <r>
    <s v="LETICIA"/>
    <x v="694"/>
    <x v="323"/>
    <x v="44"/>
    <s v="COSMÉTICO"/>
    <x v="97"/>
    <s v="AVENTAL POLIESTER COM BOLSO"/>
    <s v="AVENTAL"/>
    <s v="LEVE"/>
    <n v="1036"/>
    <n v="26.8"/>
    <n v="27764.799999999999"/>
    <n v="27764.799999999999"/>
    <d v="2026-05-29T00:00:00"/>
    <n v="22"/>
    <m/>
    <s v="ENTREGUE"/>
    <n v="259"/>
    <n v="1554"/>
    <n v="1554"/>
    <n v="518"/>
    <n v="3885"/>
  </r>
  <r>
    <s v="LETICIA"/>
    <x v="79"/>
    <x v="323"/>
    <x v="44"/>
    <s v="COMÉRCIO"/>
    <x v="111"/>
    <s v="SACOLA GRANDE TNT"/>
    <s v="SACOLA"/>
    <s v="LEVE"/>
    <n v="100"/>
    <n v="12.76"/>
    <n v="1276"/>
    <n v="1276"/>
    <d v="2026-06-01T00:00:00"/>
    <n v="23"/>
    <m/>
    <s v="ENTREGUE"/>
    <n v="25"/>
    <n v="25"/>
    <n v="150"/>
    <n v="150"/>
    <n v="50"/>
  </r>
  <r>
    <s v="LETICIA"/>
    <x v="79"/>
    <x v="323"/>
    <x v="44"/>
    <s v="COMÉRCIO"/>
    <x v="111"/>
    <s v="SACO TNT"/>
    <s v="SACO"/>
    <s v="LEVE"/>
    <n v="300"/>
    <n v="6.91"/>
    <n v="2073"/>
    <n v="2073"/>
    <d v="2026-06-01T00:00:00"/>
    <n v="23"/>
    <m/>
    <s v="ENTREGUE"/>
    <n v="75"/>
    <n v="75"/>
    <n v="450"/>
    <n v="450"/>
    <n v="150"/>
  </r>
  <r>
    <s v="LETICIA"/>
    <x v="695"/>
    <x v="324"/>
    <x v="44"/>
    <s v="COSMÉTICO"/>
    <x v="63"/>
    <s v="CAMISETA MALHA 100% ALGODÃO"/>
    <s v="CAMISETA"/>
    <s v="LEVE"/>
    <n v="130"/>
    <n v="27.5"/>
    <n v="3575"/>
    <n v="3575"/>
    <d v="2026-05-29T00:00:00"/>
    <n v="22"/>
    <m/>
    <s v="ENTREGUE"/>
    <n v="32.5"/>
    <n v="195"/>
    <n v="195"/>
    <n v="65"/>
    <n v="487.5"/>
  </r>
  <r>
    <s v="LETICIA"/>
    <x v="696"/>
    <x v="324"/>
    <x v="44"/>
    <s v="COSMÉTICO"/>
    <x v="94"/>
    <s v="SACOCHILA NY 70"/>
    <s v="SACOCHILA"/>
    <s v="PESADA"/>
    <n v="200"/>
    <n v="10.9"/>
    <n v="2180"/>
    <n v="2180"/>
    <d v="2026-06-11T00:00:00"/>
    <n v="24"/>
    <m/>
    <s v="ENTREGUE"/>
    <n v="50"/>
    <n v="300"/>
    <n v="300"/>
    <n v="100"/>
    <n v="750"/>
  </r>
  <r>
    <s v="LETICIA"/>
    <x v="697"/>
    <x v="325"/>
    <x v="44"/>
    <s v="PET"/>
    <x v="315"/>
    <s v="AVENTAL NY EMBORRACHADO"/>
    <s v="AVENTAL"/>
    <s v="LEVE"/>
    <n v="50"/>
    <n v="35"/>
    <n v="1750"/>
    <n v="875"/>
    <d v="2026-06-12T00:00:00"/>
    <n v="24"/>
    <m/>
    <s v="ENTREGUE"/>
    <n v="12.5"/>
    <n v="75"/>
    <n v="75"/>
    <n v="25"/>
    <n v="187.5"/>
  </r>
  <r>
    <s v="REBECA"/>
    <x v="698"/>
    <x v="325"/>
    <x v="44"/>
    <s v="COSMÉTICO"/>
    <x v="316"/>
    <s v="CAPA DE CORTE TACTEL"/>
    <s v="CAPA"/>
    <s v="LEVE"/>
    <n v="30"/>
    <n v="25"/>
    <n v="750"/>
    <n v="375"/>
    <d v="2026-06-12T00:00:00"/>
    <n v="24"/>
    <m/>
    <s v="ENTREGUE"/>
    <n v="7.5"/>
    <n v="45"/>
    <n v="45"/>
    <n v="15"/>
    <n v="112.5"/>
  </r>
  <r>
    <s v="LETICIA"/>
    <x v="699"/>
    <x v="325"/>
    <x v="44"/>
    <s v="PET"/>
    <x v="50"/>
    <s v="JALECO GROOMER"/>
    <s v="JALECO"/>
    <s v="PESADA"/>
    <n v="200"/>
    <n v="55"/>
    <n v="11000"/>
    <n v="5500"/>
    <d v="2026-06-26T00:00:00"/>
    <n v="26"/>
    <m/>
    <s v="ENTREGUE"/>
    <n v="50"/>
    <n v="300"/>
    <n v="300"/>
    <n v="100"/>
    <n v="750"/>
  </r>
  <r>
    <s v="REBECA"/>
    <x v="700"/>
    <x v="326"/>
    <x v="44"/>
    <s v="HAVANNA"/>
    <x v="261"/>
    <s v="BLUSA DE MOLETOM "/>
    <s v="MOLETOM"/>
    <s v="LEVE"/>
    <n v="6"/>
    <n v="85"/>
    <n v="510"/>
    <n v="510"/>
    <d v="2026-06-15T00:00:00"/>
    <n v="25"/>
    <m/>
    <s v="ENTREGUE"/>
    <n v="1.5"/>
    <n v="9"/>
    <n v="9"/>
    <n v="3"/>
    <n v="22.5"/>
  </r>
  <r>
    <s v="REBECA"/>
    <x v="701"/>
    <x v="326"/>
    <x v="44"/>
    <s v="COSMÉTICO"/>
    <x v="72"/>
    <s v="CAMISETA MALHA PV"/>
    <s v="CAMISETA"/>
    <s v="LEVE"/>
    <n v="115"/>
    <n v="27.5"/>
    <n v="3162.5"/>
    <n v="1581.25"/>
    <d v="2026-05-28T00:00:00"/>
    <n v="22"/>
    <m/>
    <s v="ENTREGUE"/>
    <n v="28.75"/>
    <n v="172.5"/>
    <n v="172.5"/>
    <n v="57.5"/>
    <n v="431.25"/>
  </r>
  <r>
    <s v="LETICIA"/>
    <x v="702"/>
    <x v="327"/>
    <x v="45"/>
    <s v="COSMÉTICO"/>
    <x v="317"/>
    <s v="CAPA DE CORTE TACTEL"/>
    <s v="CAPA"/>
    <s v="LEVE"/>
    <n v="75"/>
    <n v="28"/>
    <n v="2100"/>
    <n v="2100"/>
    <d v="2026-06-17T00:00:00"/>
    <n v="25"/>
    <m/>
    <s v="ENTREGUE"/>
    <n v="18.75"/>
    <n v="112.5"/>
    <n v="112.5"/>
    <n v="37.5"/>
    <n v="281.25"/>
  </r>
  <r>
    <s v="LETICIA"/>
    <x v="703"/>
    <x v="327"/>
    <x v="45"/>
    <s v="PET"/>
    <x v="41"/>
    <s v="JALECO GROOMER"/>
    <s v="JALECO"/>
    <s v="PESADA"/>
    <n v="145"/>
    <n v="45"/>
    <n v="6525"/>
    <n v="6525"/>
    <d v="2026-06-30T00:00:00"/>
    <n v="27"/>
    <m/>
    <s v="ENTREGUE"/>
    <n v="36.25"/>
    <n v="217.5"/>
    <n v="217.5"/>
    <n v="72.5"/>
    <n v="543.75"/>
  </r>
  <r>
    <s v="LETICIA"/>
    <x v="704"/>
    <x v="327"/>
    <x v="45"/>
    <s v="COSMÉTICO"/>
    <x v="157"/>
    <s v="AVENTAL NY 210"/>
    <s v="AVENTAL"/>
    <s v="LEVE"/>
    <n v="100"/>
    <n v="19.7"/>
    <n v="1970"/>
    <n v="1000"/>
    <d v="2026-06-16T00:00:00"/>
    <n v="25"/>
    <m/>
    <s v="ENTREGUE"/>
    <n v="25"/>
    <n v="150"/>
    <n v="150"/>
    <n v="50"/>
    <n v="375"/>
  </r>
  <r>
    <s v="LETICIA"/>
    <x v="705"/>
    <x v="328"/>
    <x v="45"/>
    <s v="PET"/>
    <x v="57"/>
    <s v="AVENTAL NY EMBORRACHADO"/>
    <s v="AVENTAL"/>
    <s v="LEVE"/>
    <n v="300"/>
    <n v="24.5"/>
    <n v="7350"/>
    <n v="7350"/>
    <d v="2026-06-15T00:00:00"/>
    <n v="25"/>
    <m/>
    <s v="ENTREGUE"/>
    <n v="75"/>
    <n v="450"/>
    <n v="450"/>
    <n v="150"/>
    <n v="1125"/>
  </r>
  <r>
    <s v="LETICIA"/>
    <x v="706"/>
    <x v="328"/>
    <x v="45"/>
    <s v="COSMÉTICO"/>
    <x v="318"/>
    <s v="CAPA DE CORTE"/>
    <s v="CAPA"/>
    <s v="LEVE"/>
    <n v="10"/>
    <n v="55"/>
    <n v="550"/>
    <n v="550"/>
    <d v="2026-05-26T00:00:00"/>
    <n v="22"/>
    <m/>
    <s v="ENTREGUE"/>
    <n v="2.5"/>
    <n v="2.5"/>
    <n v="15"/>
    <n v="15"/>
    <n v="5"/>
  </r>
  <r>
    <s v="REBECA"/>
    <x v="707"/>
    <x v="328"/>
    <x v="45"/>
    <s v="COSMÉTICO"/>
    <x v="319"/>
    <s v="NECESSAIRE MALETA MAKE"/>
    <s v="NECESSAIRE"/>
    <s v="PESADA"/>
    <n v="100"/>
    <n v="23.87"/>
    <n v="2387"/>
    <n v="0"/>
    <d v="2026-06-17T00:00:00"/>
    <n v="25"/>
    <m/>
    <s v="ENTREGUE"/>
    <n v="25"/>
    <n v="150"/>
    <n v="150"/>
    <n v="50"/>
    <n v="375"/>
  </r>
  <r>
    <s v="LETICIA"/>
    <x v="708"/>
    <x v="329"/>
    <x v="45"/>
    <s v="COSMÉTICO"/>
    <x v="320"/>
    <s v="SACOLA DE LONITA"/>
    <s v="SACOLA"/>
    <s v="PESADA"/>
    <n v="100"/>
    <n v="25"/>
    <n v="2500"/>
    <n v="2500"/>
    <d v="2026-06-19T00:00:00"/>
    <n v="25"/>
    <m/>
    <s v="ENTREGUE"/>
    <n v="25"/>
    <n v="150"/>
    <n v="150"/>
    <n v="50"/>
    <n v="375"/>
  </r>
  <r>
    <s v="LETICIA"/>
    <x v="709"/>
    <x v="329"/>
    <x v="45"/>
    <s v="PET"/>
    <x v="41"/>
    <s v="AVENTAL NY EMBORRACHADO"/>
    <s v="AVENTAL"/>
    <s v="LEVE"/>
    <n v="300"/>
    <n v="23.5"/>
    <n v="7050"/>
    <n v="7050"/>
    <d v="2026-06-15T00:00:00"/>
    <n v="25"/>
    <m/>
    <s v="ENTREGUE"/>
    <n v="75"/>
    <n v="450"/>
    <n v="450"/>
    <n v="150"/>
    <n v="1125"/>
  </r>
  <r>
    <s v="REBECA"/>
    <x v="710"/>
    <x v="329"/>
    <x v="45"/>
    <s v="COSMÉTICO"/>
    <x v="71"/>
    <s v="AVENTAL NY EMBORRACHADO"/>
    <s v="AVENTAL"/>
    <s v="LEVE"/>
    <n v="100"/>
    <n v="23.5"/>
    <n v="2350"/>
    <n v="2350"/>
    <d v="2026-06-19T00:00:00"/>
    <n v="25"/>
    <m/>
    <s v="ENTREGUE"/>
    <n v="25"/>
    <n v="25"/>
    <n v="150"/>
    <n v="150"/>
    <n v="50"/>
  </r>
  <r>
    <s v="LETICIA"/>
    <x v="711"/>
    <x v="329"/>
    <x v="45"/>
    <s v="COMÉRCIO"/>
    <x v="40"/>
    <s v="NECESSAIRE NY PLASTIFICADO"/>
    <s v="NECESSAIRE"/>
    <s v="PESADA"/>
    <n v="300"/>
    <n v="23"/>
    <n v="6900"/>
    <n v="0"/>
    <d v="2026-06-16T00:00:00"/>
    <n v="25"/>
    <m/>
    <s v="ENTREGUE"/>
    <n v="75"/>
    <n v="450"/>
    <n v="450"/>
    <n v="150"/>
    <n v="1125"/>
  </r>
  <r>
    <s v="REBECA"/>
    <x v="712"/>
    <x v="330"/>
    <x v="45"/>
    <s v="COSMÉTICO"/>
    <x v="173"/>
    <s v="AVENTAL OXFORD MODELO PADRÃO"/>
    <s v="AVENTAL"/>
    <s v="LEVE"/>
    <n v="100"/>
    <n v="17"/>
    <n v="1700"/>
    <n v="1700"/>
    <d v="2026-06-19T00:00:00"/>
    <n v="25"/>
    <m/>
    <s v="ENTREGUE"/>
    <n v="25"/>
    <n v="25"/>
    <n v="150"/>
    <n v="150"/>
    <n v="50"/>
  </r>
  <r>
    <s v="REBECA"/>
    <x v="712"/>
    <x v="330"/>
    <x v="45"/>
    <s v="COSMÉTICO"/>
    <x v="173"/>
    <s v="CAPA DE CORTE CETIM"/>
    <s v="CAPA"/>
    <s v="LEVE"/>
    <n v="50"/>
    <n v="18.5"/>
    <n v="925"/>
    <n v="925"/>
    <d v="2026-06-19T00:00:00"/>
    <n v="25"/>
    <m/>
    <s v="ENTREGUE"/>
    <n v="12.5"/>
    <n v="12.5"/>
    <n v="75"/>
    <n v="75"/>
    <n v="25"/>
  </r>
  <r>
    <s v="REBECA"/>
    <x v="712"/>
    <x v="330"/>
    <x v="45"/>
    <s v="COSMÉTICO"/>
    <x v="173"/>
    <s v="KIMONO TAM. ÚNICO"/>
    <s v="KIMONO"/>
    <s v="LEVE"/>
    <n v="10"/>
    <n v="55"/>
    <n v="550"/>
    <n v="550"/>
    <d v="2026-06-19T00:00:00"/>
    <n v="25"/>
    <m/>
    <s v="ENTREGUE"/>
    <n v="2.5"/>
    <n v="2.5"/>
    <n v="15"/>
    <n v="15"/>
    <n v="5"/>
  </r>
  <r>
    <s v="LETICIA"/>
    <x v="713"/>
    <x v="330"/>
    <x v="45"/>
    <s v="COSMÉTICO"/>
    <x v="153"/>
    <s v="CAMISETA MALHA PV"/>
    <s v="CAMISETA"/>
    <s v="LEVE"/>
    <n v="100"/>
    <n v="26.5"/>
    <n v="2650"/>
    <n v="2650"/>
    <d v="2026-06-22T00:00:00"/>
    <n v="26"/>
    <m/>
    <s v="ENTREGUE"/>
    <n v="25"/>
    <n v="25"/>
    <n v="150"/>
    <n v="150"/>
    <n v="50"/>
  </r>
  <r>
    <s v="LETICIA"/>
    <x v="713"/>
    <x v="330"/>
    <x v="45"/>
    <s v="COSMÉTICO"/>
    <x v="153"/>
    <s v="AVENTAL OXFORD MODELO PADRÃO"/>
    <s v="AVENTAL"/>
    <s v="LEVE"/>
    <n v="100"/>
    <n v="17"/>
    <n v="1700"/>
    <n v="1700"/>
    <d v="2026-06-22T00:00:00"/>
    <n v="26"/>
    <m/>
    <s v="ENTREGUE"/>
    <n v="25"/>
    <n v="25"/>
    <n v="150"/>
    <n v="150"/>
    <n v="50"/>
  </r>
  <r>
    <s v="LETICIA"/>
    <x v="713"/>
    <x v="330"/>
    <x v="45"/>
    <s v="COSMÉTICO"/>
    <x v="153"/>
    <s v="KIMONO TACTEL"/>
    <s v="KIMONO"/>
    <s v="LEVE"/>
    <n v="100"/>
    <n v="28"/>
    <n v="2800"/>
    <n v="2800"/>
    <d v="2026-06-22T00:00:00"/>
    <n v="26"/>
    <m/>
    <s v="ENTREGUE"/>
    <n v="25"/>
    <n v="25"/>
    <n v="150"/>
    <n v="150"/>
    <n v="50"/>
  </r>
  <r>
    <s v="LETICIA"/>
    <x v="714"/>
    <x v="331"/>
    <x v="3"/>
    <s v="COSMÉTICO"/>
    <x v="63"/>
    <s v="CAMISETA "/>
    <s v="CAMISETA"/>
    <s v="LEVE"/>
    <n v="40"/>
    <n v="27.5"/>
    <n v="1100"/>
    <n v="1100"/>
    <d v="2026-06-09T00:00:00"/>
    <n v="24"/>
    <m/>
    <s v="ENTREGUE"/>
    <n v="10"/>
    <n v="10"/>
    <n v="60"/>
    <n v="60"/>
    <n v="20"/>
  </r>
  <r>
    <s v="LETICIA"/>
    <x v="715"/>
    <x v="332"/>
    <x v="3"/>
    <s v="COSMÉTICO"/>
    <x v="321"/>
    <s v="AVENTAL OXFORD MODELO PADRÃO"/>
    <s v="AVENTAL"/>
    <s v="LEVE"/>
    <n v="300"/>
    <n v="18"/>
    <n v="5400"/>
    <n v="5400"/>
    <d v="2026-06-24T00:00:00"/>
    <n v="26"/>
    <m/>
    <s v="ENTREGUE"/>
    <n v="75"/>
    <n v="75"/>
    <n v="450"/>
    <n v="450"/>
    <n v="150"/>
  </r>
  <r>
    <s v="LETICIA"/>
    <x v="716"/>
    <x v="332"/>
    <x v="3"/>
    <s v="EDITORA"/>
    <x v="270"/>
    <s v="SACOLA PET SUBLIMADA"/>
    <s v="SACOLA"/>
    <s v="PESADA"/>
    <n v="150"/>
    <n v="13.34"/>
    <n v="2000"/>
    <n v="2000"/>
    <d v="2026-06-10T00:00:00"/>
    <n v="24"/>
    <m/>
    <s v="ENTREGUE"/>
    <n v="37.5"/>
    <n v="37.5"/>
    <n v="225"/>
    <n v="225"/>
    <n v="75"/>
  </r>
  <r>
    <s v="LETICIA"/>
    <x v="717"/>
    <x v="333"/>
    <x v="3"/>
    <s v="PET"/>
    <x v="1"/>
    <s v="AVENTAL NY EMBORRACHADO"/>
    <s v="AVENTAL"/>
    <s v="LEVE"/>
    <n v="2000"/>
    <n v="23.5"/>
    <n v="47000"/>
    <n v="47000"/>
    <d v="2026-07-06T00:00:00"/>
    <n v="28"/>
    <m/>
    <s v="ENTREGUE"/>
    <n v="500"/>
    <n v="500"/>
    <n v="3000"/>
    <n v="3000"/>
    <n v="1000"/>
  </r>
  <r>
    <s v="LETICIA"/>
    <x v="718"/>
    <x v="334"/>
    <x v="3"/>
    <s v="COSMÉTICO"/>
    <x v="42"/>
    <s v="NECESSAIRE ENCANTO REDONDO"/>
    <s v="NECESSAIRE"/>
    <s v="PESADA"/>
    <n v="2000"/>
    <n v="14.25"/>
    <n v="28500"/>
    <n v="28500"/>
    <d v="2026-06-26T00:00:00"/>
    <n v="26"/>
    <m/>
    <s v="ENTREGUE"/>
    <n v="500"/>
    <n v="500"/>
    <n v="3000"/>
    <n v="3000"/>
    <n v="1000"/>
  </r>
  <r>
    <s v="REBECA"/>
    <x v="719"/>
    <x v="334"/>
    <x v="3"/>
    <s v="HAVANNA"/>
    <x v="307"/>
    <s v="CAMISETA MALHA 100% ALGODÃO"/>
    <s v="CAMISETA"/>
    <s v="LEVE"/>
    <n v="4"/>
    <n v="36.75"/>
    <n v="147"/>
    <n v="147"/>
    <d v="2026-05-28T00:00:00"/>
    <n v="22"/>
    <m/>
    <s v="ENTREGUE"/>
    <n v="1"/>
    <n v="1"/>
    <n v="6"/>
    <n v="6"/>
    <n v="2"/>
  </r>
  <r>
    <s v="REBECA"/>
    <x v="719"/>
    <x v="334"/>
    <x v="3"/>
    <s v="HAVANNA"/>
    <x v="307"/>
    <s v="AVENTAL OXFORD MODELO PADRÃO"/>
    <s v="AVENTAL"/>
    <s v="LEVE"/>
    <n v="1"/>
    <n v="25"/>
    <n v="25"/>
    <n v="25"/>
    <d v="2026-05-28T00:00:00"/>
    <n v="22"/>
    <m/>
    <s v="ENTREGUE"/>
    <n v="0.25"/>
    <n v="0.25"/>
    <n v="1.5"/>
    <n v="1.5"/>
    <n v="0.5"/>
  </r>
  <r>
    <s v="REBECA"/>
    <x v="719"/>
    <x v="334"/>
    <x v="3"/>
    <s v="HAVANNA"/>
    <x v="307"/>
    <s v="FAIXA DE CABELO"/>
    <s v="FAIXA"/>
    <s v="LEVE"/>
    <n v="2"/>
    <n v="21"/>
    <n v="42"/>
    <n v="42"/>
    <d v="2026-05-28T00:00:00"/>
    <n v="22"/>
    <m/>
    <s v="ENTREGUE"/>
    <n v="0.5"/>
    <n v="0.5"/>
    <n v="3"/>
    <n v="3"/>
    <n v="1"/>
  </r>
  <r>
    <s v="REBECA"/>
    <x v="720"/>
    <x v="335"/>
    <x v="3"/>
    <s v="COSMÉTICO"/>
    <x v="86"/>
    <s v="AVENTAL OXFORD MODELO PADRÃO"/>
    <s v="AVENTAL"/>
    <s v="LEVE"/>
    <n v="100"/>
    <n v="17.7"/>
    <n v="1770"/>
    <n v="0"/>
    <d v="2026-06-29T00:00:00"/>
    <n v="27"/>
    <m/>
    <s v="ENTREGUE"/>
    <n v="25"/>
    <n v="25"/>
    <n v="150"/>
    <n v="150"/>
    <n v="50"/>
  </r>
  <r>
    <s v="REBECA"/>
    <x v="721"/>
    <x v="335"/>
    <x v="9"/>
    <s v="HAVANNA"/>
    <x v="322"/>
    <s v="CAMISETA MALHA 100% ALGODÃO"/>
    <s v="CAMISETA"/>
    <s v="LEVE"/>
    <n v="8"/>
    <n v="36.75"/>
    <n v="294"/>
    <n v="0"/>
    <d v="2026-06-30T00:00:00"/>
    <n v="27"/>
    <m/>
    <s v="ENTREGUE"/>
    <m/>
    <m/>
    <m/>
    <m/>
    <m/>
  </r>
  <r>
    <s v="REBECA"/>
    <x v="721"/>
    <x v="335"/>
    <x v="9"/>
    <s v="HAVANNA"/>
    <x v="322"/>
    <s v="AVENTAL OXFORD MODELO PADRÃO"/>
    <s v="AVENTAL"/>
    <s v="LEVE"/>
    <n v="3"/>
    <n v="25"/>
    <n v="75"/>
    <n v="0"/>
    <d v="2026-06-30T00:00:00"/>
    <n v="27"/>
    <m/>
    <s v="ENTREGUE"/>
    <m/>
    <m/>
    <m/>
    <m/>
    <m/>
  </r>
  <r>
    <s v="REBECA"/>
    <x v="721"/>
    <x v="335"/>
    <x v="9"/>
    <s v="HAVANNA"/>
    <x v="322"/>
    <s v="CALÇA BRIM"/>
    <s v="CALÇA"/>
    <s v="LEVE"/>
    <n v="3"/>
    <n v="80"/>
    <n v="240"/>
    <n v="0"/>
    <d v="2026-06-30T00:00:00"/>
    <n v="27"/>
    <m/>
    <s v="ENTREGUE"/>
    <m/>
    <m/>
    <m/>
    <m/>
    <m/>
  </r>
  <r>
    <s v="REBECA"/>
    <x v="721"/>
    <x v="335"/>
    <x v="9"/>
    <s v="HAVANNA"/>
    <x v="322"/>
    <s v="CAMISETA MALHA 100% ALGODÃO MANGA LONGA"/>
    <s v="CAMISETA"/>
    <s v="LEVE"/>
    <n v="4"/>
    <n v="47.5"/>
    <n v="190"/>
    <n v="0"/>
    <d v="2026-06-30T00:00:00"/>
    <n v="27"/>
    <m/>
    <s v="ENTREGUE"/>
    <m/>
    <m/>
    <m/>
    <m/>
    <m/>
  </r>
  <r>
    <s v="LETICIA"/>
    <x v="722"/>
    <x v="336"/>
    <x v="46"/>
    <s v="PET"/>
    <x v="1"/>
    <s v="AVENTAL NYLON EMBORRACHADO"/>
    <s v="AVENTAL"/>
    <s v="LEVE"/>
    <n v="400"/>
    <n v="23.5"/>
    <n v="9400"/>
    <n v="9400"/>
    <d v="2026-06-18T00:00:00"/>
    <n v="25"/>
    <m/>
    <s v="ENTREGUE"/>
    <n v="100"/>
    <n v="100"/>
    <n v="600"/>
    <n v="600"/>
    <n v="200"/>
  </r>
  <r>
    <s v="LETICIA"/>
    <x v="723"/>
    <x v="337"/>
    <x v="46"/>
    <s v="COMÉRCIO"/>
    <x v="313"/>
    <s v="CAMISETA MALHA PV"/>
    <s v="CAMISETA"/>
    <s v="LEVE"/>
    <n v="100"/>
    <n v="36"/>
    <n v="3600"/>
    <n v="3600"/>
    <d v="2026-06-11T00:00:00"/>
    <n v="24"/>
    <m/>
    <s v="ENTREGUE"/>
    <n v="25"/>
    <n v="25"/>
    <n v="150"/>
    <n v="150"/>
    <n v="50"/>
  </r>
  <r>
    <s v="REBECA"/>
    <x v="724"/>
    <x v="337"/>
    <x v="46"/>
    <s v="HAVANNA"/>
    <x v="266"/>
    <s v="AVENTAL OXFORD MODELO PADRÃO"/>
    <s v="AVENTAL"/>
    <s v="LEVE"/>
    <n v="10"/>
    <n v="25"/>
    <n v="250"/>
    <n v="250"/>
    <d v="2026-06-24T00:00:00"/>
    <n v="26"/>
    <m/>
    <s v="ENTREGUE"/>
    <n v="2.5"/>
    <n v="2.5"/>
    <n v="15"/>
    <n v="15"/>
    <n v="5"/>
  </r>
  <r>
    <s v="REBECA"/>
    <x v="724"/>
    <x v="337"/>
    <x v="46"/>
    <s v="HAVANNA"/>
    <x v="266"/>
    <s v="CAMISETA MALHA 100% ALGODÃO"/>
    <s v="CAMISETA"/>
    <s v="LEVE"/>
    <n v="10"/>
    <n v="36.75"/>
    <n v="367.5"/>
    <n v="367.5"/>
    <d v="2026-06-24T00:00:00"/>
    <n v="26"/>
    <m/>
    <s v="ENTREGUE"/>
    <n v="2.5"/>
    <n v="2.5"/>
    <n v="15"/>
    <n v="15"/>
    <n v="5"/>
  </r>
  <r>
    <s v="LETICIA"/>
    <x v="725"/>
    <x v="338"/>
    <x v="46"/>
    <s v="EDITORA"/>
    <x v="78"/>
    <s v="SAQUINHO DE ALGODÃO"/>
    <s v="SAQUINHO"/>
    <s v="PESADA"/>
    <n v="3000"/>
    <n v="5.3"/>
    <n v="15900"/>
    <n v="7950"/>
    <d v="2026-06-26T00:00:00"/>
    <n v="26"/>
    <m/>
    <s v="ENTREGUE"/>
    <n v="750"/>
    <n v="750"/>
    <n v="4500"/>
    <n v="4500"/>
    <n v="1500"/>
  </r>
  <r>
    <s v="REBECA"/>
    <x v="726"/>
    <x v="338"/>
    <x v="46"/>
    <s v="COSMÉTICO"/>
    <x v="241"/>
    <s v="AVENTAL NY 210"/>
    <s v="AVENTAL"/>
    <s v="LEVE"/>
    <n v="100"/>
    <n v="19.899999999999999"/>
    <n v="1989.9999999999998"/>
    <n v="994.99999999999989"/>
    <d v="2026-07-02T00:00:00"/>
    <n v="27"/>
    <m/>
    <s v="ENTREGUE"/>
    <n v="25"/>
    <n v="25"/>
    <n v="150"/>
    <n v="150"/>
    <n v="50"/>
  </r>
  <r>
    <s v="REBECA"/>
    <x v="727"/>
    <x v="339"/>
    <x v="47"/>
    <s v="HAVANNA"/>
    <x v="25"/>
    <s v="CAMISETA MALHA 100% ALGODÃO"/>
    <s v="CAMISETA"/>
    <s v="LEVE"/>
    <n v="14"/>
    <n v="36.75"/>
    <n v="514.5"/>
    <n v="514.5"/>
    <d v="2026-06-29T00:00:00"/>
    <n v="27"/>
    <m/>
    <s v="ENTREGUE"/>
    <n v="3.5"/>
    <n v="3.5"/>
    <n v="21"/>
    <n v="21"/>
    <n v="7"/>
  </r>
  <r>
    <s v="REBECA"/>
    <x v="727"/>
    <x v="339"/>
    <x v="47"/>
    <s v="HAVANNA"/>
    <x v="25"/>
    <s v="AVENTAL OXFORD MODELO PADRÃO"/>
    <s v="AVENTAL"/>
    <s v="LEVE"/>
    <n v="8"/>
    <n v="25"/>
    <n v="200"/>
    <n v="200"/>
    <d v="2026-06-29T00:00:00"/>
    <n v="27"/>
    <m/>
    <s v="ENTREGUE"/>
    <n v="2"/>
    <n v="2"/>
    <n v="12"/>
    <n v="12"/>
    <n v="4"/>
  </r>
  <r>
    <s v="REBECA"/>
    <x v="727"/>
    <x v="339"/>
    <x v="47"/>
    <s v="HAVANNA"/>
    <x v="25"/>
    <s v="FAIXA DE CABELO"/>
    <s v="FAIXA"/>
    <s v="LEVE"/>
    <n v="8"/>
    <n v="21"/>
    <n v="168"/>
    <n v="168"/>
    <d v="2026-06-29T00:00:00"/>
    <n v="27"/>
    <m/>
    <s v="ENTREGUE"/>
    <n v="2"/>
    <n v="2"/>
    <n v="12"/>
    <n v="12"/>
    <n v="4"/>
  </r>
  <r>
    <s v="LETICIA"/>
    <x v="728"/>
    <x v="339"/>
    <x v="47"/>
    <s v="COSMÉTICO"/>
    <x v="245"/>
    <s v="AVENTAL NY 210"/>
    <s v="AVENTAL"/>
    <s v="LEVE"/>
    <n v="100"/>
    <n v="16.989999999999998"/>
    <n v="1698.9999999999998"/>
    <n v="1699"/>
    <d v="2026-07-06T00:00:00"/>
    <n v="28"/>
    <m/>
    <s v="ENTREGUE"/>
    <n v="25"/>
    <n v="25"/>
    <n v="150"/>
    <n v="150"/>
    <n v="50"/>
  </r>
  <r>
    <s v="REBECA"/>
    <x v="729"/>
    <x v="340"/>
    <x v="47"/>
    <s v="HAVANNA"/>
    <x v="323"/>
    <s v="BLUSA DE MOLETOM "/>
    <s v="MOLETOM"/>
    <s v="LEVE"/>
    <n v="8"/>
    <n v="120"/>
    <n v="960"/>
    <n v="960"/>
    <d v="2026-06-30T00:00:00"/>
    <n v="27"/>
    <m/>
    <s v="ENTREGUE"/>
    <n v="2"/>
    <n v="2"/>
    <n v="12"/>
    <n v="12"/>
    <n v="4"/>
  </r>
  <r>
    <s v="REBECA"/>
    <x v="729"/>
    <x v="340"/>
    <x v="47"/>
    <s v="HAVANNA"/>
    <x v="323"/>
    <s v="CAMISETA MALHA 100% ALGODÃO"/>
    <s v="CAMISETA"/>
    <s v="LEVE"/>
    <n v="10"/>
    <n v="36.75"/>
    <n v="367.5"/>
    <n v="367.5"/>
    <d v="2026-06-30T00:00:00"/>
    <n v="27"/>
    <m/>
    <s v="ENTREGUE"/>
    <n v="2.5"/>
    <n v="2.5"/>
    <n v="15"/>
    <n v="15"/>
    <n v="5"/>
  </r>
  <r>
    <s v="REBECA"/>
    <x v="729"/>
    <x v="340"/>
    <x v="47"/>
    <s v="HAVANNA"/>
    <x v="323"/>
    <s v="CAMISETA MALHA 100% ALGODÃO"/>
    <s v="CAMISETA"/>
    <s v="LEVE"/>
    <n v="7"/>
    <n v="47.5"/>
    <n v="332.5"/>
    <n v="332.5"/>
    <d v="2026-06-30T00:00:00"/>
    <n v="27"/>
    <m/>
    <s v="ENTREGUE"/>
    <n v="1.75"/>
    <n v="1.75"/>
    <n v="10.5"/>
    <n v="10.5"/>
    <n v="3.5"/>
  </r>
  <r>
    <s v="REBECA"/>
    <x v="729"/>
    <x v="340"/>
    <x v="47"/>
    <s v="HAVANNA"/>
    <x v="323"/>
    <s v="CAMISETA POLO PIQUET"/>
    <s v="POLO"/>
    <s v="LEVE"/>
    <n v="2"/>
    <n v="65"/>
    <n v="130"/>
    <n v="130"/>
    <d v="2026-06-30T00:00:00"/>
    <n v="27"/>
    <m/>
    <s v="ENTREGUE"/>
    <n v="0.5"/>
    <n v="0.5"/>
    <n v="3"/>
    <n v="3"/>
    <n v="1"/>
  </r>
  <r>
    <s v="REBECA"/>
    <x v="729"/>
    <x v="340"/>
    <x v="47"/>
    <s v="HAVANNA"/>
    <x v="323"/>
    <s v="AVENTAL OXFORD MODELO PADRÃO"/>
    <s v="AVENTAL"/>
    <s v="LEVE"/>
    <n v="12"/>
    <n v="25"/>
    <n v="300"/>
    <n v="300"/>
    <d v="2026-06-30T00:00:00"/>
    <n v="27"/>
    <m/>
    <s v="ENTREGUE"/>
    <n v="3"/>
    <n v="3"/>
    <n v="18"/>
    <n v="18"/>
    <n v="6"/>
  </r>
  <r>
    <s v="REBECA"/>
    <x v="730"/>
    <x v="340"/>
    <x v="47"/>
    <s v="COSMÉTICO"/>
    <x v="71"/>
    <s v="CAMISETA MALHA PV GOLA CARECA"/>
    <s v="CAMISETA"/>
    <s v="LEVE"/>
    <n v="100"/>
    <n v="37"/>
    <n v="3700"/>
    <n v="1850"/>
    <d v="2026-07-07T00:00:00"/>
    <n v="28"/>
    <m/>
    <s v="ENTREGUE"/>
    <n v="25"/>
    <n v="25"/>
    <n v="150"/>
    <n v="150"/>
    <n v="50"/>
  </r>
  <r>
    <s v="REBECA"/>
    <x v="730"/>
    <x v="340"/>
    <x v="47"/>
    <s v="COSMÉTICO"/>
    <x v="71"/>
    <s v="CAMISETA MALHA PV GOLA CARECA"/>
    <s v="CAMISETA"/>
    <s v="LEVE"/>
    <n v="100"/>
    <n v="28"/>
    <n v="2800"/>
    <n v="1400"/>
    <d v="2026-07-07T00:00:00"/>
    <n v="28"/>
    <m/>
    <s v="ENTREGUE"/>
    <n v="25"/>
    <n v="25"/>
    <n v="150"/>
    <n v="150"/>
    <n v="50"/>
  </r>
  <r>
    <s v="REBECA"/>
    <x v="730"/>
    <x v="340"/>
    <x v="47"/>
    <s v="COSMÉTICO"/>
    <x v="71"/>
    <s v="KIMONO TACTEL"/>
    <s v="KIMONO"/>
    <s v="LEVE"/>
    <n v="100"/>
    <n v="26.5"/>
    <n v="2650"/>
    <n v="1325"/>
    <d v="2026-07-07T00:00:00"/>
    <n v="28"/>
    <m/>
    <s v="ENTREGUE"/>
    <n v="25"/>
    <n v="25"/>
    <n v="150"/>
    <n v="150"/>
    <n v="50"/>
  </r>
  <r>
    <s v="REBECA"/>
    <x v="731"/>
    <x v="340"/>
    <x v="47"/>
    <s v="COSMÉTICO"/>
    <x v="324"/>
    <s v="SACOLA DE ALGODÃO"/>
    <s v="SACOLA"/>
    <s v="PESADA"/>
    <n v="100"/>
    <n v="11.9"/>
    <n v="1190"/>
    <n v="1190"/>
    <d v="2026-06-26T00:00:00"/>
    <n v="26"/>
    <m/>
    <s v="ENTREGUE"/>
    <n v="25"/>
    <n v="25"/>
    <n v="150"/>
    <n v="150"/>
    <n v="50"/>
  </r>
  <r>
    <s v="LETICIA"/>
    <x v="74"/>
    <x v="341"/>
    <x v="47"/>
    <s v="COSMÉTICO"/>
    <x v="63"/>
    <s v="CAMISETA MALHA 100% ALGODÃO"/>
    <s v="CAMISETA"/>
    <s v="LEVE"/>
    <n v="250"/>
    <n v="27.3"/>
    <n v="6825"/>
    <n v="6825"/>
    <d v="2026-06-22T00:00:00"/>
    <n v="26"/>
    <m/>
    <s v="ENTREGUE"/>
    <n v="62.5"/>
    <n v="62.5"/>
    <n v="375"/>
    <n v="375"/>
    <n v="125"/>
  </r>
  <r>
    <s v="REBECA"/>
    <x v="732"/>
    <x v="341"/>
    <x v="47"/>
    <s v="COSMÉTICO"/>
    <x v="237"/>
    <s v="AVENTAL OXFORD MODELO PADRÃO"/>
    <s v="AVENTAL"/>
    <s v="LEVE"/>
    <n v="100"/>
    <n v="17"/>
    <n v="1700"/>
    <n v="850"/>
    <d v="2026-07-08T00:00:00"/>
    <n v="28"/>
    <m/>
    <s v="ENTREGUE"/>
    <n v="25"/>
    <n v="25"/>
    <n v="150"/>
    <n v="150"/>
    <n v="50"/>
  </r>
  <r>
    <s v="REBECA"/>
    <x v="732"/>
    <x v="341"/>
    <x v="47"/>
    <s v="COSMÉTICO"/>
    <x v="237"/>
    <s v="CAPA DE CORTE CETIM"/>
    <s v="CAPA DE CORTE"/>
    <s v="LEVE"/>
    <n v="100"/>
    <n v="17"/>
    <n v="1700"/>
    <n v="850"/>
    <d v="2026-07-08T00:00:00"/>
    <n v="28"/>
    <m/>
    <s v="ENTREGUE"/>
    <n v="25"/>
    <n v="25"/>
    <n v="150"/>
    <n v="150"/>
    <n v="50"/>
  </r>
  <r>
    <s v="REBECA"/>
    <x v="732"/>
    <x v="341"/>
    <x v="47"/>
    <s v="COSMÉTICO"/>
    <x v="237"/>
    <s v="AVENTAL LINHO BARBEIRO"/>
    <s v="AVENTAL"/>
    <s v="LEVE"/>
    <n v="10"/>
    <n v="150"/>
    <n v="1500"/>
    <n v="750"/>
    <d v="2026-07-08T00:00:00"/>
    <n v="28"/>
    <m/>
    <s v="ENTREGUE"/>
    <n v="2.5"/>
    <n v="2.5"/>
    <n v="15"/>
    <n v="15"/>
    <n v="5"/>
  </r>
  <r>
    <s v="REBECA"/>
    <x v="733"/>
    <x v="342"/>
    <x v="47"/>
    <s v="COSMÉTICO"/>
    <x v="305"/>
    <s v="AVENTAL BARBEIRO COURO SINTETICO "/>
    <s v="AVENTAL"/>
    <s v="PESADA"/>
    <n v="10"/>
    <n v="100"/>
    <n v="1000"/>
    <n v="0"/>
    <d v="2026-07-10T00:00:00"/>
    <n v="28"/>
    <m/>
    <s v="ENTREGUE"/>
    <n v="2.5"/>
    <n v="2.5"/>
    <n v="15"/>
    <n v="15"/>
    <n v="5"/>
  </r>
  <r>
    <s v="REBECA"/>
    <x v="734"/>
    <x v="342"/>
    <x v="47"/>
    <s v="HAVANNA"/>
    <x v="325"/>
    <s v="CAMISETA MALHA 100% ALGODÃO"/>
    <s v="CAMISETA"/>
    <s v="LEVE"/>
    <n v="28"/>
    <n v="36.75"/>
    <n v="1029"/>
    <n v="514.5"/>
    <d v="2026-07-10T00:00:00"/>
    <n v="28"/>
    <m/>
    <s v="ENTREGUE"/>
    <n v="7"/>
    <n v="7"/>
    <n v="42"/>
    <n v="42"/>
    <n v="14"/>
  </r>
  <r>
    <s v="REBECA"/>
    <x v="734"/>
    <x v="342"/>
    <x v="47"/>
    <s v="HAVANNA"/>
    <x v="325"/>
    <s v="FAIXA DE CABELO"/>
    <s v="FAIXA"/>
    <s v="LEVE"/>
    <n v="4"/>
    <n v="21"/>
    <n v="84"/>
    <n v="42"/>
    <d v="2026-07-10T00:00:00"/>
    <n v="28"/>
    <m/>
    <s v="ENTREGUE"/>
    <n v="1"/>
    <n v="1"/>
    <n v="6"/>
    <n v="6"/>
    <n v="2"/>
  </r>
  <r>
    <s v="REBECA"/>
    <x v="734"/>
    <x v="342"/>
    <x v="47"/>
    <s v="HAVANNA"/>
    <x v="325"/>
    <s v="AVENTAL OXFORD MODELO PADRÃO"/>
    <s v="AVENTAL"/>
    <s v="LEVE"/>
    <n v="7"/>
    <n v="25"/>
    <n v="175"/>
    <n v="87.5"/>
    <d v="2026-07-10T00:00:00"/>
    <n v="28"/>
    <m/>
    <s v="ENTREGUE"/>
    <n v="1.75"/>
    <n v="1.75"/>
    <n v="10.5"/>
    <n v="10.5"/>
    <n v="3.5"/>
  </r>
  <r>
    <s v="LETICIA"/>
    <x v="735"/>
    <x v="342"/>
    <x v="47"/>
    <s v="COMÉRCIO"/>
    <x v="313"/>
    <s v="CAMISETA MALHA PV"/>
    <s v="CAMISETA"/>
    <s v="LEVE"/>
    <n v="60"/>
    <n v="36"/>
    <n v="2160"/>
    <n v="1080"/>
    <d v="2026-06-18T00:00:00"/>
    <n v="25"/>
    <m/>
    <s v="ENTREGUE"/>
    <n v="15"/>
    <n v="15"/>
    <n v="90"/>
    <n v="90"/>
    <n v="30"/>
  </r>
  <r>
    <s v="REBECA"/>
    <x v="736"/>
    <x v="343"/>
    <x v="48"/>
    <s v="COSMÉTICO"/>
    <x v="326"/>
    <s v="AVENTAL OXFORD MODELO PADRÃO"/>
    <s v="AVENTAL"/>
    <s v="LEVE"/>
    <n v="100"/>
    <n v="17"/>
    <n v="1700"/>
    <n v="0"/>
    <d v="2026-07-13T00:00:00"/>
    <n v="29"/>
    <m/>
    <s v="ENTREGUE"/>
    <n v="25"/>
    <n v="25"/>
    <n v="150"/>
    <n v="150"/>
    <n v="50"/>
  </r>
  <r>
    <s v="REBECA"/>
    <x v="737"/>
    <x v="343"/>
    <x v="48"/>
    <s v="COSMÉTICO"/>
    <x v="273"/>
    <s v="AVENTAL NY 210"/>
    <s v="AVENTAL"/>
    <s v="LEVE"/>
    <n v="50"/>
    <n v="16.989999999999998"/>
    <n v="849.49999999999989"/>
    <n v="0"/>
    <d v="2026-07-14T00:00:00"/>
    <n v="29"/>
    <m/>
    <s v="ENTREGUE"/>
    <n v="12.5"/>
    <n v="12.5"/>
    <n v="75"/>
    <n v="75"/>
    <n v="25"/>
  </r>
  <r>
    <s v="REBECA"/>
    <x v="737"/>
    <x v="343"/>
    <x v="48"/>
    <s v="COSMÉTICO"/>
    <x v="273"/>
    <s v="CAPA DE CORTE TACTEL"/>
    <s v="CAPA DE CORTE"/>
    <s v="LEVE"/>
    <n v="50"/>
    <n v="15.6"/>
    <n v="780"/>
    <n v="0"/>
    <d v="2026-07-14T00:00:00"/>
    <n v="29"/>
    <m/>
    <s v="ENTREGUE"/>
    <n v="12.5"/>
    <n v="12.5"/>
    <n v="75"/>
    <n v="75"/>
    <n v="25"/>
  </r>
  <r>
    <s v="REBECA"/>
    <x v="738"/>
    <x v="343"/>
    <x v="48"/>
    <s v="COSMÉTICO"/>
    <x v="296"/>
    <s v="AVENTAL BARBEIRO COURO SINTETICO "/>
    <s v="AVENTAL"/>
    <s v="PESADA"/>
    <n v="150"/>
    <n v="67"/>
    <n v="10050"/>
    <n v="0"/>
    <d v="2026-07-11T00:00:00"/>
    <n v="28"/>
    <m/>
    <s v="ENTREGUE"/>
    <n v="37.5"/>
    <n v="37.5"/>
    <n v="225"/>
    <n v="225"/>
    <n v="75"/>
  </r>
  <r>
    <s v="REBECA"/>
    <x v="739"/>
    <x v="343"/>
    <x v="48"/>
    <s v="COSMÉTICO"/>
    <x v="235"/>
    <s v="AVENTAL OXFORD MODELO PADRÃO"/>
    <s v="AVENTAL"/>
    <s v="LEVE"/>
    <n v="100"/>
    <n v="14.99"/>
    <n v="1499"/>
    <n v="0"/>
    <d v="2026-07-15T00:00:00"/>
    <n v="29"/>
    <m/>
    <s v="ENTREGUE"/>
    <n v="25"/>
    <n v="25"/>
    <n v="150"/>
    <n v="150"/>
    <n v="50"/>
  </r>
  <r>
    <s v="REBECA"/>
    <x v="739"/>
    <x v="343"/>
    <x v="48"/>
    <s v="COSMÉTICO"/>
    <x v="235"/>
    <s v="CAPA DE CORTE TACTEL"/>
    <s v="CAPA DE CORTE"/>
    <s v="LEVE"/>
    <n v="100"/>
    <n v="15.6"/>
    <n v="1560"/>
    <n v="0"/>
    <d v="2026-07-15T00:00:00"/>
    <n v="29"/>
    <m/>
    <s v="ENTREGUE"/>
    <n v="25"/>
    <n v="25"/>
    <n v="150"/>
    <n v="150"/>
    <n v="50"/>
  </r>
  <r>
    <s v="REBECA"/>
    <x v="740"/>
    <x v="343"/>
    <x v="48"/>
    <s v="COSMÉTICO"/>
    <x v="327"/>
    <s v="CAMISETA MALHA PV"/>
    <s v="CAMISETA"/>
    <s v="LEVE"/>
    <n v="100"/>
    <n v="22.5"/>
    <n v="2250"/>
    <n v="1125"/>
    <d v="2026-07-10T00:00:00"/>
    <n v="28"/>
    <m/>
    <s v="ENTREGUE"/>
    <n v="25"/>
    <n v="25"/>
    <n v="150"/>
    <n v="150"/>
    <n v="50"/>
  </r>
  <r>
    <s v="LETICIA"/>
    <x v="741"/>
    <x v="344"/>
    <x v="48"/>
    <s v="COSMÉTICO"/>
    <x v="313"/>
    <s v="CAMISETA MALHA PV"/>
    <s v="CAMISETA"/>
    <s v="LEVE"/>
    <n v="100"/>
    <n v="36"/>
    <n v="3600"/>
    <n v="3600"/>
    <d v="2026-06-18T00:00:00"/>
    <n v="25"/>
    <m/>
    <s v="ENTREGUE"/>
    <n v="25"/>
    <n v="25"/>
    <n v="150"/>
    <n v="150"/>
    <n v="50"/>
  </r>
  <r>
    <s v="REBECA"/>
    <x v="742"/>
    <x v="345"/>
    <x v="48"/>
    <s v="HAVANNA"/>
    <x v="328"/>
    <s v="AVENTAL OXFORD MODELO PADRÃO"/>
    <s v="AVENTAL"/>
    <s v="LEVE"/>
    <n v="6"/>
    <n v="25"/>
    <n v="150"/>
    <n v="150"/>
    <d v="2026-06-19T00:00:00"/>
    <n v="25"/>
    <m/>
    <s v="ENTREGUE"/>
    <n v="1.5"/>
    <n v="1.5"/>
    <n v="9"/>
    <n v="9"/>
    <n v="3"/>
  </r>
  <r>
    <s v="REBECA"/>
    <x v="743"/>
    <x v="345"/>
    <x v="48"/>
    <s v="COSMÉTICO"/>
    <x v="302"/>
    <s v="AVENTAL OXFORD MODELO PADRÃO"/>
    <s v="AVENTAL"/>
    <s v="LEVE"/>
    <n v="200"/>
    <n v="14.99"/>
    <n v="2998"/>
    <n v="0"/>
    <d v="2026-07-16T00:00:00"/>
    <n v="29"/>
    <m/>
    <s v="ENTREGUE"/>
    <n v="50"/>
    <n v="50"/>
    <n v="300"/>
    <n v="300"/>
    <n v="100"/>
  </r>
  <r>
    <s v="REBECA"/>
    <x v="744"/>
    <x v="345"/>
    <x v="48"/>
    <s v="HAVANNA"/>
    <x v="328"/>
    <s v="CALÇA BRIM"/>
    <s v="CALÇA"/>
    <s v="PESADA"/>
    <n v="3"/>
    <n v="80"/>
    <n v="240"/>
    <n v="120"/>
    <d v="2026-07-13T00:00:00"/>
    <n v="29"/>
    <m/>
    <s v="ENTREGUE"/>
    <n v="0.75"/>
    <n v="0.75"/>
    <n v="4.5"/>
    <n v="4.5"/>
    <n v="1.5"/>
  </r>
  <r>
    <s v="REBECA"/>
    <x v="744"/>
    <x v="345"/>
    <x v="48"/>
    <s v="HAVANNA"/>
    <x v="328"/>
    <s v="FAIXA DE CABELO"/>
    <s v="FAIXA"/>
    <s v="LEVE"/>
    <n v="3"/>
    <n v="21"/>
    <n v="63"/>
    <n v="31.5"/>
    <d v="2026-07-13T00:00:00"/>
    <n v="29"/>
    <m/>
    <s v="ENTREGUE"/>
    <n v="0.75"/>
    <n v="0.75"/>
    <n v="4.5"/>
    <n v="4.5"/>
    <n v="1.5"/>
  </r>
  <r>
    <s v="REBECA"/>
    <x v="744"/>
    <x v="345"/>
    <x v="48"/>
    <s v="HAVANNA"/>
    <x v="328"/>
    <s v="CAMISETA MANGA LONGA 100% ALGODÃO"/>
    <s v="CAMISETA"/>
    <s v="LEVE"/>
    <n v="6"/>
    <n v="47.5"/>
    <n v="285"/>
    <n v="142.5"/>
    <d v="2026-07-13T00:00:00"/>
    <n v="29"/>
    <m/>
    <s v="ENTREGUE"/>
    <n v="1.5"/>
    <n v="1.5"/>
    <n v="9"/>
    <n v="9"/>
    <n v="3"/>
  </r>
  <r>
    <s v="REBECA"/>
    <x v="744"/>
    <x v="345"/>
    <x v="48"/>
    <s v="HAVANNA"/>
    <x v="328"/>
    <s v="CAMISETA MALHA 100% ALGODÃO"/>
    <s v="CAMISETA"/>
    <s v="LEVE"/>
    <n v="2"/>
    <n v="36.75"/>
    <n v="73.5"/>
    <n v="36.75"/>
    <d v="2026-07-13T00:00:00"/>
    <n v="29"/>
    <m/>
    <s v="ENTREGUE"/>
    <n v="0.5"/>
    <n v="0.5"/>
    <n v="3"/>
    <n v="3"/>
    <n v="1"/>
  </r>
  <r>
    <s v="REBECA"/>
    <x v="744"/>
    <x v="345"/>
    <x v="48"/>
    <s v="HAVANNA"/>
    <x v="328"/>
    <s v="CAMISETA POLO PIQUET"/>
    <s v="POLO"/>
    <s v="LEVE"/>
    <n v="1"/>
    <n v="65"/>
    <n v="65"/>
    <n v="32.5"/>
    <d v="2026-07-13T00:00:00"/>
    <n v="29"/>
    <m/>
    <s v="ENTREGUE"/>
    <n v="0.25"/>
    <n v="0.25"/>
    <n v="1.5"/>
    <n v="1.5"/>
    <n v="0.5"/>
  </r>
  <r>
    <s v="REBECA"/>
    <x v="744"/>
    <x v="345"/>
    <x v="48"/>
    <s v="HAVANNA"/>
    <x v="328"/>
    <s v="BLUSA DE MOLETOM "/>
    <s v="MOLETOM"/>
    <s v="PESADA"/>
    <n v="1"/>
    <n v="120"/>
    <n v="120"/>
    <n v="60"/>
    <d v="2026-07-13T00:00:00"/>
    <n v="29"/>
    <m/>
    <s v="ENTREGUE"/>
    <n v="0.25"/>
    <n v="0.25"/>
    <n v="1.5"/>
    <n v="1.5"/>
    <n v="0.5"/>
  </r>
  <r>
    <s v="LETICIA"/>
    <x v="745"/>
    <x v="345"/>
    <x v="48"/>
    <s v="PET"/>
    <x v="41"/>
    <s v="AVENTAL NY EMBORRACHADO"/>
    <s v="AVENTAL"/>
    <s v="LEVE"/>
    <n v="300"/>
    <n v="23.5"/>
    <n v="7050"/>
    <n v="7050"/>
    <d v="2026-07-15T00:00:00"/>
    <n v="29"/>
    <m/>
    <s v="ENTREGUE"/>
    <n v="75"/>
    <n v="75"/>
    <n v="450"/>
    <n v="450"/>
    <n v="150"/>
  </r>
  <r>
    <s v="LETICIA"/>
    <x v="746"/>
    <x v="345"/>
    <x v="48"/>
    <s v="COMÉRCIO"/>
    <x v="40"/>
    <s v="NECESSAIRE NY PLASTIFICADO"/>
    <s v="NECESSAIRE"/>
    <s v="PESADA"/>
    <n v="300"/>
    <n v="23"/>
    <n v="6900"/>
    <n v="6900"/>
    <d v="2026-07-16T00:00:00"/>
    <n v="29"/>
    <m/>
    <s v="ENTREGUE"/>
    <n v="75"/>
    <n v="75"/>
    <n v="450"/>
    <n v="450"/>
    <n v="150"/>
  </r>
  <r>
    <s v="REBECA"/>
    <x v="747"/>
    <x v="346"/>
    <x v="48"/>
    <s v="COSMÉTICO"/>
    <x v="329"/>
    <s v="CAMISETA MALHA PV"/>
    <s v="CAMISETA"/>
    <s v="LEVE"/>
    <n v="120"/>
    <n v="22.5"/>
    <n v="2700"/>
    <n v="1350"/>
    <d v="2026-07-17T00:00:00"/>
    <n v="29"/>
    <m/>
    <s v="ENTREGUE"/>
    <n v="30"/>
    <n v="30"/>
    <n v="180"/>
    <n v="180"/>
    <n v="60"/>
  </r>
  <r>
    <s v="LETICIA"/>
    <x v="748"/>
    <x v="347"/>
    <x v="48"/>
    <s v="COSMÉTICO"/>
    <x v="330"/>
    <s v="NECESSAIRE CLASSIC"/>
    <s v="NECESSAIRE"/>
    <s v="PESADA"/>
    <n v="50"/>
    <n v="25"/>
    <n v="1250"/>
    <n v="1250"/>
    <d v="2026-06-30T00:00:00"/>
    <n v="27"/>
    <m/>
    <s v="ENTREGUE"/>
    <n v="12.5"/>
    <n v="12.5"/>
    <n v="75"/>
    <n v="75"/>
    <n v="25"/>
  </r>
  <r>
    <s v="REBECA"/>
    <x v="749"/>
    <x v="347"/>
    <x v="48"/>
    <s v="HAVANNA"/>
    <x v="21"/>
    <s v="CAMISETA MANGA LONGA 100% ALGODÃO"/>
    <s v="CAMISETA"/>
    <s v="LEVE"/>
    <n v="10"/>
    <n v="47.5"/>
    <n v="475"/>
    <n v="237.5"/>
    <d v="2026-07-14T00:00:00"/>
    <n v="29"/>
    <m/>
    <s v="ENTREGUE"/>
    <n v="2.5"/>
    <n v="2.5"/>
    <n v="15"/>
    <n v="15"/>
    <n v="5"/>
  </r>
  <r>
    <s v="REBECA"/>
    <x v="749"/>
    <x v="347"/>
    <x v="48"/>
    <s v="HAVANNA"/>
    <x v="21"/>
    <s v="CAMISETA GOLA CARECA"/>
    <s v="CAMISETA"/>
    <s v="LEVE"/>
    <n v="10"/>
    <n v="36.75"/>
    <n v="367.5"/>
    <n v="183.75"/>
    <d v="2026-07-14T00:00:00"/>
    <n v="29"/>
    <m/>
    <s v="ENTREGUE"/>
    <n v="2.5"/>
    <n v="2.5"/>
    <n v="15"/>
    <n v="15"/>
    <n v="5"/>
  </r>
  <r>
    <s v="REBECA"/>
    <x v="749"/>
    <x v="347"/>
    <x v="48"/>
    <s v="HAVANNA"/>
    <x v="21"/>
    <s v="FAIXA DE CABELO"/>
    <s v="FAIXA"/>
    <s v="LEVE"/>
    <n v="10"/>
    <n v="21"/>
    <n v="210"/>
    <n v="105"/>
    <d v="2026-07-14T00:00:00"/>
    <n v="29"/>
    <m/>
    <s v="ENTREGUE"/>
    <n v="2.5"/>
    <n v="2.5"/>
    <n v="15"/>
    <n v="15"/>
    <n v="5"/>
  </r>
  <r>
    <s v="REBECA"/>
    <x v="749"/>
    <x v="347"/>
    <x v="48"/>
    <s v="HAVANNA"/>
    <x v="21"/>
    <s v="AVENTAL OXFORD MODELO PADRÃO"/>
    <s v="AVENTAL"/>
    <s v="LEVE"/>
    <n v="12"/>
    <n v="25"/>
    <n v="300"/>
    <n v="150"/>
    <d v="2026-07-14T00:00:00"/>
    <n v="29"/>
    <m/>
    <s v="ENTREGUE"/>
    <n v="3"/>
    <n v="3"/>
    <n v="18"/>
    <n v="18"/>
    <n v="6"/>
  </r>
  <r>
    <s v="REBECA"/>
    <x v="749"/>
    <x v="347"/>
    <x v="48"/>
    <s v="HAVANNA"/>
    <x v="21"/>
    <s v="BLUSA DE MOLETOM "/>
    <s v="MOLETOM"/>
    <s v="LEVE"/>
    <n v="6"/>
    <n v="120"/>
    <n v="720"/>
    <n v="360"/>
    <d v="2026-07-14T00:00:00"/>
    <n v="29"/>
    <m/>
    <s v="ENTREGUE"/>
    <n v="1.5"/>
    <n v="1.5"/>
    <n v="9"/>
    <n v="9"/>
    <n v="3"/>
  </r>
  <r>
    <s v="REBECA"/>
    <x v="749"/>
    <x v="347"/>
    <x v="48"/>
    <s v="HAVANNA"/>
    <x v="21"/>
    <s v="CAMISETA POLO PIQUET"/>
    <s v="POLO"/>
    <s v="LEVE"/>
    <n v="2"/>
    <n v="65"/>
    <n v="130"/>
    <n v="65"/>
    <d v="2026-07-14T00:00:00"/>
    <n v="29"/>
    <m/>
    <s v="ENTREGUE"/>
    <n v="0.5"/>
    <n v="0.5"/>
    <n v="3"/>
    <n v="3"/>
    <n v="1"/>
  </r>
  <r>
    <s v="REBECA"/>
    <x v="750"/>
    <x v="347"/>
    <x v="48"/>
    <s v="HAVANNA"/>
    <x v="331"/>
    <s v="AVENTAL OXFORD MODELO PADRÃO"/>
    <s v="AVENTAL"/>
    <s v="LEVE"/>
    <n v="5"/>
    <n v="25"/>
    <n v="125"/>
    <n v="62.5"/>
    <d v="2026-07-13T00:00:00"/>
    <n v="29"/>
    <m/>
    <s v="ENTREGUE"/>
    <n v="1.25"/>
    <n v="1.25"/>
    <n v="7.5"/>
    <n v="7.5"/>
    <n v="2.5"/>
  </r>
  <r>
    <s v="REBECA"/>
    <x v="750"/>
    <x v="347"/>
    <x v="48"/>
    <s v="HAVANNA"/>
    <x v="331"/>
    <s v="CAMISETA MALHA 100% ALGODÃO"/>
    <s v="CAMISETA"/>
    <s v="LEVE"/>
    <n v="12"/>
    <n v="36.75"/>
    <n v="441"/>
    <n v="220.5"/>
    <d v="2026-07-13T00:00:00"/>
    <n v="29"/>
    <m/>
    <s v="ENTREGUE"/>
    <n v="3"/>
    <n v="3"/>
    <n v="18"/>
    <n v="18"/>
    <n v="6"/>
  </r>
  <r>
    <s v="REBECA"/>
    <x v="751"/>
    <x v="347"/>
    <x v="48"/>
    <s v="PET"/>
    <x v="332"/>
    <s v="AVENTAL NY EMBORRACHADO"/>
    <s v="AVENTAL"/>
    <s v="LEVE"/>
    <n v="50"/>
    <n v="30"/>
    <n v="1500"/>
    <n v="0"/>
    <d v="2026-07-20T00:00:00"/>
    <n v="30"/>
    <m/>
    <s v="ENTREGUE"/>
    <n v="12.5"/>
    <n v="12.5"/>
    <n v="75"/>
    <n v="75"/>
    <n v="25"/>
  </r>
  <r>
    <s v="REBECA"/>
    <x v="752"/>
    <x v="348"/>
    <x v="49"/>
    <s v="HAVANNA"/>
    <x v="333"/>
    <s v="BLUSA DE MOLETOM "/>
    <s v="MOLETOM"/>
    <s v="LEVE"/>
    <n v="3"/>
    <n v="120"/>
    <n v="360"/>
    <n v="180"/>
    <d v="2026-07-15T00:00:00"/>
    <n v="29"/>
    <m/>
    <s v="ENTREGUE"/>
    <n v="0.75"/>
    <n v="0.75"/>
    <n v="4.5"/>
    <n v="4.5"/>
    <n v="1.5"/>
  </r>
  <r>
    <s v="REBECA"/>
    <x v="752"/>
    <x v="348"/>
    <x v="49"/>
    <s v="HAVANNA"/>
    <x v="333"/>
    <s v="CAMISETA MALHA 100% ALGODÃO"/>
    <s v="CAMISETA"/>
    <s v="LEVE"/>
    <n v="5"/>
    <n v="36.75"/>
    <n v="183.75"/>
    <n v="91.875"/>
    <d v="2026-07-15T00:00:00"/>
    <n v="29"/>
    <m/>
    <s v="ENTREGUE"/>
    <n v="1.25"/>
    <n v="1.25"/>
    <n v="7.5"/>
    <n v="7.5"/>
    <n v="2.5"/>
  </r>
  <r>
    <s v="REBECA"/>
    <x v="752"/>
    <x v="348"/>
    <x v="49"/>
    <s v="HAVANNA"/>
    <x v="333"/>
    <s v="CAMISETA MANGA LONGA 100% ALGODÃO"/>
    <s v="CAMISETA"/>
    <s v="LEVE"/>
    <n v="3"/>
    <n v="47.5"/>
    <n v="142.5"/>
    <n v="71.25"/>
    <d v="2026-07-15T00:00:00"/>
    <n v="29"/>
    <m/>
    <s v="ENTREGUE"/>
    <n v="0.75"/>
    <n v="0.75"/>
    <n v="4.5"/>
    <n v="4.5"/>
    <n v="1.5"/>
  </r>
  <r>
    <s v="REBECA"/>
    <x v="752"/>
    <x v="348"/>
    <x v="49"/>
    <s v="HAVANNA"/>
    <x v="333"/>
    <s v="AVENTAL OXFORD MODELO PADRÃO"/>
    <s v="AVENTAL"/>
    <s v="LEVE"/>
    <n v="6"/>
    <n v="25"/>
    <n v="150"/>
    <n v="75"/>
    <d v="2026-07-15T00:00:00"/>
    <n v="29"/>
    <m/>
    <s v="ENTREGUE"/>
    <n v="1.5"/>
    <n v="1.5"/>
    <n v="9"/>
    <n v="9"/>
    <n v="3"/>
  </r>
  <r>
    <s v="REBECA"/>
    <x v="752"/>
    <x v="348"/>
    <x v="49"/>
    <s v="HAVANNA"/>
    <x v="333"/>
    <s v="CAMISETA POLO PIQUET"/>
    <s v="POLO"/>
    <s v="LEVE"/>
    <n v="1"/>
    <n v="65"/>
    <n v="65"/>
    <n v="32.5"/>
    <d v="2026-07-15T00:00:00"/>
    <n v="29"/>
    <m/>
    <s v="ENTREGUE"/>
    <n v="0.25"/>
    <n v="0.25"/>
    <n v="1.5"/>
    <n v="1.5"/>
    <n v="0.5"/>
  </r>
  <r>
    <s v="REBECA"/>
    <x v="752"/>
    <x v="348"/>
    <x v="49"/>
    <s v="HAVANNA"/>
    <x v="333"/>
    <s v="FAIXA DE CABELO"/>
    <s v="FAIXA"/>
    <s v="LEVE"/>
    <n v="2"/>
    <n v="21"/>
    <n v="42"/>
    <n v="21"/>
    <d v="2026-07-15T00:00:00"/>
    <n v="29"/>
    <m/>
    <s v="ENTREGUE"/>
    <n v="0.5"/>
    <n v="0.5"/>
    <n v="3"/>
    <n v="3"/>
    <n v="1"/>
  </r>
  <r>
    <s v="LETICIA"/>
    <x v="753"/>
    <x v="348"/>
    <x v="49"/>
    <s v="EDITORA"/>
    <x v="78"/>
    <s v="SHOUDER BAG"/>
    <s v="BOLSA"/>
    <s v="PESADA"/>
    <n v="400"/>
    <n v="16.5"/>
    <n v="6600"/>
    <n v="6600"/>
    <d v="2026-07-16T00:00:00"/>
    <n v="29"/>
    <m/>
    <s v="ENTREGUE"/>
    <n v="100"/>
    <n v="100"/>
    <n v="600"/>
    <n v="600"/>
    <n v="200"/>
  </r>
  <r>
    <s v="REBECA"/>
    <x v="754"/>
    <x v="348"/>
    <x v="49"/>
    <s v="COSMÉTICO"/>
    <x v="334"/>
    <s v="NECESSAIRE ENCANTO REDONDO"/>
    <s v="NECESSAIRE"/>
    <s v="PESADA"/>
    <n v="300"/>
    <n v="19"/>
    <n v="5700"/>
    <n v="0"/>
    <d v="2026-07-20T00:00:00"/>
    <n v="30"/>
    <m/>
    <s v="ENTREGUE"/>
    <n v="75"/>
    <n v="75"/>
    <n v="450"/>
    <n v="450"/>
    <n v="150"/>
  </r>
  <r>
    <s v="REBECA"/>
    <x v="755"/>
    <x v="349"/>
    <x v="49"/>
    <s v="COSMÉTICO"/>
    <x v="335"/>
    <s v="NECESSAIRE MALETA MAKE"/>
    <s v="NECESSAIRE"/>
    <s v="PESADA"/>
    <n v="100"/>
    <n v="19.899999999999999"/>
    <n v="1989.9999999999998"/>
    <n v="994.99999999999989"/>
    <d v="2026-07-16T00:00:00"/>
    <n v="29"/>
    <m/>
    <s v="ENTREGUE"/>
    <n v="25"/>
    <n v="25"/>
    <n v="150"/>
    <n v="150"/>
    <n v="50"/>
  </r>
  <r>
    <s v="LETICIA"/>
    <x v="77"/>
    <x v="350"/>
    <x v="49"/>
    <s v="PET"/>
    <x v="1"/>
    <s v="CAMISETA MALHA 100% ALGODÃO"/>
    <s v="CAMISETA"/>
    <s v="LEVE"/>
    <n v="199"/>
    <n v="28"/>
    <n v="5572"/>
    <n v="5572"/>
    <d v="2026-07-24T00:00:00"/>
    <n v="30"/>
    <m/>
    <s v="ENTREGUE"/>
    <n v="49.75"/>
    <n v="49.75"/>
    <n v="298.5"/>
    <n v="298.5"/>
    <n v="99.5"/>
  </r>
  <r>
    <s v="LETICIA"/>
    <x v="756"/>
    <x v="350"/>
    <x v="49"/>
    <s v="COMÉRCIO"/>
    <x v="336"/>
    <s v="CAMISETA MALHA PV"/>
    <s v="CAMISETA"/>
    <s v="LEVE"/>
    <n v="100"/>
    <n v="22.5"/>
    <n v="2250"/>
    <n v="1125"/>
    <d v="2026-07-20T00:00:00"/>
    <n v="30"/>
    <m/>
    <s v="ENTREGUE"/>
    <n v="25"/>
    <n v="25"/>
    <n v="150"/>
    <n v="150"/>
    <n v="50"/>
  </r>
  <r>
    <s v="REBECA"/>
    <x v="757"/>
    <x v="350"/>
    <x v="49"/>
    <s v="COSMÉTICO"/>
    <x v="239"/>
    <s v="AVENTAL OXFORD MODELO PADRÃO"/>
    <s v="AVENTAL"/>
    <s v="LEVE"/>
    <n v="50"/>
    <n v="14.99"/>
    <n v="749.5"/>
    <n v="374.75"/>
    <d v="2026-07-22T00:00:00"/>
    <n v="30"/>
    <m/>
    <s v="ENTREGUE"/>
    <n v="12.5"/>
    <n v="12.5"/>
    <n v="75"/>
    <n v="75"/>
    <n v="25"/>
  </r>
  <r>
    <s v="REBECA"/>
    <x v="757"/>
    <x v="350"/>
    <x v="49"/>
    <s v="COSMÉTICO"/>
    <x v="239"/>
    <s v="CAMISETA MALHA PV"/>
    <s v="CAMISETA"/>
    <s v="LEVE"/>
    <n v="295"/>
    <n v="23"/>
    <n v="6785"/>
    <n v="3392.5"/>
    <d v="2026-07-22T00:00:00"/>
    <n v="30"/>
    <m/>
    <s v="ENTREGUE"/>
    <n v="73.75"/>
    <n v="73.75"/>
    <n v="442.5"/>
    <n v="442.5"/>
    <n v="147.5"/>
  </r>
  <r>
    <s v="REBECA"/>
    <x v="757"/>
    <x v="350"/>
    <x v="49"/>
    <s v="COSMÉTICO"/>
    <x v="239"/>
    <s v="CAMISETA MALHA PV - XG"/>
    <s v="CAMISETA"/>
    <s v="LEVE"/>
    <n v="5"/>
    <n v="37"/>
    <n v="185"/>
    <n v="92.5"/>
    <d v="2026-07-22T00:00:00"/>
    <n v="30"/>
    <m/>
    <s v="ENTREGUE"/>
    <n v="1.25"/>
    <n v="1.25"/>
    <n v="7.5"/>
    <n v="7.5"/>
    <n v="2.5"/>
  </r>
  <r>
    <s v="REBECA"/>
    <x v="758"/>
    <x v="351"/>
    <x v="49"/>
    <s v="HAVANNA"/>
    <x v="285"/>
    <s v="CAMISETA MALHA 100% ALGODÃO"/>
    <s v="CAMISETA"/>
    <s v="LEVE"/>
    <n v="4"/>
    <n v="36.75"/>
    <n v="147"/>
    <n v="73.5"/>
    <d v="2026-06-25T00:00:00"/>
    <n v="26"/>
    <m/>
    <s v="ENTREGUE"/>
    <n v="1"/>
    <n v="1"/>
    <n v="6"/>
    <n v="6"/>
    <n v="2"/>
  </r>
  <r>
    <s v="REBECA"/>
    <x v="758"/>
    <x v="351"/>
    <x v="49"/>
    <s v="HAVANNA"/>
    <x v="285"/>
    <s v="CAMISETA MALHA 100% ALGODÃO"/>
    <s v="CAMISETA"/>
    <s v="LEVE"/>
    <n v="1"/>
    <n v="45"/>
    <n v="45"/>
    <n v="22.5"/>
    <d v="2026-06-25T00:00:00"/>
    <n v="26"/>
    <m/>
    <s v="ENTREGUE"/>
    <n v="0.25"/>
    <n v="0.25"/>
    <n v="1.5"/>
    <n v="1.5"/>
    <n v="0.5"/>
  </r>
  <r>
    <s v="LETICIA"/>
    <x v="759"/>
    <x v="352"/>
    <x v="50"/>
    <s v="COSMÉTICO"/>
    <x v="337"/>
    <s v="AVENTAL OXFORD MODELO PADRÃO"/>
    <s v="AVENTAL"/>
    <s v="LEVE"/>
    <n v="100"/>
    <n v="14.99"/>
    <n v="1499"/>
    <n v="749.5"/>
    <d v="2026-07-24T00:00:00"/>
    <n v="30"/>
    <m/>
    <s v="ENTREGUE"/>
    <n v="25"/>
    <n v="25"/>
    <n v="150"/>
    <n v="150"/>
    <n v="50"/>
  </r>
  <r>
    <s v="REBECA"/>
    <x v="760"/>
    <x v="352"/>
    <x v="50"/>
    <s v="COSMÉTICO"/>
    <x v="178"/>
    <s v="AVENTAL OXFORD MODELO PADRÃO"/>
    <s v="AVENTAL"/>
    <s v="LEVE"/>
    <n v="500"/>
    <n v="12.99"/>
    <n v="6495"/>
    <n v="3247.5"/>
    <d v="2026-07-28T00:00:00"/>
    <n v="31"/>
    <m/>
    <s v="ENTREGUE"/>
    <n v="125"/>
    <n v="125"/>
    <n v="750"/>
    <n v="750"/>
    <n v="250"/>
  </r>
  <r>
    <s v="REBECA"/>
    <x v="760"/>
    <x v="352"/>
    <x v="50"/>
    <s v="COSMÉTICO"/>
    <x v="178"/>
    <s v="CAPA DE CORTE TACTEL"/>
    <s v="CAPA DE CORTE"/>
    <s v="LEVE"/>
    <n v="500"/>
    <n v="15"/>
    <n v="7500"/>
    <n v="3750"/>
    <d v="2026-07-28T00:00:00"/>
    <n v="31"/>
    <m/>
    <s v="ENTREGUE"/>
    <n v="125"/>
    <n v="125"/>
    <n v="750"/>
    <n v="750"/>
    <n v="250"/>
  </r>
  <r>
    <s v="REBECA"/>
    <x v="760"/>
    <x v="352"/>
    <x v="50"/>
    <s v="COSMÉTICO"/>
    <x v="178"/>
    <s v="AVENTAL BARBEIRO COURO SINTETICO "/>
    <s v="AVENTAL"/>
    <s v="PESADA"/>
    <n v="50"/>
    <n v="67"/>
    <n v="3350"/>
    <n v="1675"/>
    <d v="2026-07-28T00:00:00"/>
    <n v="31"/>
    <m/>
    <s v="ENTREGUE"/>
    <n v="12.5"/>
    <n v="12.5"/>
    <n v="75"/>
    <n v="75"/>
    <n v="25"/>
  </r>
  <r>
    <s v="REBECA"/>
    <x v="761"/>
    <x v="352"/>
    <x v="50"/>
    <s v="HAVANNA"/>
    <x v="338"/>
    <s v="CAMISETA MALHA 100% ALGODÃO"/>
    <s v="CAMISETA"/>
    <s v="LEVE"/>
    <n v="3"/>
    <n v="36.75"/>
    <n v="110.25"/>
    <n v="0"/>
    <d v="2026-07-20T00:00:00"/>
    <n v="30"/>
    <m/>
    <s v="ENTREGUE"/>
    <n v="0.75"/>
    <n v="0.75"/>
    <n v="4.5"/>
    <n v="4.5"/>
    <n v="1.5"/>
  </r>
  <r>
    <s v="REBECA"/>
    <x v="761"/>
    <x v="352"/>
    <x v="50"/>
    <s v="HAVANNA"/>
    <x v="338"/>
    <s v="FAIXA DE CABELO"/>
    <s v="FAIXA"/>
    <s v="LEVE"/>
    <n v="1"/>
    <n v="21"/>
    <n v="21"/>
    <n v="0"/>
    <d v="2026-07-20T00:00:00"/>
    <n v="30"/>
    <m/>
    <s v="ENTREGUE"/>
    <n v="0.25"/>
    <n v="0.25"/>
    <n v="1.5"/>
    <n v="1.5"/>
    <n v="0.5"/>
  </r>
  <r>
    <s v="LETICIA"/>
    <x v="762"/>
    <x v="353"/>
    <x v="50"/>
    <s v="COMÉRCIO"/>
    <x v="40"/>
    <s v="NECESSAIRE NY PLASTIFICADO"/>
    <s v="NECESSAIRE"/>
    <s v="PESADA"/>
    <n v="300"/>
    <n v="23"/>
    <n v="6900"/>
    <n v="6900"/>
    <d v="2026-08-17T00:00:00"/>
    <n v="34"/>
    <m/>
    <s v="ENTREGUE"/>
    <m/>
    <m/>
    <m/>
    <m/>
    <m/>
  </r>
  <r>
    <s v="LETICIA"/>
    <x v="82"/>
    <x v="354"/>
    <x v="50"/>
    <s v="COSMÉTICO"/>
    <x v="171"/>
    <s v="CAMISETA MALHA 100% ALGODÃO"/>
    <s v="CAMISETA"/>
    <s v="LEVE"/>
    <n v="150"/>
    <n v="28"/>
    <n v="4200"/>
    <n v="4200"/>
    <d v="2026-07-29T00:00:00"/>
    <n v="31"/>
    <m/>
    <s v="ENTREGUE"/>
    <n v="300"/>
    <n v="0"/>
    <n v="450"/>
    <n v="150"/>
    <n v="900"/>
  </r>
  <r>
    <s v="LETICIA"/>
    <x v="763"/>
    <x v="354"/>
    <x v="50"/>
    <s v="PET"/>
    <x v="1"/>
    <s v="AVENTAL NY EMBORRACHADO"/>
    <s v="AVENTAL"/>
    <s v="LEVE"/>
    <n v="3000"/>
    <n v="23.5"/>
    <n v="70500"/>
    <n v="70500"/>
    <d v="2026-08-06T00:00:00"/>
    <n v="32"/>
    <m/>
    <s v="ENTREGUE"/>
    <m/>
    <m/>
    <m/>
    <m/>
    <m/>
  </r>
  <r>
    <s v="LETICIA"/>
    <x v="764"/>
    <x v="354"/>
    <x v="50"/>
    <s v="COSMÉTICO"/>
    <x v="131"/>
    <s v="CAPA DE CORTE CETIM"/>
    <s v="CAPA DE CORTE"/>
    <s v="LEVE"/>
    <n v="100"/>
    <n v="15.6"/>
    <n v="1560"/>
    <n v="1560"/>
    <d v="2026-07-29T00:00:00"/>
    <n v="31"/>
    <m/>
    <s v="ENTREGUE"/>
    <m/>
    <m/>
    <m/>
    <m/>
    <m/>
  </r>
  <r>
    <s v="LETICIA"/>
    <x v="764"/>
    <x v="354"/>
    <x v="50"/>
    <s v="COSMÉTICO"/>
    <x v="131"/>
    <s v="AVENTAL OXFORD MODELO PADRÃO"/>
    <s v="AVENTAL"/>
    <s v="LEVE"/>
    <n v="100"/>
    <n v="14.99"/>
    <n v="1499"/>
    <n v="1499"/>
    <d v="2026-07-29T00:00:00"/>
    <n v="31"/>
    <m/>
    <s v="ENTREGUE"/>
    <m/>
    <m/>
    <m/>
    <m/>
    <m/>
  </r>
  <r>
    <s v="LETICIA"/>
    <x v="80"/>
    <x v="354"/>
    <x v="50"/>
    <s v="PET"/>
    <x v="339"/>
    <s v="AVENTAL NY EMBORRACHADO"/>
    <s v="AVENTAL"/>
    <s v="LEVE "/>
    <n v="100"/>
    <n v="21.99"/>
    <n v="2199"/>
    <n v="1099.5"/>
    <d v="2026-07-30T00:00:00"/>
    <n v="31"/>
    <m/>
    <s v="ENTREGUE"/>
    <m/>
    <m/>
    <m/>
    <m/>
    <m/>
  </r>
  <r>
    <s v="LETICIA"/>
    <x v="765"/>
    <x v="355"/>
    <x v="50"/>
    <s v="COSMÉTICO"/>
    <x v="340"/>
    <s v="AVENTAL BARBEIRO COURO SINTETICO "/>
    <s v="AVENTAL"/>
    <s v="PESADA"/>
    <n v="100"/>
    <n v="53.5"/>
    <n v="5350"/>
    <n v="5350"/>
    <d v="2026-07-13T00:00:00"/>
    <n v="29"/>
    <m/>
    <s v="ENTREGUE"/>
    <m/>
    <m/>
    <m/>
    <m/>
    <m/>
  </r>
  <r>
    <s v="REBECA"/>
    <x v="766"/>
    <x v="355"/>
    <x v="50"/>
    <s v="PET"/>
    <x v="276"/>
    <s v="NECESSAIRE MALETA"/>
    <s v="NECESSAIRE"/>
    <s v="PESADA"/>
    <n v="150"/>
    <n v="22"/>
    <n v="3300"/>
    <n v="0"/>
    <d v="2026-07-31T00:00:00"/>
    <n v="31"/>
    <m/>
    <s v="ENTREGUE"/>
    <m/>
    <m/>
    <m/>
    <m/>
    <m/>
  </r>
  <r>
    <s v="REBECA"/>
    <x v="766"/>
    <x v="355"/>
    <x v="50"/>
    <s v="PET"/>
    <x v="276"/>
    <s v="NECESSAIRE CRISTAL"/>
    <s v="NECESSAIRE"/>
    <s v="PESADA"/>
    <n v="200"/>
    <n v="10.9"/>
    <n v="2180"/>
    <n v="0"/>
    <d v="2026-07-31T00:00:00"/>
    <n v="31"/>
    <m/>
    <s v="ENTREGUE"/>
    <m/>
    <m/>
    <m/>
    <m/>
    <m/>
  </r>
  <r>
    <s v="REBECA"/>
    <x v="766"/>
    <x v="355"/>
    <x v="50"/>
    <s v="PET"/>
    <x v="276"/>
    <s v="SACOLA TNT LAMINADO"/>
    <s v="SACOLA"/>
    <s v="PESADA"/>
    <n v="300"/>
    <n v="15.8"/>
    <n v="4740"/>
    <n v="0"/>
    <d v="2026-07-31T00:00:00"/>
    <n v="31"/>
    <n v="5"/>
    <s v="ENTREGUE"/>
    <m/>
    <m/>
    <m/>
    <m/>
    <m/>
  </r>
  <r>
    <s v="REBECA"/>
    <x v="766"/>
    <x v="355"/>
    <x v="50"/>
    <s v="PET"/>
    <x v="276"/>
    <s v="AVENTAL BARBEIRO"/>
    <s v="AVENTAL"/>
    <s v="PESADA"/>
    <n v="100"/>
    <n v="31.5"/>
    <n v="3150"/>
    <n v="0"/>
    <d v="2026-07-31T00:00:00"/>
    <n v="31"/>
    <m/>
    <s v="ENTREGUE"/>
    <m/>
    <m/>
    <m/>
    <m/>
    <m/>
  </r>
  <r>
    <s v="LETICIA"/>
    <x v="767"/>
    <x v="356"/>
    <x v="4"/>
    <s v="COMÉRCIO"/>
    <x v="39"/>
    <s v="SACO ALGODÃO CRU 77AX60L"/>
    <s v="SACO"/>
    <s v="PESADA"/>
    <n v="300"/>
    <n v="16.5"/>
    <n v="4950"/>
    <n v="2475"/>
    <d v="2026-07-31T00:00:00"/>
    <n v="31"/>
    <m/>
    <s v="ENTREGUE"/>
    <m/>
    <m/>
    <m/>
    <m/>
    <m/>
  </r>
  <r>
    <s v="REBECA"/>
    <x v="768"/>
    <x v="356"/>
    <x v="4"/>
    <s v="PET"/>
    <x v="341"/>
    <s v="AVENTAL NY EMBORRACHADO"/>
    <s v="AVENTAL"/>
    <s v="LEVE"/>
    <n v="200"/>
    <n v="21.99"/>
    <n v="4398"/>
    <n v="2199"/>
    <d v="2026-07-24T00:00:00"/>
    <n v="30"/>
    <m/>
    <s v="ENTREGUE"/>
    <m/>
    <m/>
    <m/>
    <m/>
    <m/>
  </r>
  <r>
    <s v="LETICIA"/>
    <x v="52"/>
    <x v="356"/>
    <x v="4"/>
    <s v="COSMÉTICO"/>
    <x v="342"/>
    <s v="POLO PIQUET"/>
    <s v="POLO"/>
    <s v="LEVE"/>
    <n v="50"/>
    <n v="75"/>
    <n v="3750"/>
    <n v="3750"/>
    <d v="2026-07-31T00:00:00"/>
    <n v="31"/>
    <m/>
    <s v="ENTREGUE"/>
    <m/>
    <m/>
    <m/>
    <m/>
    <m/>
  </r>
  <r>
    <s v="LETICIA"/>
    <x v="769"/>
    <x v="357"/>
    <x v="4"/>
    <s v="PET"/>
    <x v="343"/>
    <s v="AVENTAL NY EMBORRACHADO"/>
    <s v="AVENTAL"/>
    <s v="LEVE"/>
    <n v="100"/>
    <n v="25"/>
    <n v="2500"/>
    <n v="1250"/>
    <d v="2026-07-27T00:00:00"/>
    <n v="31"/>
    <m/>
    <s v="ENTREGUE"/>
    <m/>
    <m/>
    <m/>
    <m/>
    <m/>
  </r>
  <r>
    <s v="REBECA"/>
    <x v="770"/>
    <x v="357"/>
    <x v="4"/>
    <s v="HAVANNA"/>
    <x v="344"/>
    <s v="AVENTAL OXFORD MODELO PADRÃO"/>
    <s v="AVENTAL"/>
    <s v="LEVE"/>
    <n v="2"/>
    <n v="25"/>
    <n v="50"/>
    <n v="25"/>
    <d v="2026-07-24T00:00:00"/>
    <n v="30"/>
    <m/>
    <s v="ENTREGUE"/>
    <m/>
    <m/>
    <m/>
    <m/>
    <m/>
  </r>
  <r>
    <s v="REBECA"/>
    <x v="770"/>
    <x v="357"/>
    <x v="4"/>
    <s v="HAVANNA"/>
    <x v="344"/>
    <s v="CAMISETA MALHA 100% ALGODÃO"/>
    <s v="CAMISETA"/>
    <s v="LEVE"/>
    <n v="10"/>
    <n v="36.75"/>
    <n v="367.5"/>
    <n v="183.75"/>
    <d v="2026-07-24T00:00:00"/>
    <n v="30"/>
    <m/>
    <s v="ENTREGUE"/>
    <m/>
    <m/>
    <m/>
    <m/>
    <m/>
  </r>
  <r>
    <s v="REBECA"/>
    <x v="771"/>
    <x v="358"/>
    <x v="4"/>
    <s v="COSMÉTICO"/>
    <x v="82"/>
    <s v="CAPA DE CORTE CETIM"/>
    <s v="CAPA DE CORTE"/>
    <s v="LEVE"/>
    <n v="50"/>
    <n v="29.99"/>
    <n v="1499.5"/>
    <n v="749.75"/>
    <d v="2026-08-07T00:00:00"/>
    <n v="32"/>
    <m/>
    <s v="ENTREGUE"/>
    <m/>
    <m/>
    <m/>
    <m/>
    <m/>
  </r>
  <r>
    <s v="LETICIA"/>
    <x v="83"/>
    <x v="358"/>
    <x v="4"/>
    <s v="COMÉRCIO"/>
    <x v="345"/>
    <s v="CAMISETA MALHA PV"/>
    <s v="CAMISETA"/>
    <s v="LEVE"/>
    <n v="12"/>
    <n v="45"/>
    <n v="540"/>
    <n v="270"/>
    <d v="2026-08-07T00:00:00"/>
    <n v="32"/>
    <m/>
    <s v="ENTREGUE"/>
    <m/>
    <m/>
    <m/>
    <m/>
    <m/>
  </r>
  <r>
    <s v="LETICIA"/>
    <x v="83"/>
    <x v="358"/>
    <x v="4"/>
    <s v="COMÉRCIO"/>
    <x v="345"/>
    <s v="POLO PIQUET"/>
    <s v="POLO"/>
    <s v="LEVE"/>
    <n v="30"/>
    <n v="75"/>
    <n v="2250"/>
    <n v="1125"/>
    <d v="2026-08-07T00:00:00"/>
    <n v="32"/>
    <m/>
    <s v="ENTREGUE"/>
    <m/>
    <m/>
    <m/>
    <m/>
    <m/>
  </r>
  <r>
    <s v="REBECA"/>
    <x v="772"/>
    <x v="358"/>
    <x v="4"/>
    <s v="COMÉRCIO"/>
    <x v="174"/>
    <s v="AVENTAL OXFORD MODELO PADRÃO"/>
    <s v="AVENTAL"/>
    <s v="LEVE"/>
    <n v="50"/>
    <n v="20"/>
    <n v="1000"/>
    <n v="500"/>
    <d v="2026-08-08T00:00:00"/>
    <n v="32"/>
    <m/>
    <s v="ENTREGUE"/>
    <m/>
    <m/>
    <m/>
    <m/>
    <m/>
  </r>
  <r>
    <s v="REBECA"/>
    <x v="773"/>
    <x v="358"/>
    <x v="4"/>
    <s v="COSMÉTICO"/>
    <x v="346"/>
    <s v="CAPA DE CORTE CETIM"/>
    <s v="CAPA DE CORTE"/>
    <s v="LEVE"/>
    <n v="50"/>
    <n v="18.5"/>
    <n v="925"/>
    <n v="462.5"/>
    <d v="2026-08-10T00:00:00"/>
    <n v="33"/>
    <m/>
    <s v="ENTREGUE"/>
    <m/>
    <m/>
    <m/>
    <m/>
    <m/>
  </r>
  <r>
    <s v="LETICIA"/>
    <x v="774"/>
    <x v="359"/>
    <x v="4"/>
    <s v="COSMÉTICO"/>
    <x v="0"/>
    <s v="AVENTAL OXFORD MODELO PADRÃO"/>
    <s v="AVENTAL"/>
    <s v="LEVE"/>
    <n v="500"/>
    <n v="14"/>
    <n v="7000"/>
    <n v="3500"/>
    <d v="2026-08-07T00:00:00"/>
    <n v="32"/>
    <m/>
    <s v="ENTREGUE"/>
    <m/>
    <m/>
    <m/>
    <m/>
    <m/>
  </r>
  <r>
    <s v="LETICIA"/>
    <x v="774"/>
    <x v="359"/>
    <x v="4"/>
    <s v="COSMÉTICO"/>
    <x v="0"/>
    <s v="CAPA DE CORTE MODELO PADRÃO"/>
    <s v="CAPA DE CORTE"/>
    <s v="LEVE"/>
    <n v="500"/>
    <n v="24.5"/>
    <n v="12250"/>
    <n v="6125"/>
    <d v="2026-08-07T00:00:00"/>
    <n v="32"/>
    <m/>
    <s v="ENTREGUE"/>
    <m/>
    <m/>
    <m/>
    <m/>
    <m/>
  </r>
  <r>
    <s v="LETICIA"/>
    <x v="774"/>
    <x v="359"/>
    <x v="4"/>
    <s v="COSMÉTICO"/>
    <x v="0"/>
    <s v="KIMONO TACTEL"/>
    <s v="KIMONO"/>
    <s v="LEVE"/>
    <n v="500"/>
    <n v="24.5"/>
    <n v="12250"/>
    <n v="6125"/>
    <d v="2026-08-07T00:00:00"/>
    <n v="32"/>
    <m/>
    <s v="ENTREGUE"/>
    <m/>
    <m/>
    <m/>
    <m/>
    <m/>
  </r>
  <r>
    <s v="LETICIA"/>
    <x v="774"/>
    <x v="359"/>
    <x v="4"/>
    <s v="COSMÉTICO"/>
    <x v="0"/>
    <s v="CAMISETA MALHA PV"/>
    <s v="CAMISETA"/>
    <s v="LEVE"/>
    <n v="50"/>
    <n v="22.5"/>
    <n v="1125"/>
    <n v="562.5"/>
    <d v="2026-08-07T00:00:00"/>
    <n v="32"/>
    <m/>
    <s v="ENTREGUE"/>
    <m/>
    <m/>
    <m/>
    <m/>
    <m/>
  </r>
  <r>
    <s v="LETICIA"/>
    <x v="87"/>
    <x v="359"/>
    <x v="4"/>
    <s v="COSMÉTICO"/>
    <x v="0"/>
    <s v="CAPA DE CORTE TACTEL"/>
    <s v="CAPA DE CORTE"/>
    <s v="LEVE"/>
    <n v="200"/>
    <n v="24.5"/>
    <n v="4900"/>
    <n v="2450"/>
    <d v="2026-08-07T00:00:00"/>
    <n v="32"/>
    <m/>
    <s v="ENTREGUE"/>
    <m/>
    <m/>
    <m/>
    <m/>
    <m/>
  </r>
  <r>
    <s v="LETICIA"/>
    <x v="87"/>
    <x v="359"/>
    <x v="4"/>
    <s v="COSMÉTICO"/>
    <x v="0"/>
    <s v="AVENTAL OXFORD MODELO PADRÃO"/>
    <s v="AVENTAL"/>
    <s v="LEVE"/>
    <n v="500"/>
    <n v="14"/>
    <n v="7000"/>
    <n v="3500"/>
    <d v="2026-08-07T00:00:00"/>
    <n v="32"/>
    <m/>
    <s v="ENTREGUE"/>
    <m/>
    <m/>
    <m/>
    <m/>
    <m/>
  </r>
  <r>
    <s v="LETICIA"/>
    <x v="87"/>
    <x v="359"/>
    <x v="4"/>
    <s v="COSMÉTICO"/>
    <x v="0"/>
    <s v="KIMONO TACTEL"/>
    <s v="KIMONO"/>
    <s v="LEVE"/>
    <n v="500"/>
    <n v="24.5"/>
    <n v="12250"/>
    <n v="6125"/>
    <d v="2026-08-07T00:00:00"/>
    <n v="32"/>
    <m/>
    <s v="ENTREGUE"/>
    <m/>
    <m/>
    <m/>
    <m/>
    <m/>
  </r>
  <r>
    <s v="LETICIA"/>
    <x v="87"/>
    <x v="359"/>
    <x v="4"/>
    <s v="COSMÉTICO"/>
    <x v="0"/>
    <s v="CAMISETA MALHA PV"/>
    <s v="CAMISETA"/>
    <s v="LEVE"/>
    <n v="200"/>
    <n v="22.5"/>
    <n v="4500"/>
    <n v="2250"/>
    <d v="2026-08-07T00:00:00"/>
    <n v="32"/>
    <m/>
    <s v="ENTREGUE"/>
    <m/>
    <m/>
    <m/>
    <m/>
    <m/>
  </r>
  <r>
    <s v="LETICIA"/>
    <x v="570"/>
    <x v="359"/>
    <x v="4"/>
    <s v="COSMÉTICO"/>
    <x v="0"/>
    <s v="CAPA DE CORTE TACTEL"/>
    <s v="CAPA DE CORTE"/>
    <s v="LEVE"/>
    <n v="500"/>
    <n v="24.5"/>
    <n v="12250"/>
    <n v="6125"/>
    <d v="2026-08-07T00:00:00"/>
    <n v="32"/>
    <m/>
    <s v="ENTREGUE"/>
    <m/>
    <m/>
    <m/>
    <m/>
    <m/>
  </r>
  <r>
    <s v="LETICIA"/>
    <x v="570"/>
    <x v="359"/>
    <x v="4"/>
    <s v="COSMÉTICO"/>
    <x v="0"/>
    <s v="KIMONO TACTEL"/>
    <s v="KIMONO"/>
    <s v="LEVE"/>
    <n v="500"/>
    <n v="24.5"/>
    <n v="12250"/>
    <n v="6125"/>
    <d v="2026-08-07T00:00:00"/>
    <n v="32"/>
    <m/>
    <s v="ENTREGUE"/>
    <m/>
    <m/>
    <m/>
    <m/>
    <m/>
  </r>
  <r>
    <s v="LETICIA"/>
    <x v="775"/>
    <x v="360"/>
    <x v="5"/>
    <s v="COSMÉTICO"/>
    <x v="189"/>
    <s v="CAMISETA MALHA 100% ALGODÃO"/>
    <s v="CAMISETA"/>
    <s v="LEVE"/>
    <n v="100"/>
    <n v="28"/>
    <n v="2800"/>
    <n v="1400"/>
    <d v="2026-08-10T00:00:00"/>
    <n v="33"/>
    <m/>
    <s v="ENTREGUE"/>
    <m/>
    <m/>
    <m/>
    <m/>
    <m/>
  </r>
  <r>
    <s v="LETICIA"/>
    <x v="776"/>
    <x v="360"/>
    <x v="5"/>
    <s v="PET"/>
    <x v="347"/>
    <s v="AVENTAL NY EMBORRACHADO"/>
    <s v="AVENTAL"/>
    <s v="LEVE"/>
    <n v="300"/>
    <n v="23.5"/>
    <n v="7050"/>
    <n v="7050"/>
    <d v="2026-08-16T00:00:00"/>
    <n v="34"/>
    <m/>
    <s v="ENTREGUE"/>
    <m/>
    <m/>
    <m/>
    <m/>
    <m/>
  </r>
  <r>
    <s v="REBECA"/>
    <x v="777"/>
    <x v="360"/>
    <x v="5"/>
    <s v="COSMÉTICO"/>
    <x v="202"/>
    <s v="SACOLA ALGODÃO"/>
    <s v="SACOLA"/>
    <s v="LEVE"/>
    <n v="100"/>
    <n v="14.9"/>
    <n v="1490"/>
    <n v="1490"/>
    <d v="2026-07-23T00:00:00"/>
    <n v="30"/>
    <m/>
    <s v="ENTREGUE"/>
    <m/>
    <m/>
    <m/>
    <m/>
    <m/>
  </r>
  <r>
    <s v="REBECA"/>
    <x v="777"/>
    <x v="360"/>
    <x v="5"/>
    <s v="COSMÉTICO"/>
    <x v="202"/>
    <s v="KIMONO TACTEL"/>
    <s v="KIMONO"/>
    <s v="LEVE"/>
    <n v="10"/>
    <n v="55"/>
    <n v="550"/>
    <n v="550"/>
    <d v="2026-07-23T00:00:00"/>
    <n v="30"/>
    <m/>
    <s v="ENTREGUE"/>
    <m/>
    <m/>
    <m/>
    <m/>
    <m/>
  </r>
  <r>
    <s v="REBECA"/>
    <x v="778"/>
    <x v="361"/>
    <x v="5"/>
    <s v="PET"/>
    <x v="161"/>
    <s v="AVENTAL NY EMBORRACHADO"/>
    <s v="AVENTAL"/>
    <s v="LEVE"/>
    <n v="100"/>
    <n v="21.99"/>
    <n v="2199"/>
    <n v="1099.5"/>
    <d v="2026-08-11T00:00:00"/>
    <n v="33"/>
    <m/>
    <s v="ENTREGUE"/>
    <m/>
    <m/>
    <m/>
    <m/>
    <m/>
  </r>
  <r>
    <s v="REBECA"/>
    <x v="778"/>
    <x v="361"/>
    <x v="5"/>
    <s v="PET"/>
    <x v="161"/>
    <s v="NECESSAIRE CRISTAL C/TESTEIRA"/>
    <s v="NECESSAIRE"/>
    <s v="LEVE"/>
    <n v="100"/>
    <n v="9.9"/>
    <n v="990"/>
    <n v="495"/>
    <d v="2026-08-11T00:00:00"/>
    <n v="33"/>
    <m/>
    <s v="ENTREGUE"/>
    <m/>
    <m/>
    <m/>
    <m/>
    <m/>
  </r>
  <r>
    <s v="LETICIA"/>
    <x v="779"/>
    <x v="362"/>
    <x v="5"/>
    <s v="EDITORA"/>
    <x v="348"/>
    <s v="CAMISETA MALHA PV"/>
    <s v="CAMISETA"/>
    <s v="LEVE"/>
    <n v="240"/>
    <n v="29.5"/>
    <n v="7080"/>
    <n v="3540"/>
    <d v="2026-08-20T00:00:00"/>
    <n v="34"/>
    <m/>
    <s v="ENTREGUE"/>
    <m/>
    <m/>
    <m/>
    <m/>
    <m/>
  </r>
  <r>
    <s v="REBECA"/>
    <x v="780"/>
    <x v="362"/>
    <x v="5"/>
    <s v="COSMÉTICO"/>
    <x v="349"/>
    <s v="AVENTAL OXFORD MODELO PADRÃO"/>
    <s v="AVENTAL"/>
    <s v="LEVE"/>
    <n v="100"/>
    <n v="14.99"/>
    <n v="1499"/>
    <n v="749.5"/>
    <d v="2026-08-12T00:00:00"/>
    <n v="33"/>
    <m/>
    <s v="ENTREGUE"/>
    <m/>
    <m/>
    <m/>
    <m/>
    <m/>
  </r>
  <r>
    <s v="LETICIA"/>
    <x v="756"/>
    <x v="363"/>
    <x v="5"/>
    <s v="COSMÉTICO"/>
    <x v="145"/>
    <s v="CAPA DE CORTE CETIM "/>
    <s v="CAPA DE CORTE"/>
    <s v="LEVE"/>
    <n v="100"/>
    <n v="40"/>
    <n v="4000"/>
    <n v="4000"/>
    <d v="2026-08-20T00:00:00"/>
    <n v="34"/>
    <m/>
    <s v="ENTREGUE"/>
    <m/>
    <m/>
    <m/>
    <m/>
    <m/>
  </r>
  <r>
    <s v="LETICIA"/>
    <x v="756"/>
    <x v="363"/>
    <x v="5"/>
    <s v="COSMÉTICO"/>
    <x v="145"/>
    <s v="CAPA DE CORTE CETIM"/>
    <s v="CAPA DE CORTE"/>
    <s v="LEVE"/>
    <n v="100"/>
    <n v="35"/>
    <n v="3500"/>
    <n v="3500"/>
    <d v="2026-08-20T00:00:00"/>
    <n v="34"/>
    <m/>
    <s v="ENTREGUE"/>
    <m/>
    <m/>
    <m/>
    <m/>
    <m/>
  </r>
  <r>
    <s v="LETICIA"/>
    <x v="756"/>
    <x v="363"/>
    <x v="5"/>
    <s v="COSMÉTICO"/>
    <x v="145"/>
    <s v="KIMONO CETIM"/>
    <s v="KIMONO"/>
    <s v="LEVE"/>
    <n v="100"/>
    <n v="37"/>
    <n v="3700"/>
    <n v="3700"/>
    <d v="2026-08-20T00:00:00"/>
    <n v="34"/>
    <m/>
    <s v="ENTREGUE"/>
    <m/>
    <m/>
    <m/>
    <m/>
    <m/>
  </r>
  <r>
    <s v="REBECA"/>
    <x v="781"/>
    <x v="363"/>
    <x v="5"/>
    <s v="HAVANNA"/>
    <x v="350"/>
    <s v="AVENTAL OXFORD MODELO PADRÃO"/>
    <s v="AVENTAL"/>
    <s v="LEVE"/>
    <n v="5"/>
    <n v="25"/>
    <n v="125"/>
    <n v="0"/>
    <d v="2026-07-16T00:00:00"/>
    <n v="29"/>
    <m/>
    <s v="ENTREGUE"/>
    <m/>
    <m/>
    <m/>
    <m/>
    <m/>
  </r>
  <r>
    <s v="REBECA"/>
    <x v="781"/>
    <x v="363"/>
    <x v="5"/>
    <s v="HAVANNA"/>
    <x v="350"/>
    <s v="CAMISETA MALHA 100% ALGODÃO"/>
    <s v="CAMISETA"/>
    <s v="LEVE"/>
    <n v="3"/>
    <n v="36.75"/>
    <n v="110.25"/>
    <n v="0"/>
    <d v="2026-07-16T00:00:00"/>
    <n v="29"/>
    <m/>
    <s v="ENTREGUE"/>
    <m/>
    <m/>
    <m/>
    <m/>
    <m/>
  </r>
  <r>
    <s v="REBECA"/>
    <x v="781"/>
    <x v="363"/>
    <x v="5"/>
    <s v="HAVANNA"/>
    <x v="350"/>
    <s v="POLO PIQUET"/>
    <s v="POLO"/>
    <s v="LEVE"/>
    <n v="3"/>
    <n v="65"/>
    <n v="195"/>
    <n v="0"/>
    <d v="2026-07-16T00:00:00"/>
    <n v="29"/>
    <m/>
    <s v="ENTREGUE"/>
    <m/>
    <m/>
    <m/>
    <m/>
    <m/>
  </r>
  <r>
    <s v="REBECA"/>
    <x v="781"/>
    <x v="363"/>
    <x v="5"/>
    <s v="HAVANNA"/>
    <x v="350"/>
    <s v="FAIXA DE CABELO"/>
    <s v="FAIXA"/>
    <s v="LEVE"/>
    <n v="5"/>
    <n v="21"/>
    <n v="105"/>
    <n v="0"/>
    <d v="2026-07-16T00:00:00"/>
    <n v="29"/>
    <m/>
    <s v="ENTREGUE"/>
    <m/>
    <m/>
    <m/>
    <m/>
    <m/>
  </r>
  <r>
    <s v="REBECA"/>
    <x v="781"/>
    <x v="363"/>
    <x v="5"/>
    <s v="HAVANNA"/>
    <x v="350"/>
    <s v="CAMISETA MANGA LONGA"/>
    <s v="CAMISETA"/>
    <s v="LEVE"/>
    <n v="3"/>
    <n v="47.5"/>
    <n v="142.5"/>
    <n v="0"/>
    <d v="2026-07-16T00:00:00"/>
    <n v="29"/>
    <m/>
    <s v="ENTREGUE"/>
    <m/>
    <m/>
    <m/>
    <m/>
    <m/>
  </r>
  <r>
    <s v="REBECA"/>
    <x v="782"/>
    <x v="363"/>
    <x v="5"/>
    <s v="HAVANNA"/>
    <x v="351"/>
    <s v="CAMISETA MALHA 100% ALGODÃO"/>
    <s v="CAMISETA"/>
    <s v="LEVE"/>
    <n v="12"/>
    <n v="36.75"/>
    <n v="441"/>
    <n v="220.5"/>
    <d v="2026-08-07T00:00:00"/>
    <n v="32"/>
    <m/>
    <s v="ENTREGUE"/>
    <m/>
    <m/>
    <m/>
    <m/>
    <m/>
  </r>
  <r>
    <s v="REBECA"/>
    <x v="782"/>
    <x v="363"/>
    <x v="5"/>
    <s v="HAVANNA"/>
    <x v="351"/>
    <s v="FAIXA DE CABELO"/>
    <s v="FAIXA"/>
    <s v="LEVE"/>
    <n v="6"/>
    <n v="21"/>
    <n v="126"/>
    <n v="63"/>
    <d v="2026-08-07T00:00:00"/>
    <n v="32"/>
    <m/>
    <s v="ENTREGUE"/>
    <m/>
    <m/>
    <m/>
    <m/>
    <m/>
  </r>
  <r>
    <s v="REBECA"/>
    <x v="782"/>
    <x v="363"/>
    <x v="5"/>
    <s v="HAVANNA"/>
    <x v="351"/>
    <s v="AVENTAL OXFORD MODELO PADRÃO"/>
    <s v="AVENTAL"/>
    <s v="LEVE"/>
    <n v="5"/>
    <n v="25"/>
    <n v="125"/>
    <n v="62.5"/>
    <d v="2026-08-07T00:00:00"/>
    <n v="32"/>
    <m/>
    <s v="ENTREGUE"/>
    <m/>
    <m/>
    <m/>
    <m/>
    <m/>
  </r>
  <r>
    <s v="REBECA"/>
    <x v="782"/>
    <x v="363"/>
    <x v="5"/>
    <s v="HAVANNA"/>
    <x v="351"/>
    <s v="POLO PIQUET"/>
    <s v="POLO"/>
    <s v="LEVE"/>
    <n v="2"/>
    <n v="65"/>
    <n v="130"/>
    <n v="65"/>
    <d v="2026-08-07T00:00:00"/>
    <n v="32"/>
    <m/>
    <s v="ENTREGUE"/>
    <m/>
    <m/>
    <m/>
    <m/>
    <m/>
  </r>
  <r>
    <s v="REBECA"/>
    <x v="783"/>
    <x v="364"/>
    <x v="5"/>
    <s v="COSMÉTICO"/>
    <x v="352"/>
    <s v="AVENTAL OXFORD MODELO PADRÃO"/>
    <s v="AVENTAL"/>
    <s v="LEVE"/>
    <n v="100"/>
    <n v="14.99"/>
    <n v="1499"/>
    <n v="749.5"/>
    <d v="2026-08-14T00:00:00"/>
    <n v="33"/>
    <m/>
    <s v="ENTREGUE"/>
    <m/>
    <m/>
    <m/>
    <m/>
    <m/>
  </r>
  <r>
    <s v="REBECA"/>
    <x v="783"/>
    <x v="364"/>
    <x v="5"/>
    <s v="COSMÉTICO"/>
    <x v="352"/>
    <s v="CAPA DE CORTE TACTEL"/>
    <s v="CAPA DE CORTE"/>
    <s v="LEVE"/>
    <n v="100"/>
    <n v="15.6"/>
    <n v="1560"/>
    <n v="780"/>
    <d v="2026-08-14T00:00:00"/>
    <n v="33"/>
    <m/>
    <s v="ENTREGUE"/>
    <m/>
    <m/>
    <m/>
    <m/>
    <m/>
  </r>
  <r>
    <s v="LETICIA"/>
    <x v="784"/>
    <x v="365"/>
    <x v="6"/>
    <s v="PET"/>
    <x v="347"/>
    <s v="JALECO GROOMER"/>
    <s v="JALECO"/>
    <s v="PESADA"/>
    <n v="100"/>
    <n v="45"/>
    <n v="4500"/>
    <n v="2250"/>
    <d v="2026-08-18T00:00:00"/>
    <n v="34"/>
    <m/>
    <s v="ENTREGUE"/>
    <m/>
    <m/>
    <m/>
    <m/>
    <m/>
  </r>
  <r>
    <s v="REBECA"/>
    <x v="785"/>
    <x v="365"/>
    <x v="6"/>
    <s v="PET"/>
    <x v="353"/>
    <s v="AVENTAL NY EMBORRACHADO"/>
    <s v="AVENTAL"/>
    <s v="LEVE"/>
    <n v="20"/>
    <n v="55"/>
    <n v="1100"/>
    <n v="550"/>
    <d v="2026-08-17T00:00:00"/>
    <n v="34"/>
    <m/>
    <s v="ENTREGUE"/>
    <m/>
    <m/>
    <m/>
    <m/>
    <m/>
  </r>
  <r>
    <s v="REBECA"/>
    <x v="786"/>
    <x v="365"/>
    <x v="6"/>
    <s v="COSMÉTICO"/>
    <x v="354"/>
    <s v="AVENTAL BARBEIRO COURO SINTETICO "/>
    <s v="AVENTAL"/>
    <s v="PESADA"/>
    <n v="10"/>
    <n v="100"/>
    <n v="1000"/>
    <n v="500"/>
    <d v="2026-08-18T00:00:00"/>
    <n v="34"/>
    <m/>
    <s v="ENTREGUE"/>
    <m/>
    <m/>
    <m/>
    <m/>
    <m/>
  </r>
  <r>
    <s v="REBECA"/>
    <x v="786"/>
    <x v="365"/>
    <x v="6"/>
    <s v="COSMÉTICO"/>
    <x v="354"/>
    <s v="BLUSA DE MOLETOM "/>
    <s v="MOLETOM"/>
    <s v="LEVE"/>
    <n v="10"/>
    <n v="100"/>
    <n v="1000"/>
    <n v="500"/>
    <d v="2026-08-18T00:00:00"/>
    <n v="34"/>
    <m/>
    <s v="ENTREGUE"/>
    <m/>
    <m/>
    <m/>
    <m/>
    <m/>
  </r>
  <r>
    <s v="REBECA"/>
    <x v="786"/>
    <x v="365"/>
    <x v="6"/>
    <s v="COSMÉTICO"/>
    <x v="354"/>
    <s v="NECESSAIRE ENCANTO"/>
    <s v="NECESSAIRE"/>
    <s v="PESADA"/>
    <n v="100"/>
    <n v="19.5"/>
    <n v="1950"/>
    <n v="975"/>
    <d v="2026-08-18T00:00:00"/>
    <n v="34"/>
    <m/>
    <s v="ENTREGUE"/>
    <m/>
    <m/>
    <m/>
    <m/>
    <m/>
  </r>
  <r>
    <s v="REBECA"/>
    <x v="786"/>
    <x v="365"/>
    <x v="6"/>
    <s v="COSMÉTICO"/>
    <x v="354"/>
    <s v="SAQUINHO DE ALGODÃO CRU"/>
    <s v="SAQUINHO"/>
    <s v="PESADA"/>
    <n v="100"/>
    <n v="9.9"/>
    <n v="990"/>
    <n v="495"/>
    <d v="2026-08-18T00:00:00"/>
    <n v="34"/>
    <m/>
    <s v="ENTREGUE"/>
    <m/>
    <m/>
    <m/>
    <m/>
    <m/>
  </r>
  <r>
    <s v="REBECA"/>
    <x v="786"/>
    <x v="365"/>
    <x v="6"/>
    <s v="COSMÉTICO"/>
    <x v="354"/>
    <s v="CAPA DE CORTE TACTEL"/>
    <s v="CAPA DE CORTE"/>
    <s v="LEVE"/>
    <n v="50"/>
    <n v="35"/>
    <n v="1750"/>
    <n v="875"/>
    <d v="2026-08-18T00:00:00"/>
    <n v="34"/>
    <m/>
    <s v="ENTREGUE"/>
    <m/>
    <m/>
    <m/>
    <m/>
    <m/>
  </r>
  <r>
    <s v="REBECA"/>
    <x v="786"/>
    <x v="365"/>
    <x v="6"/>
    <s v="COSMÉTICO"/>
    <x v="354"/>
    <s v="CAPA DE CORTE TACTEL"/>
    <s v="CAPA DE CORTE"/>
    <s v="LEVE"/>
    <n v="50"/>
    <n v="19"/>
    <n v="950"/>
    <n v="475"/>
    <d v="2026-08-18T00:00:00"/>
    <n v="34"/>
    <m/>
    <s v="ENTREGUE"/>
    <m/>
    <m/>
    <m/>
    <m/>
    <m/>
  </r>
  <r>
    <s v="REBECA"/>
    <x v="787"/>
    <x v="366"/>
    <x v="6"/>
    <s v="COSMÉTICO"/>
    <x v="310"/>
    <s v="NECESSAIRE MALETA"/>
    <s v="NECESSAIRE"/>
    <s v="PESADA"/>
    <n v="100"/>
    <n v="18.5"/>
    <n v="1850"/>
    <n v="925"/>
    <d v="2026-08-20T00:00:00"/>
    <n v="34"/>
    <m/>
    <s v="ENTREGUE"/>
    <m/>
    <m/>
    <m/>
    <m/>
    <m/>
  </r>
  <r>
    <s v="LETICIA"/>
    <x v="95"/>
    <x v="366"/>
    <x v="6"/>
    <s v="COSMÉTICO"/>
    <x v="97"/>
    <s v="CAPA DE CORTE"/>
    <s v="CAPA DE CORTE"/>
    <s v="LEVE"/>
    <n v="100"/>
    <n v="32.5"/>
    <n v="3250"/>
    <n v="3250"/>
    <d v="2026-08-20T00:00:00"/>
    <n v="34"/>
    <m/>
    <s v="ENTREGUE"/>
    <m/>
    <m/>
    <m/>
    <m/>
    <m/>
  </r>
  <r>
    <s v="LETICIA"/>
    <x v="95"/>
    <x v="366"/>
    <x v="6"/>
    <s v="COSMÉTICO"/>
    <x v="97"/>
    <s v="AVENTAL POLIESTER"/>
    <s v="AVENTAL"/>
    <s v="LEVE"/>
    <n v="500"/>
    <n v="28.5"/>
    <n v="14250"/>
    <n v="14250"/>
    <d v="2026-08-20T00:00:00"/>
    <n v="34"/>
    <m/>
    <s v="ENTREGUE"/>
    <m/>
    <m/>
    <m/>
    <m/>
    <m/>
  </r>
  <r>
    <s v="REBECA"/>
    <x v="788"/>
    <x v="367"/>
    <x v="6"/>
    <s v="COSMÉTICO"/>
    <x v="349"/>
    <s v="CAPA DE CORTE TACTEL"/>
    <s v="CAPA DE CORTE"/>
    <s v="LEVE"/>
    <n v="100"/>
    <n v="17.5"/>
    <n v="1750"/>
    <n v="875"/>
    <d v="2026-08-12T00:00:00"/>
    <n v="33"/>
    <m/>
    <s v="ENTREGUE"/>
    <m/>
    <m/>
    <m/>
    <m/>
    <m/>
  </r>
  <r>
    <s v="LETICIA"/>
    <x v="96"/>
    <x v="368"/>
    <x v="7"/>
    <s v="COSMÉTICO"/>
    <x v="74"/>
    <s v="AVENTAL OXFORD MODELO PADRÃO"/>
    <s v="AVENTAL"/>
    <s v="LEVE"/>
    <n v="100"/>
    <n v="15"/>
    <n v="1500"/>
    <n v="0"/>
    <d v="2026-08-20T00:00:00"/>
    <n v="34"/>
    <m/>
    <s v="ENTREGUE"/>
    <m/>
    <m/>
    <m/>
    <m/>
    <m/>
  </r>
  <r>
    <s v="LETICIA"/>
    <x v="96"/>
    <x v="368"/>
    <x v="7"/>
    <s v="COSMÉTICO"/>
    <x v="74"/>
    <s v="CAPA DE CORTE CETIM"/>
    <s v="CAPA DE CORTE"/>
    <s v="LEVE"/>
    <n v="100"/>
    <n v="14.6"/>
    <n v="1460"/>
    <n v="960"/>
    <d v="2026-08-20T00:00:00"/>
    <n v="34"/>
    <m/>
    <s v="ENTREGUE"/>
    <m/>
    <m/>
    <m/>
    <m/>
    <m/>
  </r>
  <r>
    <s v="LETICIA"/>
    <x v="789"/>
    <x v="368"/>
    <x v="7"/>
    <s v="COSMÉTICO"/>
    <x v="355"/>
    <s v="CAPA DE CORTE TACTEL"/>
    <s v="CAPA DE CORTE"/>
    <s v="LEVE"/>
    <n v="100"/>
    <n v="17.5"/>
    <n v="1750"/>
    <n v="875"/>
    <d v="2026-08-24T00:00:00"/>
    <n v="35"/>
    <m/>
    <s v="ENTREGUE"/>
    <m/>
    <m/>
    <m/>
    <m/>
    <m/>
  </r>
  <r>
    <s v="LETICIA"/>
    <x v="789"/>
    <x v="368"/>
    <x v="7"/>
    <s v="COSMÉTICO"/>
    <x v="355"/>
    <s v="AVENTAL NYLON LINHO"/>
    <s v="AVENTAL"/>
    <s v="PESADA"/>
    <n v="100"/>
    <n v="67"/>
    <n v="6700"/>
    <n v="3350"/>
    <d v="2026-08-24T00:00:00"/>
    <n v="35"/>
    <m/>
    <s v="ENTREGUE"/>
    <m/>
    <m/>
    <m/>
    <m/>
    <m/>
  </r>
  <r>
    <s v="REBECA"/>
    <x v="790"/>
    <x v="368"/>
    <x v="7"/>
    <s v="HAVANNA"/>
    <x v="356"/>
    <s v="CAMISETA GOLA CARECA MALHA 100% ALGODÃO"/>
    <s v="CAMISETA"/>
    <s v="LEVE"/>
    <n v="4"/>
    <n v="34.909999999999997"/>
    <n v="139.63999999999999"/>
    <m/>
    <d v="2026-07-31T00:00:00"/>
    <n v="31"/>
    <m/>
    <s v="ENTREGUE"/>
    <m/>
    <m/>
    <m/>
    <m/>
    <m/>
  </r>
  <r>
    <s v="REBECA"/>
    <x v="790"/>
    <x v="368"/>
    <x v="7"/>
    <s v="HAVANNA"/>
    <x v="356"/>
    <s v="CAMISETA POLO MALHA PIQUET"/>
    <s v="POLO"/>
    <s v="LEVE"/>
    <n v="2"/>
    <n v="61.75"/>
    <n v="123.5"/>
    <n v="0"/>
    <d v="2026-07-31T00:00:00"/>
    <n v="31"/>
    <m/>
    <s v="ENTREGUE"/>
    <m/>
    <m/>
    <m/>
    <m/>
    <m/>
  </r>
  <r>
    <s v="REBECA"/>
    <x v="790"/>
    <x v="368"/>
    <x v="7"/>
    <s v="HAVANNA"/>
    <x v="356"/>
    <s v="AVENTAL"/>
    <s v="AVENTAL"/>
    <s v="LEVE"/>
    <n v="6"/>
    <n v="23.75"/>
    <n v="142.5"/>
    <n v="0"/>
    <d v="2026-07-31T00:00:00"/>
    <n v="31"/>
    <m/>
    <s v="ENTREGUE"/>
    <m/>
    <m/>
    <m/>
    <m/>
    <m/>
  </r>
  <r>
    <s v="REBECA"/>
    <x v="790"/>
    <x v="368"/>
    <x v="7"/>
    <s v="HAVANNA"/>
    <x v="356"/>
    <s v="CAMISETA MALHA 100% ALGODÃO BABY LOOK"/>
    <s v="CAMISETA"/>
    <s v="LEVE"/>
    <n v="7"/>
    <n v="34.909999999999997"/>
    <n v="244.4"/>
    <n v="0"/>
    <d v="2026-07-31T00:00:00"/>
    <n v="31"/>
    <m/>
    <s v="ENTREGUE"/>
    <m/>
    <m/>
    <m/>
    <m/>
    <m/>
  </r>
  <r>
    <s v="REBECA"/>
    <x v="285"/>
    <x v="369"/>
    <x v="7"/>
    <s v="COSMÉTICO"/>
    <x v="357"/>
    <s v="AVENTAL OXFORD MODELO PADRÃO"/>
    <s v="AVENTAL"/>
    <s v="LEVE"/>
    <n v="50"/>
    <n v="17"/>
    <n v="850"/>
    <n v="425"/>
    <d v="2026-08-24T00:00:00"/>
    <n v="35"/>
    <m/>
    <s v="ENTREGUE"/>
    <m/>
    <m/>
    <m/>
    <m/>
    <m/>
  </r>
  <r>
    <s v="REBECA"/>
    <x v="285"/>
    <x v="369"/>
    <x v="7"/>
    <s v="COSMÉTICO"/>
    <x v="357"/>
    <s v="AVENTAL OXFORD MODELO PADRÃO"/>
    <s v="AVENTAL"/>
    <s v="LEVE"/>
    <n v="50"/>
    <n v="14.3"/>
    <n v="715"/>
    <n v="357.5"/>
    <d v="2026-08-24T00:00:00"/>
    <n v="35"/>
    <m/>
    <s v="ENTREGUE"/>
    <m/>
    <m/>
    <m/>
    <m/>
    <m/>
  </r>
  <r>
    <s v="REBECA"/>
    <x v="317"/>
    <x v="370"/>
    <x v="7"/>
    <s v="COSMÉTICO"/>
    <x v="358"/>
    <s v="AVENTAL OXFORD MODELO PADRÃO"/>
    <s v="AVENTAL"/>
    <s v="LEVE"/>
    <n v="200"/>
    <n v="17"/>
    <n v="3400"/>
    <n v="1700"/>
    <d v="2026-08-25T00:00:00"/>
    <n v="35"/>
    <m/>
    <s v="ENTREGUE"/>
    <m/>
    <m/>
    <m/>
    <m/>
    <m/>
  </r>
  <r>
    <s v="REBECA"/>
    <x v="309"/>
    <x v="370"/>
    <x v="7"/>
    <s v="HAVANNA"/>
    <x v="350"/>
    <s v="CAMISETA POLO MALHA PIQUET"/>
    <s v="POLO"/>
    <s v="LEVE"/>
    <n v="3"/>
    <n v="65"/>
    <n v="195"/>
    <n v="97.5"/>
    <d v="2026-07-31T00:00:00"/>
    <n v="31"/>
    <m/>
    <s v="ENTREGUE"/>
    <m/>
    <m/>
    <m/>
    <m/>
    <m/>
  </r>
  <r>
    <s v="REBECA"/>
    <x v="309"/>
    <x v="370"/>
    <x v="7"/>
    <s v="HAVANNA"/>
    <x v="350"/>
    <s v="CAMISETA GOLA CARECA MALHA 100% ALGODÃO "/>
    <s v="CAMISETA"/>
    <s v="LEVE"/>
    <n v="2"/>
    <n v="36.75"/>
    <n v="73.5"/>
    <n v="36.75"/>
    <d v="2026-07-31T00:00:00"/>
    <n v="31"/>
    <m/>
    <s v="ENTREGUE"/>
    <m/>
    <m/>
    <m/>
    <m/>
    <m/>
  </r>
  <r>
    <s v="LETICIA"/>
    <x v="791"/>
    <x v="370"/>
    <x v="7"/>
    <s v="COSMÉTICO"/>
    <x v="171"/>
    <s v="CAMISETA GOLA CARECA MALHA PV"/>
    <s v="CAMISETA"/>
    <s v="LEVE"/>
    <n v="108"/>
    <n v="29.5"/>
    <n v="3186"/>
    <n v="1593"/>
    <d v="2026-08-28T00:00:00"/>
    <n v="35"/>
    <m/>
    <s v="ENTREGUE"/>
    <m/>
    <m/>
    <m/>
    <m/>
    <m/>
  </r>
  <r>
    <s v="LETICIA"/>
    <x v="791"/>
    <x v="370"/>
    <x v="7"/>
    <s v="COSMÉTICO"/>
    <x v="171"/>
    <s v="CAMISETA MANGA LONGA"/>
    <s v="CAMISETA"/>
    <s v="LEVE"/>
    <n v="45"/>
    <n v="30"/>
    <n v="1350"/>
    <n v="675"/>
    <d v="2026-08-28T00:00:00"/>
    <n v="35"/>
    <m/>
    <s v="ENTREGUE"/>
    <m/>
    <m/>
    <m/>
    <m/>
    <m/>
  </r>
  <r>
    <s v="LETICIA"/>
    <x v="792"/>
    <x v="370"/>
    <x v="7"/>
    <s v="PET"/>
    <x v="44"/>
    <s v="POLO PIQUET"/>
    <s v="POLO"/>
    <s v="LEVE"/>
    <n v="178"/>
    <n v="40"/>
    <n v="7120"/>
    <n v="3560"/>
    <d v="2026-08-07T00:00:00"/>
    <n v="32"/>
    <m/>
    <s v="ENTREGUE"/>
    <m/>
    <m/>
    <m/>
    <m/>
    <m/>
  </r>
  <r>
    <s v="LETICIA"/>
    <x v="792"/>
    <x v="370"/>
    <x v="7"/>
    <s v="PET"/>
    <x v="44"/>
    <s v="POLO PIQUET"/>
    <s v="POLO"/>
    <s v="LEVE"/>
    <n v="82"/>
    <n v="42"/>
    <n v="3444"/>
    <n v="1722"/>
    <d v="2026-08-07T00:00:00"/>
    <n v="32"/>
    <m/>
    <s v="ENTREGUE"/>
    <m/>
    <m/>
    <m/>
    <m/>
    <m/>
  </r>
  <r>
    <s v="LETICIA"/>
    <x v="793"/>
    <x v="370"/>
    <x v="7"/>
    <s v="PET"/>
    <x v="359"/>
    <s v="AVENTAL NY EMBORRACHADO"/>
    <s v="AVENTAL"/>
    <s v="LEVE"/>
    <n v="100"/>
    <n v="25"/>
    <n v="2500"/>
    <n v="1250"/>
    <d v="2026-08-25T00:00:00"/>
    <n v="35"/>
    <m/>
    <s v="ENTREGUE"/>
    <m/>
    <m/>
    <m/>
    <m/>
    <m/>
  </r>
  <r>
    <s v="REBECA"/>
    <x v="320"/>
    <x v="370"/>
    <x v="7"/>
    <s v="HAVANNA"/>
    <x v="164"/>
    <s v="AVENTAL OXFORD MODELO PADRÃO"/>
    <s v="AVENTAL"/>
    <s v="LEVE"/>
    <n v="3"/>
    <n v="25"/>
    <n v="75"/>
    <n v="0"/>
    <d v="2026-08-18T00:00:00"/>
    <n v="34"/>
    <m/>
    <s v="ENTREGUE"/>
    <m/>
    <m/>
    <m/>
    <m/>
    <m/>
  </r>
  <r>
    <s v="REBECA"/>
    <x v="320"/>
    <x v="370"/>
    <x v="7"/>
    <s v="HAVANNA"/>
    <x v="164"/>
    <s v="CAMISETA MALHA 100% ALGODÃO BABY LOOK"/>
    <s v="CAMISETA"/>
    <s v="LEVE"/>
    <n v="5"/>
    <n v="36.75"/>
    <n v="183.75"/>
    <n v="0"/>
    <d v="2026-08-18T00:00:00"/>
    <n v="34"/>
    <m/>
    <s v="ENTREGUE"/>
    <m/>
    <m/>
    <m/>
    <m/>
    <m/>
  </r>
  <r>
    <s v="REBECA"/>
    <x v="320"/>
    <x v="370"/>
    <x v="7"/>
    <s v="HAVANNA"/>
    <x v="164"/>
    <s v="FAIXA DE CABELO"/>
    <s v="FAIXA"/>
    <s v="LEVE"/>
    <n v="3"/>
    <n v="21"/>
    <n v="63"/>
    <n v="0"/>
    <d v="2026-08-18T00:00:00"/>
    <n v="34"/>
    <m/>
    <s v="ENTREGUE"/>
    <m/>
    <m/>
    <m/>
    <m/>
    <m/>
  </r>
  <r>
    <s v="LETICIA"/>
    <x v="318"/>
    <x v="370"/>
    <x v="7"/>
    <s v="COSMÉTICO"/>
    <x v="135"/>
    <s v="CAMISETA MALHA PV"/>
    <s v="CAMISETA"/>
    <s v="LEVE"/>
    <n v="100"/>
    <n v="26.5"/>
    <n v="2650"/>
    <n v="0"/>
    <d v="2026-08-26T00:00:00"/>
    <n v="35"/>
    <m/>
    <s v="ENTREGUE"/>
    <m/>
    <m/>
    <m/>
    <m/>
    <m/>
  </r>
  <r>
    <s v="LETICIA"/>
    <x v="318"/>
    <x v="370"/>
    <x v="7"/>
    <s v="COSMÉTICO"/>
    <x v="135"/>
    <s v="CAPA DE CORTE CETIM"/>
    <s v="CAPA DE CORTE"/>
    <s v="LEVE"/>
    <n v="100"/>
    <n v="17.5"/>
    <n v="1750"/>
    <n v="0"/>
    <d v="2026-08-26T00:00:00"/>
    <n v="35"/>
    <m/>
    <s v="ENTREGUE"/>
    <m/>
    <m/>
    <m/>
    <m/>
    <m/>
  </r>
  <r>
    <s v="LETICIA"/>
    <x v="318"/>
    <x v="370"/>
    <x v="7"/>
    <s v="COSMÉTICO"/>
    <x v="135"/>
    <s v="KIMONO CETIM"/>
    <s v="KIMONO"/>
    <s v="LEVE"/>
    <n v="20"/>
    <n v="35"/>
    <n v="700"/>
    <n v="0"/>
    <d v="2026-08-26T00:00:00"/>
    <n v="35"/>
    <m/>
    <s v="ENTREGUE"/>
    <m/>
    <m/>
    <m/>
    <m/>
    <m/>
  </r>
  <r>
    <s v="LETICIA"/>
    <x v="318"/>
    <x v="370"/>
    <x v="7"/>
    <s v="COSMÉTICO"/>
    <x v="135"/>
    <s v="AVENTAL NY 210"/>
    <s v="AVENTAL"/>
    <s v="LEVE"/>
    <n v="100"/>
    <n v="17.899999999999999"/>
    <n v="1789.9999999999998"/>
    <n v="0"/>
    <d v="2026-08-26T00:00:00"/>
    <n v="35"/>
    <m/>
    <s v="ENTREGUE"/>
    <m/>
    <m/>
    <m/>
    <m/>
    <m/>
  </r>
  <r>
    <s v="REBECA"/>
    <x v="308"/>
    <x v="371"/>
    <x v="7"/>
    <s v="HAVANNA"/>
    <x v="360"/>
    <s v="AVENTAL OXFORD MODELO PADRÃO"/>
    <s v="AVENTAL"/>
    <s v="LEVE"/>
    <n v="6"/>
    <n v="25"/>
    <n v="150"/>
    <n v="75"/>
    <d v="2026-08-21T00:00:00"/>
    <n v="34"/>
    <m/>
    <s v="ENTREGUE"/>
    <m/>
    <m/>
    <m/>
    <m/>
    <m/>
  </r>
  <r>
    <s v="REBECA"/>
    <x v="308"/>
    <x v="371"/>
    <x v="7"/>
    <s v="HAVANNA"/>
    <x v="360"/>
    <s v="CAMISETA MALHA 100% ALGODÃO BABY LOOK"/>
    <s v="CAMISETA"/>
    <s v="LEVE"/>
    <n v="12"/>
    <n v="36.75"/>
    <n v="441"/>
    <n v="220.5"/>
    <d v="2026-08-21T00:00:00"/>
    <n v="34"/>
    <m/>
    <s v="ENTREGUE"/>
    <m/>
    <m/>
    <m/>
    <m/>
    <m/>
  </r>
  <r>
    <s v="REBECA"/>
    <x v="308"/>
    <x v="371"/>
    <x v="7"/>
    <s v="HAVANNA"/>
    <x v="360"/>
    <s v="CAMISETA POLO MALHA PIQUET"/>
    <s v="POLO"/>
    <s v="LEVE"/>
    <n v="8"/>
    <n v="65"/>
    <n v="520"/>
    <n v="260"/>
    <d v="2026-08-21T00:00:00"/>
    <n v="34"/>
    <m/>
    <s v="ENTREGUE"/>
    <m/>
    <m/>
    <m/>
    <m/>
    <m/>
  </r>
  <r>
    <s v="REBECA"/>
    <x v="308"/>
    <x v="371"/>
    <x v="7"/>
    <s v="HAVANNA"/>
    <x v="360"/>
    <s v="CAMISETA GOLA CARECA MALHA 100% ALGODÃO "/>
    <s v="CAMISETA"/>
    <s v="LEVE"/>
    <n v="8"/>
    <n v="36.75"/>
    <n v="294"/>
    <n v="147"/>
    <d v="2026-08-21T00:00:00"/>
    <n v="34"/>
    <m/>
    <s v="ENTREGUE"/>
    <m/>
    <m/>
    <m/>
    <m/>
    <m/>
  </r>
  <r>
    <s v="REBECA"/>
    <x v="308"/>
    <x v="371"/>
    <x v="7"/>
    <s v="HAVANNA"/>
    <x v="360"/>
    <s v="CAMISETA GOLA CARECA MALHA 100% ALGODÃO TAM XG"/>
    <s v="CAMISETA"/>
    <s v="LEVE"/>
    <n v="2"/>
    <n v="55"/>
    <n v="110"/>
    <n v="55"/>
    <d v="2026-08-21T00:00:00"/>
    <n v="34"/>
    <m/>
    <s v="ENTREGUE"/>
    <m/>
    <m/>
    <m/>
    <m/>
    <m/>
  </r>
  <r>
    <s v="LETICIA"/>
    <x v="794"/>
    <x v="371"/>
    <x v="7"/>
    <s v="EDITORA"/>
    <x v="361"/>
    <s v="SACOLA DEALGODÃO COLORIDO LARANJA"/>
    <s v="SACOLA"/>
    <s v="PESADA"/>
    <n v="3000"/>
    <n v="10.8"/>
    <n v="32400.000000000004"/>
    <n v="0"/>
    <d v="2026-08-31T00:00:00"/>
    <n v="36"/>
    <m/>
    <s v="ENTREGUE"/>
    <m/>
    <m/>
    <m/>
    <m/>
    <m/>
  </r>
  <r>
    <s v="LETICIA"/>
    <x v="100"/>
    <x v="371"/>
    <x v="7"/>
    <s v="EDITORA"/>
    <x v="361"/>
    <s v="SACOLA DE LONITA - LOGO QUANDO"/>
    <s v="SACOLA"/>
    <s v="PESADA"/>
    <n v="4000"/>
    <n v="9.5"/>
    <n v="38000"/>
    <n v="0"/>
    <d v="2026-08-31T00:00:00"/>
    <n v="36"/>
    <m/>
    <s v="ENTREGUE"/>
    <m/>
    <m/>
    <m/>
    <m/>
    <m/>
  </r>
  <r>
    <s v="LETICIA"/>
    <x v="98"/>
    <x v="372"/>
    <x v="8"/>
    <s v="COSMÉTICO"/>
    <x v="362"/>
    <s v="POLO PIQUET"/>
    <s v="POLO"/>
    <s v="PESADA"/>
    <n v="10"/>
    <n v="75"/>
    <n v="750"/>
    <n v="750"/>
    <d v="2026-08-07T00:00:00"/>
    <n v="32"/>
    <m/>
    <s v="ENTREGUE"/>
    <m/>
    <m/>
    <m/>
    <m/>
    <m/>
  </r>
  <r>
    <s v="LETICIA"/>
    <x v="795"/>
    <x v="373"/>
    <x v="8"/>
    <s v="COMÉRCIO"/>
    <x v="40"/>
    <s v="SAQUINHO DE NYLON 70"/>
    <s v="SAQUINHO"/>
    <s v="PESADA"/>
    <n v="900"/>
    <n v="2.8"/>
    <n v="2520"/>
    <n v="2520"/>
    <d v="2026-08-28T00:00:00"/>
    <n v="35"/>
    <m/>
    <s v="ENTREGUE"/>
    <m/>
    <m/>
    <m/>
    <m/>
    <m/>
  </r>
  <r>
    <s v="REBECA"/>
    <x v="796"/>
    <x v="373"/>
    <x v="8"/>
    <s v="HAVANNA"/>
    <x v="363"/>
    <s v="CAMISETA MALHA 100% ALGODÃO BABY LOOK"/>
    <s v="CAMISETA"/>
    <s v="LEVE"/>
    <n v="6"/>
    <n v="36.75"/>
    <n v="220.5"/>
    <n v="110.25"/>
    <d v="2026-08-25T00:00:00"/>
    <n v="35"/>
    <m/>
    <s v="ENTREGUE"/>
    <m/>
    <m/>
    <m/>
    <m/>
    <m/>
  </r>
  <r>
    <s v="REBECA"/>
    <x v="796"/>
    <x v="373"/>
    <x v="8"/>
    <s v="HAVANNA"/>
    <x v="363"/>
    <s v="CAMISETA GOLA CARECA MALHA 100% ALGODÃO"/>
    <s v="CAMISETA"/>
    <s v="LEVE"/>
    <n v="2"/>
    <n v="36.75"/>
    <n v="73.5"/>
    <n v="36.75"/>
    <d v="2026-08-25T00:00:00"/>
    <n v="35"/>
    <m/>
    <s v="ENTREGUE"/>
    <m/>
    <m/>
    <m/>
    <m/>
    <m/>
  </r>
  <r>
    <s v="REBECA"/>
    <x v="796"/>
    <x v="373"/>
    <x v="8"/>
    <s v="HAVANNA"/>
    <x v="363"/>
    <s v="POLO PIQUET"/>
    <s v="POLO"/>
    <s v="LEVE"/>
    <n v="2"/>
    <n v="65"/>
    <n v="130"/>
    <n v="65"/>
    <d v="2026-08-25T00:00:00"/>
    <n v="35"/>
    <m/>
    <s v="ENTREGUE"/>
    <m/>
    <m/>
    <m/>
    <m/>
    <m/>
  </r>
  <r>
    <s v="REBECA"/>
    <x v="796"/>
    <x v="373"/>
    <x v="8"/>
    <s v="HAVANNA"/>
    <x v="363"/>
    <s v="AVENTAL OXFORD MODELO PADRÃO"/>
    <s v="AVENTAL"/>
    <s v="LEVE"/>
    <n v="2"/>
    <n v="25"/>
    <n v="50"/>
    <n v="25"/>
    <d v="2026-08-25T00:00:00"/>
    <n v="35"/>
    <m/>
    <s v="ENTREGUE"/>
    <m/>
    <m/>
    <m/>
    <m/>
    <m/>
  </r>
  <r>
    <s v="REBECA"/>
    <x v="796"/>
    <x v="373"/>
    <x v="8"/>
    <s v="HAVANNA"/>
    <x v="363"/>
    <s v="BLUSA DE MOLETOM "/>
    <s v="BLUSA"/>
    <s v="LEVE"/>
    <n v="2"/>
    <n v="140"/>
    <n v="280"/>
    <n v="140"/>
    <d v="2026-08-25T00:00:00"/>
    <n v="35"/>
    <m/>
    <s v="ENTREGUE"/>
    <m/>
    <m/>
    <m/>
    <m/>
    <m/>
  </r>
  <r>
    <s v="REBECA"/>
    <x v="796"/>
    <x v="373"/>
    <x v="8"/>
    <s v="HAVANNA"/>
    <x v="363"/>
    <s v="CALÇA BRIM"/>
    <s v="CALÇA"/>
    <s v="LEVE"/>
    <n v="8"/>
    <n v="80"/>
    <n v="640"/>
    <n v="320"/>
    <d v="2026-08-25T00:00:00"/>
    <n v="35"/>
    <m/>
    <s v="ENTREGUE"/>
    <m/>
    <m/>
    <m/>
    <m/>
    <m/>
  </r>
  <r>
    <s v="LETICIA"/>
    <x v="102"/>
    <x v="374"/>
    <x v="8"/>
    <s v="COSMÉTICO"/>
    <x v="364"/>
    <s v="SAQUINHO DE LONITA"/>
    <s v="SAQUINHO"/>
    <s v="PESADA"/>
    <n v="150"/>
    <n v="7.9"/>
    <n v="1185"/>
    <n v="1185"/>
    <d v="2026-08-24T00:00:00"/>
    <n v="35"/>
    <m/>
    <s v="ENTREGUE"/>
    <m/>
    <m/>
    <m/>
    <m/>
    <m/>
  </r>
  <r>
    <s v="LETICIA"/>
    <x v="339"/>
    <x v="375"/>
    <x v="8"/>
    <s v="COSMÉTICO"/>
    <x v="365"/>
    <s v="CAMISETA MALHA PERUANA"/>
    <s v="CAMISETA"/>
    <s v="LEVE"/>
    <n v="260"/>
    <n v="57"/>
    <n v="14820"/>
    <n v="14820"/>
    <d v="2026-09-04T00:00:00"/>
    <n v="36"/>
    <m/>
    <s v="ENTREGUE"/>
    <m/>
    <m/>
    <m/>
    <m/>
    <m/>
  </r>
  <r>
    <s v="LETICIA"/>
    <x v="797"/>
    <x v="376"/>
    <x v="9"/>
    <s v="PET"/>
    <x v="44"/>
    <s v="POLO PIQUET"/>
    <s v="CAMISETA"/>
    <s v="LEVE"/>
    <n v="62"/>
    <n v="60"/>
    <n v="3720"/>
    <n v="3720"/>
    <d v="2026-08-18T00:00:00"/>
    <n v="34"/>
    <m/>
    <s v="ENTREGUE"/>
    <m/>
    <m/>
    <m/>
    <m/>
    <m/>
  </r>
  <r>
    <s v="LETICIA"/>
    <x v="798"/>
    <x v="377"/>
    <x v="9"/>
    <s v="EDITORA"/>
    <x v="159"/>
    <s v="SACOLA ALGODÃO"/>
    <s v="SACOLA"/>
    <s v="LEVE"/>
    <n v="450"/>
    <n v="11.5"/>
    <n v="5175"/>
    <n v="2587.5"/>
    <d v="2026-09-02T00:00:00"/>
    <n v="36"/>
    <m/>
    <s v="ENTREGUE"/>
    <m/>
    <m/>
    <m/>
    <m/>
    <m/>
  </r>
  <r>
    <s v="LETICIA"/>
    <x v="62"/>
    <x v="378"/>
    <x v="9"/>
    <s v="COSMÉTICO"/>
    <x v="366"/>
    <s v="CAMISETA MALHA PV"/>
    <s v="CAMISETA"/>
    <s v="LEVE"/>
    <n v="12"/>
    <n v="45"/>
    <n v="540"/>
    <n v="540"/>
    <d v="2026-09-26T00:00:00"/>
    <n v="39"/>
    <m/>
    <s v="ENTREGUE"/>
    <m/>
    <m/>
    <m/>
    <m/>
    <m/>
  </r>
  <r>
    <s v="LETICIA"/>
    <x v="131"/>
    <x v="378"/>
    <x v="9"/>
    <s v="PET"/>
    <x v="44"/>
    <s v="POLO PIQUET"/>
    <s v="POLO"/>
    <s v="LEVE"/>
    <n v="6"/>
    <n v="60"/>
    <n v="360"/>
    <n v="360"/>
    <d v="2026-08-20T00:00:00"/>
    <n v="34"/>
    <m/>
    <s v="ENTREGUE"/>
    <m/>
    <m/>
    <m/>
    <m/>
    <m/>
  </r>
  <r>
    <s v="SANDY"/>
    <x v="180"/>
    <x v="107"/>
    <x v="42"/>
    <s v="HAVANNA"/>
    <x v="85"/>
    <s v="CAMISETA POLO PIQUET"/>
    <s v="POLO"/>
    <s v="LEVE"/>
    <n v="4"/>
    <n v="65"/>
    <n v="260"/>
    <n v="0"/>
    <d v="2025-05-11T00:00:00"/>
    <n v="20"/>
    <m/>
    <s v="BRINDE"/>
    <n v="0"/>
    <n v="4"/>
    <n v="0"/>
    <n v="2"/>
    <n v="6"/>
  </r>
  <r>
    <s v="LETICIA"/>
    <x v="799"/>
    <x v="368"/>
    <x v="7"/>
    <s v="COSMÉTICO"/>
    <x v="367"/>
    <s v="CAPA DE CORTE"/>
    <s v="CAPA DE CORTE"/>
    <s v="LEVE"/>
    <n v="300"/>
    <n v="20"/>
    <n v="6000"/>
    <n v="6000"/>
    <d v="2026-08-21T00:00:00"/>
    <n v="34"/>
    <m/>
    <m/>
    <m/>
    <m/>
    <m/>
    <m/>
    <m/>
  </r>
  <r>
    <s v="REBECA"/>
    <x v="800"/>
    <x v="371"/>
    <x v="7"/>
    <s v="COSMÉTICO"/>
    <x v="368"/>
    <s v="NECESSAIRE MALETA"/>
    <s v="NECESSAIRE"/>
    <s v="PESADA"/>
    <n v="3000"/>
    <n v="13.5"/>
    <n v="40500"/>
    <n v="0"/>
    <d v="2026-09-10T00:00:00"/>
    <n v="37"/>
    <m/>
    <m/>
    <m/>
    <m/>
    <m/>
    <m/>
    <m/>
  </r>
  <r>
    <s v="REBECA"/>
    <x v="801"/>
    <x v="372"/>
    <x v="8"/>
    <s v="COSMÉTICO"/>
    <x v="369"/>
    <s v="NECESSAIRE MALETA"/>
    <s v="NECESSAIRE"/>
    <s v="PESADA"/>
    <n v="2000"/>
    <n v="15.5"/>
    <n v="31000"/>
    <n v="16000"/>
    <d v="2026-09-04T00:00:00"/>
    <n v="36"/>
    <m/>
    <m/>
    <m/>
    <m/>
    <m/>
    <m/>
    <m/>
  </r>
  <r>
    <s v="LETICIA"/>
    <x v="60"/>
    <x v="372"/>
    <x v="8"/>
    <s v="PET"/>
    <x v="370"/>
    <s v="AVENTAL NY EMBORRACHADO"/>
    <s v="AVENTAL"/>
    <s v="LEVE"/>
    <n v="100"/>
    <n v="25"/>
    <n v="2500"/>
    <n v="0"/>
    <d v="2026-08-28T00:00:00"/>
    <n v="35"/>
    <m/>
    <m/>
    <m/>
    <m/>
    <m/>
    <m/>
    <m/>
  </r>
  <r>
    <s v="LETICIA"/>
    <x v="331"/>
    <x v="374"/>
    <x v="8"/>
    <s v="PET"/>
    <x v="1"/>
    <s v="AVENTAL NY EMBORRACHADO"/>
    <s v="AVENTAL"/>
    <s v="LEVE"/>
    <n v="3000"/>
    <n v="23.5"/>
    <n v="70500"/>
    <n v="70500"/>
    <d v="2026-09-04T00:00:00"/>
    <n v="36"/>
    <m/>
    <m/>
    <m/>
    <m/>
    <m/>
    <m/>
    <m/>
  </r>
  <r>
    <s v="REBECA"/>
    <x v="334"/>
    <x v="374"/>
    <x v="8"/>
    <s v="PET"/>
    <x v="371"/>
    <s v="AVENTAL OXFORD MODELO PADRÃO"/>
    <s v="AVENTAL"/>
    <s v="LEVE"/>
    <n v="100"/>
    <n v="16"/>
    <n v="1600"/>
    <n v="0"/>
    <d v="2026-09-14T00:00:00"/>
    <n v="38"/>
    <m/>
    <m/>
    <m/>
    <m/>
    <m/>
    <m/>
    <m/>
  </r>
  <r>
    <s v="REBECA"/>
    <x v="334"/>
    <x v="374"/>
    <x v="8"/>
    <s v="PET"/>
    <x v="371"/>
    <s v="CAMISETA MALHA 100% ALGODÃO BABY LOOK"/>
    <s v="CAMISETA"/>
    <s v="LEVE"/>
    <n v="100"/>
    <n v="26.5"/>
    <n v="2650"/>
    <n v="0"/>
    <d v="2026-09-14T00:00:00"/>
    <n v="38"/>
    <m/>
    <m/>
    <m/>
    <m/>
    <m/>
    <m/>
    <m/>
  </r>
  <r>
    <s v="REBECA"/>
    <x v="335"/>
    <x v="374"/>
    <x v="8"/>
    <s v="HAVANNA"/>
    <x v="372"/>
    <s v="CAMISETA POLO MALHA PIQUET"/>
    <s v="POLO"/>
    <s v="LEVE"/>
    <n v="4"/>
    <n v="65"/>
    <n v="260"/>
    <n v="130"/>
    <d v="2026-09-03T00:00:00"/>
    <n v="36"/>
    <m/>
    <m/>
    <m/>
    <m/>
    <m/>
    <m/>
    <m/>
  </r>
  <r>
    <s v="REBECA"/>
    <x v="802"/>
    <x v="374"/>
    <x v="8"/>
    <s v="PET"/>
    <x v="373"/>
    <s v="AVENTAL NY EMBORRACHADO"/>
    <s v="AVENTAL"/>
    <s v="LEVE"/>
    <n v="10"/>
    <n v="55"/>
    <n v="550"/>
    <n v="275"/>
    <d v="2026-09-14T00:00:00"/>
    <n v="38"/>
    <m/>
    <m/>
    <m/>
    <m/>
    <m/>
    <m/>
    <m/>
  </r>
  <r>
    <s v="REBECA"/>
    <x v="326"/>
    <x v="375"/>
    <x v="8"/>
    <s v="COSMÉTICO"/>
    <x v="71"/>
    <s v="CAPA DE CORTE CETIM"/>
    <s v="CAPA DE CORTE"/>
    <s v="LEVE"/>
    <n v="100"/>
    <n v="25"/>
    <n v="2500"/>
    <n v="1250"/>
    <d v="2026-09-09T00:00:00"/>
    <n v="37"/>
    <m/>
    <m/>
    <m/>
    <m/>
    <m/>
    <m/>
    <m/>
  </r>
  <r>
    <s v="REBECA"/>
    <x v="61"/>
    <x v="375"/>
    <x v="8"/>
    <s v="COSMÉTICO"/>
    <x v="202"/>
    <s v="AVENTAL OXFORD MODELO PADRÃO"/>
    <s v="AVENTAL"/>
    <s v="LEVE"/>
    <n v="150"/>
    <n v="16.5"/>
    <n v="2475"/>
    <n v="1237.5"/>
    <d v="2026-09-04T00:00:00"/>
    <n v="36"/>
    <m/>
    <m/>
    <m/>
    <m/>
    <m/>
    <m/>
    <m/>
  </r>
  <r>
    <s v="REBECA"/>
    <x v="803"/>
    <x v="379"/>
    <x v="8"/>
    <s v="HAVANNA"/>
    <x v="374"/>
    <s v="CAMISETA GOLA CARECA MALHA 100% ALGODÃO"/>
    <s v="CAMISETA"/>
    <s v="LEVE"/>
    <n v="12"/>
    <n v="36.75"/>
    <n v="441"/>
    <n v="441"/>
    <d v="2026-08-28T00:00:00"/>
    <n v="35"/>
    <m/>
    <m/>
    <m/>
    <m/>
    <m/>
    <m/>
    <m/>
  </r>
  <r>
    <s v="REBECA"/>
    <x v="803"/>
    <x v="379"/>
    <x v="8"/>
    <s v="HAVANNA"/>
    <x v="374"/>
    <s v="CAMISETA MANGA LONGA MALHA 100% ALGODÃO"/>
    <s v="CAMISETA"/>
    <s v="LEVE"/>
    <n v="2"/>
    <n v="47.5"/>
    <n v="95"/>
    <n v="95"/>
    <d v="2026-08-28T00:00:00"/>
    <n v="35"/>
    <m/>
    <m/>
    <m/>
    <m/>
    <m/>
    <m/>
    <m/>
  </r>
  <r>
    <s v="REBECA"/>
    <x v="803"/>
    <x v="379"/>
    <x v="8"/>
    <s v="HAVANNA"/>
    <x v="374"/>
    <s v="BLUSA DE MOLETOM "/>
    <s v="MOLETOM"/>
    <s v="LEVE"/>
    <n v="2"/>
    <n v="120"/>
    <n v="240"/>
    <n v="240"/>
    <d v="2026-08-28T00:00:00"/>
    <n v="35"/>
    <m/>
    <m/>
    <m/>
    <m/>
    <m/>
    <m/>
    <m/>
  </r>
  <r>
    <s v="REBECA"/>
    <x v="803"/>
    <x v="379"/>
    <x v="8"/>
    <s v="HAVANNA"/>
    <x v="374"/>
    <s v="AVENTAL OXFORD MODELO PADRÃO"/>
    <s v="AVENTAL"/>
    <s v="LEVE"/>
    <n v="4"/>
    <n v="25"/>
    <n v="100"/>
    <n v="100"/>
    <d v="2026-08-28T00:00:00"/>
    <n v="35"/>
    <m/>
    <m/>
    <m/>
    <m/>
    <m/>
    <m/>
    <m/>
  </r>
  <r>
    <s v="LETICIA"/>
    <x v="804"/>
    <x v="379"/>
    <x v="8"/>
    <s v="EDITORA"/>
    <x v="361"/>
    <s v="SHOUDER BAG"/>
    <s v="SHOUDER BAG"/>
    <s v="PESADA"/>
    <n v="1000"/>
    <n v="15.15"/>
    <n v="15150"/>
    <n v="15150"/>
    <d v="2026-08-31T00:00:00"/>
    <n v="36"/>
    <m/>
    <s v="ENTREGUE"/>
    <m/>
    <m/>
    <m/>
    <m/>
    <m/>
  </r>
  <r>
    <s v="LETICIA"/>
    <x v="805"/>
    <x v="380"/>
    <x v="9"/>
    <s v="COMÉRCIO"/>
    <x v="375"/>
    <s v="NECESSAIRE NY PLASTIFICADO"/>
    <s v="NECESSAIRE"/>
    <s v="PESADA"/>
    <n v="300"/>
    <n v="23"/>
    <n v="6900"/>
    <n v="6900"/>
    <d v="2026-09-15T00:00:00"/>
    <n v="38"/>
    <m/>
    <m/>
    <m/>
    <m/>
    <m/>
    <m/>
    <m/>
  </r>
  <r>
    <s v="LETICIA"/>
    <x v="806"/>
    <x v="380"/>
    <x v="9"/>
    <s v="COSMÉTICO"/>
    <x v="376"/>
    <s v="CAPA DE CORTE IMPERMEAVEL"/>
    <s v="CAPA DE CORTE"/>
    <s v="LEVE"/>
    <n v="100"/>
    <n v="27.5"/>
    <n v="2750"/>
    <n v="2750"/>
    <d v="2026-09-10T00:00:00"/>
    <n v="37"/>
    <m/>
    <m/>
    <m/>
    <m/>
    <m/>
    <m/>
    <m/>
  </r>
  <r>
    <s v="LETICIA"/>
    <x v="806"/>
    <x v="380"/>
    <x v="9"/>
    <s v="COSMÉTICO"/>
    <x v="376"/>
    <s v="AVENTAL SEMI IMPERMEAVEL"/>
    <s v="AVENTAL"/>
    <s v="LEVE"/>
    <n v="200"/>
    <n v="19.5"/>
    <n v="3900"/>
    <n v="3900"/>
    <d v="2026-09-10T00:00:00"/>
    <n v="37"/>
    <m/>
    <m/>
    <m/>
    <m/>
    <m/>
    <m/>
    <m/>
  </r>
  <r>
    <s v="REBECA"/>
    <x v="347"/>
    <x v="380"/>
    <x v="9"/>
    <s v="COSMÉTICO"/>
    <x v="377"/>
    <s v="AVENTAL OXFORD MODELO PADRÃO"/>
    <s v="AVENTAL"/>
    <s v="LEVE"/>
    <n v="40"/>
    <n v="25"/>
    <n v="1000"/>
    <n v="1000"/>
    <d v="2026-09-10T00:00:00"/>
    <n v="37"/>
    <m/>
    <m/>
    <m/>
    <m/>
    <m/>
    <m/>
    <m/>
  </r>
  <r>
    <s v="LETICIA"/>
    <x v="807"/>
    <x v="376"/>
    <x v="9"/>
    <s v="PET"/>
    <x v="378"/>
    <s v="AVENTAL NY EMBORRACHADO"/>
    <s v="AVENTAL"/>
    <s v="LEVE"/>
    <n v="200"/>
    <n v="25"/>
    <n v="5000"/>
    <n v="5000"/>
    <d v="2026-09-14T00:00:00"/>
    <n v="38"/>
    <m/>
    <m/>
    <m/>
    <m/>
    <m/>
    <m/>
    <m/>
  </r>
  <r>
    <s v="LETICIA"/>
    <x v="115"/>
    <x v="377"/>
    <x v="9"/>
    <s v="COSMÉTICO"/>
    <x v="379"/>
    <s v="CAMISETA GOLA CARECE MALHA PV"/>
    <s v="CAMISETA"/>
    <s v="LEVE "/>
    <n v="400"/>
    <n v="24.5"/>
    <n v="9800"/>
    <n v="4900"/>
    <d v="2026-09-11T00:00:00"/>
    <n v="37"/>
    <m/>
    <m/>
    <m/>
    <m/>
    <m/>
    <m/>
    <m/>
  </r>
  <r>
    <s v="REBECA"/>
    <x v="348"/>
    <x v="377"/>
    <x v="9"/>
    <s v="HAVANNA"/>
    <x v="380"/>
    <s v="AVENTAL OXFORD MODELO PADRÃO"/>
    <s v="AVENTAL"/>
    <s v="LEVE "/>
    <n v="6"/>
    <n v="25"/>
    <n v="150"/>
    <n v="75"/>
    <d v="2026-09-03T00:00:00"/>
    <n v="36"/>
    <m/>
    <m/>
    <m/>
    <m/>
    <m/>
    <m/>
    <m/>
  </r>
  <r>
    <s v="REBECA"/>
    <x v="348"/>
    <x v="377"/>
    <x v="9"/>
    <s v="HAVANNA"/>
    <x v="380"/>
    <s v="FAIXA PARA CABELO"/>
    <s v="FAIXA"/>
    <s v="LEVE "/>
    <n v="4"/>
    <n v="21"/>
    <n v="84"/>
    <n v="42"/>
    <d v="2026-09-03T00:00:00"/>
    <n v="36"/>
    <m/>
    <m/>
    <m/>
    <m/>
    <m/>
    <m/>
    <m/>
  </r>
  <r>
    <s v="REBECA"/>
    <x v="348"/>
    <x v="377"/>
    <x v="9"/>
    <s v="HAVANNA"/>
    <x v="380"/>
    <s v="CAMISETA BABY LOOK MALHA 100% ALGODÃO"/>
    <s v="CAMISETA"/>
    <s v="LEVE "/>
    <n v="4"/>
    <n v="36.75"/>
    <n v="147"/>
    <n v="73.5"/>
    <d v="2026-09-03T00:00:00"/>
    <n v="36"/>
    <m/>
    <m/>
    <m/>
    <m/>
    <m/>
    <m/>
    <m/>
  </r>
  <r>
    <s v="REBECA"/>
    <x v="348"/>
    <x v="377"/>
    <x v="9"/>
    <s v="HAVANNA"/>
    <x v="380"/>
    <s v="CALÇA BRIM"/>
    <s v="CALÇA"/>
    <s v="LEVE "/>
    <n v="4"/>
    <n v="80"/>
    <n v="320"/>
    <n v="160"/>
    <d v="2026-09-03T00:00:00"/>
    <n v="36"/>
    <m/>
    <m/>
    <m/>
    <m/>
    <m/>
    <m/>
    <m/>
  </r>
  <r>
    <s v="LETICIA"/>
    <x v="808"/>
    <x v="381"/>
    <x v="9"/>
    <s v="EDITORA"/>
    <x v="361"/>
    <s v="SACOLA DE NYLON PLASTIFICADO COR AZUL"/>
    <s v="SACOLA"/>
    <s v="PESADA"/>
    <n v="5300"/>
    <n v="13.5"/>
    <n v="71550"/>
    <n v="35775"/>
    <d v="2026-09-18T00:00:00"/>
    <n v="38"/>
    <m/>
    <m/>
    <m/>
    <m/>
    <m/>
    <m/>
    <m/>
  </r>
  <r>
    <s v="REBECA"/>
    <x v="346"/>
    <x v="382"/>
    <x v="9"/>
    <s v="BRINDES"/>
    <x v="381"/>
    <s v="AVENTAL BAGUN PRETO"/>
    <s v="AVENTAL"/>
    <s v="PESADA"/>
    <n v="300"/>
    <n v="19.899999999999999"/>
    <n v="5970"/>
    <n v="2985"/>
    <d v="2026-09-23T00:00:00"/>
    <n v="39"/>
    <m/>
    <m/>
    <m/>
    <m/>
    <m/>
    <m/>
    <m/>
  </r>
  <r>
    <s v="LETICIA"/>
    <x v="121"/>
    <x v="382"/>
    <x v="9"/>
    <s v="COMÉRCIO"/>
    <x v="345"/>
    <s v="CAMISETA GOLA CARECA MALHA PV"/>
    <s v="CAMISETA"/>
    <s v="LEVE"/>
    <n v="6"/>
    <n v="45"/>
    <n v="270"/>
    <n v="135"/>
    <d v="2026-09-11T00:00:00"/>
    <n v="37"/>
    <m/>
    <m/>
    <m/>
    <m/>
    <m/>
    <m/>
    <m/>
  </r>
  <r>
    <s v="LETICIA"/>
    <x v="121"/>
    <x v="382"/>
    <x v="9"/>
    <s v="COMÉRCIO"/>
    <x v="345"/>
    <s v="CAMISETA GOLA CARECA MALHA PV"/>
    <s v="CAMISETA"/>
    <s v="LEVE"/>
    <n v="2"/>
    <n v="75"/>
    <n v="150"/>
    <n v="75"/>
    <d v="2026-09-11T00:00:00"/>
    <n v="37"/>
    <m/>
    <m/>
    <m/>
    <m/>
    <m/>
    <m/>
    <m/>
  </r>
  <r>
    <s v="LETICIA"/>
    <x v="121"/>
    <x v="382"/>
    <x v="9"/>
    <s v="COMÉRCIO"/>
    <x v="345"/>
    <s v="CAMISETA GOLA CARECA MALHA PV"/>
    <s v="CAMISETA"/>
    <s v="LEVE"/>
    <n v="4"/>
    <n v="75"/>
    <n v="300"/>
    <n v="150"/>
    <d v="2026-09-11T00:00:00"/>
    <n v="37"/>
    <m/>
    <m/>
    <m/>
    <m/>
    <m/>
    <m/>
    <m/>
  </r>
  <r>
    <s v="LETICIA"/>
    <x v="809"/>
    <x v="383"/>
    <x v="9"/>
    <s v="COSMÉTICO"/>
    <x v="379"/>
    <s v="SACOLA LONITA"/>
    <s v="SACOLA"/>
    <s v="PESADA"/>
    <n v="400"/>
    <n v="28"/>
    <n v="11200"/>
    <n v="5600"/>
    <d v="2026-09-17T00:00:00"/>
    <n v="38"/>
    <m/>
    <m/>
    <m/>
    <m/>
    <m/>
    <m/>
    <m/>
  </r>
  <r>
    <s v="LETICIA"/>
    <x v="810"/>
    <x v="378"/>
    <x v="9"/>
    <s v="COSMÉTICO"/>
    <x v="379"/>
    <s v="CAMISETA GOLA CARECA MALHA PV"/>
    <s v="CAMISETA"/>
    <s v="LEVE"/>
    <n v="100"/>
    <n v="26.5"/>
    <n v="2650"/>
    <n v="1325"/>
    <d v="2026-09-21T00:00:00"/>
    <n v="39"/>
    <m/>
    <s v="ENTREGUE"/>
    <m/>
    <m/>
    <m/>
    <m/>
    <m/>
  </r>
  <r>
    <s v="LETICIA"/>
    <x v="811"/>
    <x v="378"/>
    <x v="9"/>
    <s v="COSMÉTICO"/>
    <x v="340"/>
    <s v="AVENTAL NY EMBORRACHADO"/>
    <s v="AVENTAL"/>
    <s v="LEVE"/>
    <n v="500"/>
    <n v="19.5"/>
    <n v="9750"/>
    <n v="0"/>
    <d v="2026-09-21T00:00:00"/>
    <n v="39"/>
    <m/>
    <m/>
    <m/>
    <m/>
    <m/>
    <m/>
    <m/>
  </r>
  <r>
    <s v="REBECA"/>
    <x v="352"/>
    <x v="384"/>
    <x v="9"/>
    <s v="COSMÉTICO"/>
    <x v="382"/>
    <s v="AVENTAL OXFORD MODELO PADRÃO"/>
    <s v="AVENTAL"/>
    <s v="LEVE"/>
    <n v="100"/>
    <n v="17"/>
    <n v="0"/>
    <n v="0"/>
    <d v="2026-09-28T00:00:00"/>
    <n v="40"/>
    <m/>
    <m/>
    <m/>
    <m/>
    <m/>
    <m/>
    <m/>
  </r>
  <r>
    <s v="REBECA"/>
    <x v="352"/>
    <x v="384"/>
    <x v="9"/>
    <s v="COSMÉTICO"/>
    <x v="382"/>
    <s v="CAPA DE CORTE TACTEL"/>
    <s v="CAPA DE CORTE"/>
    <s v="LEVE"/>
    <n v="100"/>
    <n v="17.5"/>
    <n v="5286.5"/>
    <n v="0"/>
    <d v="2026-09-28T00:00:00"/>
    <n v="40"/>
    <m/>
    <m/>
    <m/>
    <m/>
    <m/>
    <m/>
    <m/>
  </r>
  <r>
    <s v="REBECA"/>
    <x v="352"/>
    <x v="384"/>
    <x v="9"/>
    <s v="COSMÉTICO"/>
    <x v="382"/>
    <s v="NECESSAIRE MALETA MAKE"/>
    <s v="NECESSAIRE"/>
    <s v="LEVE"/>
    <n v="100"/>
    <n v="20"/>
    <n v="0"/>
    <n v="0"/>
    <d v="2026-09-28T00:00:00"/>
    <n v="40"/>
    <m/>
    <m/>
    <m/>
    <m/>
    <m/>
    <m/>
    <m/>
  </r>
  <r>
    <s v="LETICIA"/>
    <x v="128"/>
    <x v="385"/>
    <x v="9"/>
    <s v="COSMÉTICO"/>
    <x v="383"/>
    <s v="NECESSAIRE NY PLASTIFICADO"/>
    <s v="NECESSAIRE"/>
    <s v="PESADA"/>
    <n v="3500"/>
    <n v="12.65"/>
    <n v="44275"/>
    <n v="44275"/>
    <d v="2026-09-30T00:00:00"/>
    <n v="40"/>
    <m/>
    <m/>
    <m/>
    <m/>
    <m/>
    <m/>
    <m/>
  </r>
  <r>
    <s v="LETICIA"/>
    <x v="63"/>
    <x v="385"/>
    <x v="9"/>
    <s v="PET"/>
    <x v="347"/>
    <s v="AVENTAL NY EMBORRACHADO"/>
    <s v="AVENTAL"/>
    <s v="LEVE"/>
    <n v="300"/>
    <n v="23.5"/>
    <n v="7050"/>
    <n v="7050"/>
    <d v="2026-09-14T00:00:00"/>
    <n v="38"/>
    <m/>
    <m/>
    <m/>
    <m/>
    <m/>
    <m/>
    <m/>
  </r>
  <r>
    <s v="REBECA"/>
    <x v="812"/>
    <x v="386"/>
    <x v="9"/>
    <s v="COSMÉTICO"/>
    <x v="384"/>
    <s v="CAMISETA MALHA PV"/>
    <s v="CAMISETA"/>
    <s v="LEVE"/>
    <n v="200"/>
    <n v="22.5"/>
    <n v="4500"/>
    <n v="2250"/>
    <d v="2026-09-25T00:00:00"/>
    <n v="39"/>
    <m/>
    <m/>
    <m/>
    <m/>
    <m/>
    <m/>
    <m/>
  </r>
  <r>
    <s v="LETICIA"/>
    <x v="813"/>
    <x v="386"/>
    <x v="9"/>
    <s v="COMÉRCIO"/>
    <x v="385"/>
    <s v="SACOLA LONITA"/>
    <s v="SACOLA"/>
    <s v="PESADA"/>
    <n v="500"/>
    <n v="11.5"/>
    <n v="5750"/>
    <n v="5750"/>
    <d v="2026-09-25T00:00:00"/>
    <n v="39"/>
    <m/>
    <m/>
    <m/>
    <m/>
    <m/>
    <m/>
    <m/>
  </r>
  <r>
    <s v="LETICIA"/>
    <x v="355"/>
    <x v="387"/>
    <x v="9"/>
    <s v="COSMÉTICO"/>
    <x v="386"/>
    <s v="NECESSAIRE MALETA "/>
    <s v="NECESSAIRE"/>
    <s v="PESADA"/>
    <n v="200"/>
    <n v="25"/>
    <n v="5000"/>
    <n v="2500"/>
    <d v="2026-09-28T00:00:00"/>
    <n v="40"/>
    <m/>
    <m/>
    <m/>
    <m/>
    <m/>
    <m/>
    <m/>
  </r>
  <r>
    <s v="LETICIA"/>
    <x v="814"/>
    <x v="387"/>
    <x v="9"/>
    <s v="COSMÉTICO"/>
    <x v="387"/>
    <s v="CAMISETA GOLA CARECA MALHA PV"/>
    <s v="CAMISETA"/>
    <s v="LEVE"/>
    <n v="200"/>
    <n v="24.5"/>
    <n v="4900"/>
    <n v="0"/>
    <d v="2026-09-25T00:00:00"/>
    <n v="39"/>
    <m/>
    <m/>
    <m/>
    <m/>
    <m/>
    <m/>
    <m/>
  </r>
  <r>
    <s v="REBECA"/>
    <x v="353"/>
    <x v="387"/>
    <x v="9"/>
    <s v="COSMÉTICO"/>
    <x v="388"/>
    <s v="NECESSSAIRE MALETA"/>
    <s v="NECESSAIRE"/>
    <s v="PESADA"/>
    <n v="100"/>
    <n v="27"/>
    <n v="2700"/>
    <n v="1350"/>
    <d v="2026-09-30T00:00:00"/>
    <n v="40"/>
    <m/>
    <m/>
    <m/>
    <m/>
    <m/>
    <m/>
    <m/>
  </r>
  <r>
    <s v="REBECA"/>
    <x v="353"/>
    <x v="387"/>
    <x v="9"/>
    <s v="COSMÉTICO"/>
    <x v="388"/>
    <s v="AVENTAL PET NYLON PLASTIFICADO"/>
    <s v="AVENTAL"/>
    <s v="LEVE"/>
    <n v="100"/>
    <n v="29"/>
    <n v="2900"/>
    <n v="1450"/>
    <d v="2026-09-30T00:00:00"/>
    <n v="40"/>
    <m/>
    <m/>
    <m/>
    <m/>
    <m/>
    <m/>
    <m/>
  </r>
  <r>
    <s v="REBECA"/>
    <x v="353"/>
    <x v="387"/>
    <x v="9"/>
    <s v="COSMÉTICO"/>
    <x v="388"/>
    <s v="JALECO GROOMER"/>
    <s v="JALECO"/>
    <s v="PESADA"/>
    <n v="100"/>
    <n v="78"/>
    <n v="7800"/>
    <n v="3900"/>
    <d v="2026-09-30T00:00:00"/>
    <n v="40"/>
    <m/>
    <m/>
    <m/>
    <m/>
    <m/>
    <m/>
    <m/>
  </r>
  <r>
    <s v="LETICIA"/>
    <x v="354"/>
    <x v="388"/>
    <x v="9"/>
    <s v="PET"/>
    <x v="44"/>
    <s v="CAPA DE GAIOLA PREMIER HELANCA COM CRISTAL"/>
    <s v="CAPA DE GAIOLA"/>
    <s v="PESADA"/>
    <n v="20"/>
    <n v="73"/>
    <n v="1460"/>
    <n v="1460"/>
    <d v="2026-09-28T00:00:00"/>
    <n v="40"/>
    <m/>
    <m/>
    <m/>
    <m/>
    <m/>
    <m/>
    <m/>
  </r>
  <r>
    <s v="LETICIA"/>
    <x v="354"/>
    <x v="388"/>
    <x v="9"/>
    <s v="PET"/>
    <x v="44"/>
    <s v="CAPA DE GAIOLA PREMIER HELANCA COM CRISTAL"/>
    <s v="CAPA DE GAIOLA"/>
    <s v="PESADA"/>
    <n v="20"/>
    <n v="97"/>
    <n v="1940"/>
    <n v="1940"/>
    <d v="2026-09-28T00:00:00"/>
    <n v="40"/>
    <m/>
    <m/>
    <m/>
    <m/>
    <m/>
    <m/>
    <m/>
  </r>
  <r>
    <s v="LETICIA"/>
    <x v="815"/>
    <x v="388"/>
    <x v="9"/>
    <s v="PET"/>
    <x v="44"/>
    <s v="CAPA PARA CAIXA DE TRANSPORTE"/>
    <s v="CAPA PARA CAIXA"/>
    <s v="PESADA"/>
    <n v="100"/>
    <n v="21.5"/>
    <n v="2150"/>
    <n v="2150"/>
    <d v="2026-09-30T00:00:00"/>
    <n v="40"/>
    <m/>
    <m/>
    <m/>
    <m/>
    <m/>
    <m/>
    <m/>
  </r>
  <r>
    <s v="CONSERV"/>
    <x v="356"/>
    <x v="389"/>
    <x v="9"/>
    <s v="PET"/>
    <x v="276"/>
    <s v="AVENTAL  NY EMBORRACHADO"/>
    <s v="AVENTAL"/>
    <s v="LEVE"/>
    <n v="200"/>
    <n v="30"/>
    <n v="6000"/>
    <n v="0"/>
    <d v="2026-09-22T00:00:00"/>
    <n v="39"/>
    <m/>
    <m/>
    <m/>
    <m/>
    <m/>
    <m/>
    <m/>
  </r>
  <r>
    <s v="LETICIA"/>
    <x v="135"/>
    <x v="389"/>
    <x v="9"/>
    <s v="COMÉRCIO"/>
    <x v="389"/>
    <s v="SACO ALGODÃO CRU 77AX60L"/>
    <s v="SACO"/>
    <s v="PESADA"/>
    <n v="300"/>
    <n v="16.5"/>
    <n v="4950"/>
    <n v="2475"/>
    <d v="2026-09-29T00:00:00"/>
    <n v="40"/>
    <m/>
    <m/>
    <m/>
    <m/>
    <m/>
    <m/>
    <m/>
  </r>
  <r>
    <s v="LETICIA"/>
    <x v="135"/>
    <x v="389"/>
    <x v="9"/>
    <s v="COMÉRCIO"/>
    <x v="389"/>
    <s v="SACO ALGODÃO CRU 77AX60L"/>
    <s v="SACO"/>
    <s v="PESADA"/>
    <n v="500"/>
    <n v="2.5"/>
    <n v="1250"/>
    <n v="625"/>
    <d v="2026-09-29T00:00:00"/>
    <n v="40"/>
    <m/>
    <m/>
    <m/>
    <m/>
    <m/>
    <m/>
    <m/>
  </r>
  <r>
    <s v="REBECA"/>
    <x v="816"/>
    <x v="390"/>
    <x v="9"/>
    <s v="COSMETICOS"/>
    <x v="384"/>
    <s v="CAMISETA MALHA PV"/>
    <s v="CAMISETA"/>
    <s v="LEVE"/>
    <n v="100"/>
    <n v="22.5"/>
    <n v="2250"/>
    <n v="1125"/>
    <d v="2026-09-25T00:00:00"/>
    <n v="39"/>
    <m/>
    <m/>
    <m/>
    <m/>
    <m/>
    <m/>
    <m/>
  </r>
  <r>
    <s v="REBECA"/>
    <x v="816"/>
    <x v="390"/>
    <x v="9"/>
    <s v="COSMETICOS"/>
    <x v="384"/>
    <s v="KIMONO TECTEL "/>
    <s v="KIMONO"/>
    <s v="LEVE"/>
    <n v="40"/>
    <n v="35"/>
    <n v="1400"/>
    <n v="700"/>
    <d v="2026-09-25T00:00:00"/>
    <n v="39"/>
    <m/>
    <m/>
    <m/>
    <m/>
    <m/>
    <m/>
    <m/>
  </r>
  <r>
    <s v="REBECA"/>
    <x v="358"/>
    <x v="391"/>
    <x v="9"/>
    <s v="COSMETICOS"/>
    <x v="390"/>
    <s v="AVENTAL OXFORD MODELO PADRÃO"/>
    <s v="AVENTAL"/>
    <s v="LEVE"/>
    <n v="250"/>
    <n v="16.5"/>
    <n v="4125"/>
    <n v="2062.5"/>
    <d v="2026-09-30T00:00:00"/>
    <n v="40"/>
    <m/>
    <m/>
    <m/>
    <m/>
    <m/>
    <m/>
    <m/>
  </r>
  <r>
    <s v="REBECA"/>
    <x v="817"/>
    <x v="391"/>
    <x v="9"/>
    <s v="HAVANNA"/>
    <x v="164"/>
    <s v="BABY LOOK FEMININA MALHA 100% ALGODAO"/>
    <s v="CAMISETA"/>
    <s v="LEVE"/>
    <n v="2"/>
    <n v="36.75"/>
    <n v="73.5"/>
    <n v="36.75"/>
    <d v="2026-09-24T00:00:00"/>
    <n v="39"/>
    <m/>
    <m/>
    <m/>
    <m/>
    <m/>
    <m/>
    <m/>
  </r>
  <r>
    <s v="REBECA"/>
    <x v="817"/>
    <x v="391"/>
    <x v="9"/>
    <s v="HAVANNA"/>
    <x v="164"/>
    <s v="CAMISETA MALHA 100% ALGODÃO MANGA LONGA"/>
    <s v="CAMISETA"/>
    <s v="LEVE"/>
    <n v="3"/>
    <n v="47.5"/>
    <n v="142.5"/>
    <n v="71.25"/>
    <d v="2026-09-24T00:00:00"/>
    <n v="39"/>
    <m/>
    <m/>
    <m/>
    <m/>
    <m/>
    <m/>
    <m/>
  </r>
  <r>
    <s v="LETICIA"/>
    <x v="210"/>
    <x v="392"/>
    <x v="9"/>
    <s v="COSMETICOS"/>
    <x v="42"/>
    <s v="MOCHILA INFANTIL CRISTAL"/>
    <s v="MOCHILA"/>
    <s v="PESADA"/>
    <n v="500"/>
    <n v="11.5"/>
    <n v="5750"/>
    <n v="0"/>
    <d v="2026-10-02T00:00:00"/>
    <n v="40"/>
    <m/>
    <m/>
    <m/>
    <m/>
    <m/>
    <m/>
    <m/>
  </r>
  <r>
    <s v="LETICIA"/>
    <x v="147"/>
    <x v="393"/>
    <x v="9"/>
    <s v="PET"/>
    <x v="57"/>
    <s v="AVENTAL PET NY EMBORRACHADO"/>
    <s v="AVENTAL"/>
    <s v="LEVE"/>
    <n v="300"/>
    <n v="24.5"/>
    <n v="7350"/>
    <n v="0"/>
    <d v="2026-09-25T00:00:00"/>
    <n v="39"/>
    <m/>
    <m/>
    <m/>
    <m/>
    <m/>
    <m/>
    <m/>
  </r>
  <r>
    <m/>
    <x v="818"/>
    <x v="394"/>
    <x v="52"/>
    <m/>
    <x v="391"/>
    <m/>
    <m/>
    <m/>
    <m/>
    <m/>
    <m/>
    <m/>
    <m/>
    <m/>
    <m/>
    <m/>
    <m/>
    <m/>
    <m/>
    <m/>
    <m/>
  </r>
  <r>
    <m/>
    <x v="818"/>
    <x v="394"/>
    <x v="52"/>
    <m/>
    <x v="391"/>
    <m/>
    <m/>
    <m/>
    <m/>
    <m/>
    <m/>
    <m/>
    <m/>
    <m/>
    <m/>
    <m/>
    <m/>
    <m/>
    <m/>
    <m/>
    <m/>
  </r>
  <r>
    <m/>
    <x v="818"/>
    <x v="394"/>
    <x v="52"/>
    <m/>
    <x v="391"/>
    <m/>
    <m/>
    <m/>
    <m/>
    <m/>
    <m/>
    <m/>
    <m/>
    <m/>
    <m/>
    <m/>
    <m/>
    <m/>
    <m/>
    <m/>
    <m/>
  </r>
  <r>
    <m/>
    <x v="818"/>
    <x v="394"/>
    <x v="52"/>
    <m/>
    <x v="391"/>
    <m/>
    <m/>
    <m/>
    <m/>
    <m/>
    <m/>
    <m/>
    <m/>
    <m/>
    <m/>
    <m/>
    <m/>
    <m/>
    <m/>
    <m/>
    <m/>
  </r>
  <r>
    <m/>
    <x v="818"/>
    <x v="394"/>
    <x v="52"/>
    <m/>
    <x v="391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28832-3408-4E4D-B76C-C3B45B8BABCA}" name="Tabela dinâ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4:F10" firstHeaderRow="1" firstDataRow="2" firstDataCol="4" rowPageCount="1" colPageCount="1"/>
  <pivotFields count="25">
    <pivotField compact="0" outline="0" showAll="0" defaultSubtotal="0"/>
    <pivotField axis="axisRow" compact="0" outline="0" showAll="0" defaultSubtotal="0">
      <items count="820">
        <item x="259"/>
        <item x="260"/>
        <item x="136"/>
        <item x="261"/>
        <item x="359"/>
        <item x="360"/>
        <item x="103"/>
        <item x="124"/>
        <item x="255"/>
        <item x="265"/>
        <item x="294"/>
        <item x="295"/>
        <item x="299"/>
        <item x="300"/>
        <item x="310"/>
        <item x="312"/>
        <item x="328"/>
        <item x="325"/>
        <item x="357"/>
        <item x="458"/>
        <item x="532"/>
        <item x="554"/>
        <item x="587"/>
        <item x="595"/>
        <item x="621"/>
        <item x="657"/>
        <item x="687"/>
        <item x="717"/>
        <item x="281"/>
        <item x="285"/>
        <item x="309"/>
        <item x="308"/>
        <item x="317"/>
        <item x="318"/>
        <item x="320"/>
        <item x="326"/>
        <item x="334"/>
        <item x="335"/>
        <item x="331"/>
        <item x="339"/>
        <item x="341"/>
        <item x="347"/>
        <item x="348"/>
        <item x="346"/>
        <item x="351"/>
        <item x="352"/>
        <item x="355"/>
        <item x="353"/>
        <item x="354"/>
        <item x="356"/>
        <item x="358"/>
        <item x="362"/>
        <item x="364"/>
        <item x="366"/>
        <item x="369"/>
        <item x="374"/>
        <item x="373"/>
        <item x="376"/>
        <item x="375"/>
        <item x="378"/>
        <item x="380"/>
        <item x="382"/>
        <item x="381"/>
        <item x="386"/>
        <item x="388"/>
        <item x="387"/>
        <item x="385"/>
        <item x="394"/>
        <item x="392"/>
        <item x="401"/>
        <item x="403"/>
        <item x="406"/>
        <item x="407"/>
        <item x="408"/>
        <item x="411"/>
        <item x="409"/>
        <item x="410"/>
        <item x="365"/>
        <item x="415"/>
        <item x="416"/>
        <item x="414"/>
        <item x="417"/>
        <item x="419"/>
        <item x="421"/>
        <item x="422"/>
        <item x="424"/>
        <item x="425"/>
        <item x="423"/>
        <item x="426"/>
        <item x="429"/>
        <item x="428"/>
        <item x="427"/>
        <item x="431"/>
        <item x="434"/>
        <item x="435"/>
        <item x="436"/>
        <item x="437"/>
        <item x="442"/>
        <item x="440"/>
        <item x="441"/>
        <item x="439"/>
        <item x="444"/>
        <item x="443"/>
        <item x="445"/>
        <item x="448"/>
        <item x="450"/>
        <item x="452"/>
        <item x="453"/>
        <item x="456"/>
        <item x="455"/>
        <item x="457"/>
        <item x="460"/>
        <item x="461"/>
        <item x="463"/>
        <item x="462"/>
        <item x="464"/>
        <item x="466"/>
        <item x="467"/>
        <item x="465"/>
        <item x="468"/>
        <item x="469"/>
        <item x="473"/>
        <item x="470"/>
        <item x="476"/>
        <item x="480"/>
        <item x="472"/>
        <item x="475"/>
        <item x="479"/>
        <item x="477"/>
        <item x="474"/>
        <item x="478"/>
        <item x="481"/>
        <item x="486"/>
        <item x="489"/>
        <item x="493"/>
        <item x="492"/>
        <item x="495"/>
        <item x="496"/>
        <item x="494"/>
        <item x="497"/>
        <item x="501"/>
        <item x="502"/>
        <item x="506"/>
        <item x="505"/>
        <item x="509"/>
        <item x="508"/>
        <item x="507"/>
        <item x="515"/>
        <item x="512"/>
        <item x="514"/>
        <item x="516"/>
        <item x="484"/>
        <item x="518"/>
        <item x="520"/>
        <item x="522"/>
        <item x="524"/>
        <item x="526"/>
        <item x="528"/>
        <item x="531"/>
        <item x="540"/>
        <item x="533"/>
        <item x="534"/>
        <item x="537"/>
        <item x="538"/>
        <item x="539"/>
        <item x="541"/>
        <item x="577"/>
        <item x="542"/>
        <item x="547"/>
        <item x="546"/>
        <item x="545"/>
        <item x="543"/>
        <item x="548"/>
        <item x="544"/>
        <item x="549"/>
        <item x="550"/>
        <item x="551"/>
        <item x="559"/>
        <item x="553"/>
        <item x="552"/>
        <item x="555"/>
        <item x="556"/>
        <item x="567"/>
        <item x="612"/>
        <item x="562"/>
        <item x="564"/>
        <item x="565"/>
        <item x="566"/>
        <item x="571"/>
        <item x="574"/>
        <item x="576"/>
        <item x="575"/>
        <item x="578"/>
        <item x="588"/>
        <item x="580"/>
        <item x="584"/>
        <item x="583"/>
        <item x="585"/>
        <item x="590"/>
        <item x="589"/>
        <item x="592"/>
        <item x="593"/>
        <item x="594"/>
        <item x="598"/>
        <item x="600"/>
        <item x="601"/>
        <item x="605"/>
        <item x="604"/>
        <item x="606"/>
        <item x="603"/>
        <item x="607"/>
        <item x="608"/>
        <item x="609"/>
        <item x="611"/>
        <item x="614"/>
        <item x="581"/>
        <item x="619"/>
        <item x="615"/>
        <item x="620"/>
        <item x="626"/>
        <item x="625"/>
        <item x="627"/>
        <item x="628"/>
        <item x="631"/>
        <item x="634"/>
        <item x="636"/>
        <item x="642"/>
        <item x="635"/>
        <item x="637"/>
        <item x="639"/>
        <item x="638"/>
        <item x="641"/>
        <item x="645"/>
        <item x="640"/>
        <item x="643"/>
        <item x="648"/>
        <item x="644"/>
        <item x="649"/>
        <item x="646"/>
        <item x="651"/>
        <item x="652"/>
        <item x="650"/>
        <item x="660"/>
        <item x="654"/>
        <item x="655"/>
        <item x="656"/>
        <item x="658"/>
        <item x="663"/>
        <item x="664"/>
        <item x="666"/>
        <item x="667"/>
        <item x="668"/>
        <item x="665"/>
        <item x="669"/>
        <item x="670"/>
        <item x="673"/>
        <item x="672"/>
        <item x="671"/>
        <item x="674"/>
        <item x="675"/>
        <item x="677"/>
        <item x="676"/>
        <item x="678"/>
        <item x="679"/>
        <item x="682"/>
        <item x="681"/>
        <item x="683"/>
        <item x="680"/>
        <item x="685"/>
        <item x="686"/>
        <item x="684"/>
        <item x="688"/>
        <item x="689"/>
        <item x="690"/>
        <item x="691"/>
        <item x="692"/>
        <item x="693"/>
        <item x="726"/>
        <item x="694"/>
        <item x="695"/>
        <item x="696"/>
        <item x="697"/>
        <item x="698"/>
        <item x="710"/>
        <item x="701"/>
        <item x="699"/>
        <item x="700"/>
        <item x="707"/>
        <item x="703"/>
        <item x="704"/>
        <item x="712"/>
        <item x="706"/>
        <item x="702"/>
        <item x="705"/>
        <item x="709"/>
        <item x="711"/>
        <item x="708"/>
        <item x="713"/>
        <item x="714"/>
        <item x="715"/>
        <item x="716"/>
        <item x="718"/>
        <item x="719"/>
        <item x="720"/>
        <item x="723"/>
        <item x="724"/>
        <item x="725"/>
        <item x="732"/>
        <item x="727"/>
        <item x="728"/>
        <item x="729"/>
        <item x="731"/>
        <item x="730"/>
        <item x="734"/>
        <item x="740"/>
        <item x="733"/>
        <item x="735"/>
        <item x="738"/>
        <item x="736"/>
        <item x="737"/>
        <item x="739"/>
        <item x="750"/>
        <item x="743"/>
        <item x="741"/>
        <item x="744"/>
        <item x="746"/>
        <item x="745"/>
        <item x="742"/>
        <item x="747"/>
        <item x="751"/>
        <item x="748"/>
        <item x="749"/>
        <item x="752"/>
        <item x="754"/>
        <item x="753"/>
        <item x="755"/>
        <item x="757"/>
        <item x="758"/>
        <item x="760"/>
        <item x="759"/>
        <item x="761"/>
        <item x="57"/>
        <item x="60"/>
        <item x="61"/>
        <item x="62"/>
        <item x="63"/>
        <item x="66"/>
        <item x="0"/>
        <item x="68"/>
        <item x="69"/>
        <item x="71"/>
        <item x="72"/>
        <item x="73"/>
        <item x="75"/>
        <item x="84"/>
        <item x="85"/>
        <item x="88"/>
        <item x="89"/>
        <item x="90"/>
        <item x="91"/>
        <item x="93"/>
        <item x="94"/>
        <item x="99"/>
        <item x="81"/>
        <item x="101"/>
        <item x="105"/>
        <item x="107"/>
        <item x="109"/>
        <item x="106"/>
        <item x="112"/>
        <item x="113"/>
        <item x="114"/>
        <item x="117"/>
        <item x="119"/>
        <item x="97"/>
        <item x="118"/>
        <item x="125"/>
        <item x="116"/>
        <item x="120"/>
        <item x="122"/>
        <item x="126"/>
        <item x="176"/>
        <item x="130"/>
        <item x="132"/>
        <item x="138"/>
        <item x="139"/>
        <item x="143"/>
        <item x="140"/>
        <item x="142"/>
        <item x="141"/>
        <item x="104"/>
        <item x="110"/>
        <item x="146"/>
        <item x="145"/>
        <item x="144"/>
        <item x="150"/>
        <item x="152"/>
        <item x="108"/>
        <item x="154"/>
        <item x="157"/>
        <item x="158"/>
        <item x="155"/>
        <item x="161"/>
        <item x="162"/>
        <item x="163"/>
        <item x="164"/>
        <item x="169"/>
        <item x="173"/>
        <item x="174"/>
        <item x="177"/>
        <item x="111"/>
        <item x="172"/>
        <item x="186"/>
        <item x="184"/>
        <item x="185"/>
        <item x="194"/>
        <item x="195"/>
        <item x="192"/>
        <item x="196"/>
        <item x="201"/>
        <item x="204"/>
        <item x="209"/>
        <item x="211"/>
        <item x="214"/>
        <item x="217"/>
        <item x="218"/>
        <item x="238"/>
        <item x="221"/>
        <item x="220"/>
        <item x="225"/>
        <item x="226"/>
        <item x="229"/>
        <item x="230"/>
        <item x="234"/>
        <item x="232"/>
        <item x="233"/>
        <item x="236"/>
        <item x="237"/>
        <item x="240"/>
        <item x="239"/>
        <item x="246"/>
        <item x="244"/>
        <item x="243"/>
        <item x="248"/>
        <item x="247"/>
        <item x="249"/>
        <item x="253"/>
        <item x="251"/>
        <item x="256"/>
        <item x="257"/>
        <item x="264"/>
        <item x="262"/>
        <item x="263"/>
        <item x="258"/>
        <item x="268"/>
        <item x="254"/>
        <item x="200"/>
        <item x="267"/>
        <item x="266"/>
        <item x="271"/>
        <item x="274"/>
        <item x="273"/>
        <item x="272"/>
        <item x="276"/>
        <item x="280"/>
        <item x="279"/>
        <item x="277"/>
        <item x="282"/>
        <item x="283"/>
        <item x="286"/>
        <item x="287"/>
        <item x="284"/>
        <item x="288"/>
        <item x="290"/>
        <item x="291"/>
        <item x="292"/>
        <item x="289"/>
        <item x="296"/>
        <item x="293"/>
        <item x="297"/>
        <item x="301"/>
        <item x="302"/>
        <item x="303"/>
        <item x="304"/>
        <item x="305"/>
        <item x="306"/>
        <item x="307"/>
        <item x="315"/>
        <item x="316"/>
        <item x="313"/>
        <item x="319"/>
        <item x="322"/>
        <item x="321"/>
        <item x="323"/>
        <item x="324"/>
        <item x="327"/>
        <item x="329"/>
        <item x="332"/>
        <item x="333"/>
        <item x="330"/>
        <item x="337"/>
        <item x="336"/>
        <item x="338"/>
        <item x="340"/>
        <item x="343"/>
        <item x="344"/>
        <item x="342"/>
        <item x="345"/>
        <item x="349"/>
        <item x="350"/>
        <item x="363"/>
        <item x="361"/>
        <item x="368"/>
        <item x="367"/>
        <item x="370"/>
        <item x="371"/>
        <item x="372"/>
        <item x="4"/>
        <item x="377"/>
        <item x="379"/>
        <item x="384"/>
        <item x="383"/>
        <item x="3"/>
        <item x="5"/>
        <item x="390"/>
        <item x="391"/>
        <item x="393"/>
        <item x="396"/>
        <item x="395"/>
        <item x="398"/>
        <item x="399"/>
        <item x="397"/>
        <item x="400"/>
        <item x="7"/>
        <item x="6"/>
        <item x="402"/>
        <item x="405"/>
        <item x="412"/>
        <item x="413"/>
        <item x="418"/>
        <item x="420"/>
        <item x="430"/>
        <item x="433"/>
        <item x="8"/>
        <item x="10"/>
        <item x="438"/>
        <item x="11"/>
        <item x="12"/>
        <item x="446"/>
        <item x="447"/>
        <item x="9"/>
        <item x="449"/>
        <item x="451"/>
        <item x="454"/>
        <item x="459"/>
        <item x="471"/>
        <item x="15"/>
        <item x="13"/>
        <item x="14"/>
        <item x="16"/>
        <item x="17"/>
        <item x="18"/>
        <item x="20"/>
        <item x="21"/>
        <item x="504"/>
        <item x="485"/>
        <item x="483"/>
        <item x="482"/>
        <item x="487"/>
        <item x="488"/>
        <item x="491"/>
        <item x="498"/>
        <item x="499"/>
        <item x="490"/>
        <item x="22"/>
        <item x="500"/>
        <item x="24"/>
        <item x="23"/>
        <item x="25"/>
        <item x="503"/>
        <item x="19"/>
        <item x="511"/>
        <item x="510"/>
        <item x="26"/>
        <item x="513"/>
        <item x="27"/>
        <item x="517"/>
        <item x="519"/>
        <item x="521"/>
        <item x="525"/>
        <item x="523"/>
        <item x="527"/>
        <item x="530"/>
        <item x="535"/>
        <item x="536"/>
        <item x="29"/>
        <item x="30"/>
        <item x="32"/>
        <item x="31"/>
        <item x="35"/>
        <item x="33"/>
        <item x="34"/>
        <item x="36"/>
        <item x="37"/>
        <item x="557"/>
        <item x="558"/>
        <item x="653"/>
        <item x="38"/>
        <item x="561"/>
        <item x="560"/>
        <item x="573"/>
        <item x="563"/>
        <item x="568"/>
        <item x="569"/>
        <item x="572"/>
        <item x="28"/>
        <item x="579"/>
        <item x="39"/>
        <item x="582"/>
        <item x="586"/>
        <item x="40"/>
        <item x="591"/>
        <item x="41"/>
        <item x="42"/>
        <item x="43"/>
        <item x="44"/>
        <item x="596"/>
        <item x="597"/>
        <item x="45"/>
        <item x="46"/>
        <item x="47"/>
        <item x="610"/>
        <item x="613"/>
        <item x="617"/>
        <item x="618"/>
        <item x="48"/>
        <item x="51"/>
        <item x="50"/>
        <item x="49"/>
        <item x="622"/>
        <item x="623"/>
        <item x="616"/>
        <item x="602"/>
        <item x="624"/>
        <item x="632"/>
        <item x="53"/>
        <item x="54"/>
        <item x="630"/>
        <item x="629"/>
        <item x="659"/>
        <item x="55"/>
        <item x="56"/>
        <item x="58"/>
        <item x="59"/>
        <item x="647"/>
        <item x="65"/>
        <item x="64"/>
        <item x="529"/>
        <item x="662"/>
        <item x="661"/>
        <item x="1"/>
        <item x="2"/>
        <item x="67"/>
        <item x="70"/>
        <item x="79"/>
        <item x="78"/>
        <item x="74"/>
        <item x="76"/>
        <item x="77"/>
        <item x="756"/>
        <item x="82"/>
        <item x="80"/>
        <item x="52"/>
        <item x="86"/>
        <item x="83"/>
        <item x="87"/>
        <item x="570"/>
        <item x="92"/>
        <item x="95"/>
        <item x="96"/>
        <item x="100"/>
        <item x="98"/>
        <item x="102"/>
        <item x="207"/>
        <item x="115"/>
        <item x="121"/>
        <item x="123"/>
        <item x="131"/>
        <item x="129"/>
        <item x="128"/>
        <item x="127"/>
        <item x="133"/>
        <item x="135"/>
        <item x="137"/>
        <item x="134"/>
        <item x="210"/>
        <item x="147"/>
        <item x="148"/>
        <item x="151"/>
        <item x="149"/>
        <item x="153"/>
        <item x="156"/>
        <item x="160"/>
        <item x="159"/>
        <item x="165"/>
        <item x="167"/>
        <item x="166"/>
        <item x="168"/>
        <item x="170"/>
        <item x="171"/>
        <item x="175"/>
        <item x="179"/>
        <item x="178"/>
        <item x="182"/>
        <item x="181"/>
        <item x="183"/>
        <item x="187"/>
        <item x="180"/>
        <item x="191"/>
        <item x="188"/>
        <item x="189"/>
        <item x="190"/>
        <item x="193"/>
        <item x="197"/>
        <item x="198"/>
        <item x="199"/>
        <item x="203"/>
        <item x="202"/>
        <item x="205"/>
        <item x="206"/>
        <item x="208"/>
        <item x="215"/>
        <item x="212"/>
        <item x="213"/>
        <item x="216"/>
        <item x="219"/>
        <item x="222"/>
        <item x="223"/>
        <item x="235"/>
        <item x="224"/>
        <item x="227"/>
        <item x="228"/>
        <item x="231"/>
        <item x="241"/>
        <item x="242"/>
        <item x="245"/>
        <item x="250"/>
        <item x="252"/>
        <item x="269"/>
        <item x="270"/>
        <item x="278"/>
        <item x="275"/>
        <item x="298"/>
        <item x="311"/>
        <item x="314"/>
        <item x="389"/>
        <item x="404"/>
        <item x="432"/>
        <item x="633"/>
        <item x="722"/>
        <item x="599"/>
        <item x="818"/>
        <item x="763"/>
        <item x="764"/>
        <item x="762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99"/>
        <item x="789"/>
        <item x="791"/>
        <item x="792"/>
        <item x="793"/>
        <item m="1" x="819"/>
        <item x="800"/>
        <item x="794"/>
        <item x="790"/>
        <item x="801"/>
        <item x="795"/>
        <item x="796"/>
        <item x="802"/>
        <item x="803"/>
        <item x="804"/>
        <item x="805"/>
        <item x="806"/>
        <item x="807"/>
        <item x="797"/>
        <item x="798"/>
        <item x="808"/>
        <item x="809"/>
        <item x="810"/>
        <item x="811"/>
        <item x="721"/>
        <item x="812"/>
        <item x="813"/>
        <item x="814"/>
        <item x="815"/>
        <item x="816"/>
        <item x="817"/>
      </items>
    </pivotField>
    <pivotField axis="axisRow" compact="0" outline="0" showAll="0" sortType="ascending" defaultSubtotal="0">
      <items count="3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9"/>
        <item x="380"/>
        <item x="376"/>
        <item x="377"/>
        <item x="381"/>
        <item x="382"/>
        <item x="383"/>
        <item x="378"/>
        <item x="384"/>
        <item x="385"/>
        <item x="386"/>
        <item x="387"/>
        <item x="388"/>
        <item x="389"/>
        <item x="390"/>
        <item x="391"/>
        <item x="392"/>
        <item x="393"/>
        <item x="394"/>
      </items>
    </pivotField>
    <pivotField axis="axisPage" compact="0" outline="0" multipleItemSelectionAllowed="1" showAll="0" defaultSubtotal="0">
      <items count="53">
        <item x="0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1"/>
        <item x="2"/>
        <item x="44"/>
        <item x="45"/>
        <item x="3"/>
        <item x="46"/>
        <item x="47"/>
        <item x="48"/>
        <item x="49"/>
        <item x="50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51"/>
        <item x="17"/>
        <item x="18"/>
        <item x="19"/>
        <item x="20"/>
        <item x="21"/>
        <item x="22"/>
        <item x="23"/>
        <item x="24"/>
        <item x="25"/>
        <item x="26"/>
        <item x="27"/>
        <item x="52"/>
      </items>
    </pivotField>
    <pivotField compact="0" outline="0" showAll="0" defaultSubtotal="0"/>
    <pivotField axis="axisRow" compact="0" outline="0" showAll="0" defaultSubtotal="0">
      <items count="393">
        <item x="74"/>
        <item x="77"/>
        <item x="66"/>
        <item x="272"/>
        <item x="195"/>
        <item x="271"/>
        <item x="156"/>
        <item x="183"/>
        <item x="121"/>
        <item x="208"/>
        <item x="91"/>
        <item x="126"/>
        <item x="47"/>
        <item x="302"/>
        <item x="215"/>
        <item x="221"/>
        <item x="172"/>
        <item x="93"/>
        <item x="304"/>
        <item x="267"/>
        <item x="157"/>
        <item x="312"/>
        <item x="259"/>
        <item x="298"/>
        <item x="83"/>
        <item x="258"/>
        <item x="330"/>
        <item x="123"/>
        <item x="142"/>
        <item x="287"/>
        <item x="315"/>
        <item x="122"/>
        <item x="135"/>
        <item x="113"/>
        <item x="53"/>
        <item x="20"/>
        <item x="144"/>
        <item x="368"/>
        <item x="305"/>
        <item x="355"/>
        <item x="297"/>
        <item x="207"/>
        <item x="234"/>
        <item x="57"/>
        <item x="125"/>
        <item x="323"/>
        <item x="114"/>
        <item x="342"/>
        <item x="63"/>
        <item x="4"/>
        <item x="328"/>
        <item x="13"/>
        <item x="19"/>
        <item x="269"/>
        <item x="306"/>
        <item x="176"/>
        <item x="128"/>
        <item x="164"/>
        <item x="76"/>
        <item x="55"/>
        <item x="1"/>
        <item x="261"/>
        <item x="247"/>
        <item x="352"/>
        <item x="280"/>
        <item x="251"/>
        <item x="152"/>
        <item x="46"/>
        <item x="273"/>
        <item x="186"/>
        <item x="209"/>
        <item x="52"/>
        <item x="159"/>
        <item x="59"/>
        <item x="313"/>
        <item x="54"/>
        <item x="7"/>
        <item x="218"/>
        <item x="18"/>
        <item x="326"/>
        <item x="212"/>
        <item x="268"/>
        <item x="146"/>
        <item x="3"/>
        <item x="253"/>
        <item x="361"/>
        <item x="289"/>
        <item x="347"/>
        <item x="149"/>
        <item x="21"/>
        <item x="333"/>
        <item x="222"/>
        <item x="250"/>
        <item x="299"/>
        <item x="316"/>
        <item x="278"/>
        <item x="27"/>
        <item x="34"/>
        <item x="340"/>
        <item x="188"/>
        <item x="72"/>
        <item x="119"/>
        <item x="249"/>
        <item x="78"/>
        <item x="320"/>
        <item x="81"/>
        <item x="137"/>
        <item x="175"/>
        <item x="216"/>
        <item x="204"/>
        <item x="140"/>
        <item x="262"/>
        <item x="64"/>
        <item x="317"/>
        <item x="283"/>
        <item x="231"/>
        <item x="205"/>
        <item x="318"/>
        <item x="294"/>
        <item x="101"/>
        <item x="182"/>
        <item x="177"/>
        <item x="341"/>
        <item x="184"/>
        <item x="131"/>
        <item x="241"/>
        <item x="233"/>
        <item x="145"/>
        <item x="75"/>
        <item x="223"/>
        <item x="257"/>
        <item x="62"/>
        <item x="110"/>
        <item x="334"/>
        <item x="190"/>
        <item x="217"/>
        <item x="219"/>
        <item x="48"/>
        <item x="44"/>
        <item x="43"/>
        <item x="99"/>
        <item x="309"/>
        <item x="192"/>
        <item x="11"/>
        <item x="68"/>
        <item x="84"/>
        <item x="356"/>
        <item x="15"/>
        <item x="220"/>
        <item x="17"/>
        <item x="31"/>
        <item x="35"/>
        <item x="252"/>
        <item x="237"/>
        <item x="85"/>
        <item x="136"/>
        <item x="288"/>
        <item x="199"/>
        <item x="331"/>
        <item x="197"/>
        <item x="153"/>
        <item x="308"/>
        <item x="301"/>
        <item x="124"/>
        <item x="168"/>
        <item x="260"/>
        <item x="10"/>
        <item x="351"/>
        <item x="360"/>
        <item x="148"/>
        <item x="343"/>
        <item x="60"/>
        <item x="24"/>
        <item x="327"/>
        <item x="9"/>
        <item x="12"/>
        <item x="244"/>
        <item x="102"/>
        <item x="321"/>
        <item x="292"/>
        <item x="201"/>
        <item x="160"/>
        <item x="279"/>
        <item x="225"/>
        <item x="42"/>
        <item x="295"/>
        <item x="349"/>
        <item x="350"/>
        <item x="69"/>
        <item x="79"/>
        <item x="32"/>
        <item x="191"/>
        <item x="41"/>
        <item x="129"/>
        <item x="8"/>
        <item x="187"/>
        <item x="256"/>
        <item x="151"/>
        <item x="263"/>
        <item x="243"/>
        <item x="307"/>
        <item x="38"/>
        <item x="36"/>
        <item x="97"/>
        <item x="98"/>
        <item x="248"/>
        <item x="127"/>
        <item x="29"/>
        <item x="265"/>
        <item x="193"/>
        <item x="179"/>
        <item x="337"/>
        <item x="67"/>
        <item x="65"/>
        <item x="213"/>
        <item x="166"/>
        <item x="314"/>
        <item x="0"/>
        <item x="158"/>
        <item x="264"/>
        <item x="14"/>
        <item x="143"/>
        <item x="56"/>
        <item x="61"/>
        <item x="132"/>
        <item x="30"/>
        <item x="290"/>
        <item x="281"/>
        <item x="344"/>
        <item x="45"/>
        <item x="266"/>
        <item x="332"/>
        <item x="310"/>
        <item x="154"/>
        <item x="240"/>
        <item x="357"/>
        <item x="49"/>
        <item x="229"/>
        <item x="180"/>
        <item x="111"/>
        <item x="80"/>
        <item x="5"/>
        <item x="26"/>
        <item x="189"/>
        <item x="71"/>
        <item x="203"/>
        <item x="58"/>
        <item x="138"/>
        <item x="282"/>
        <item x="165"/>
        <item x="291"/>
        <item x="358"/>
        <item x="311"/>
        <item x="285"/>
        <item x="274"/>
        <item x="232"/>
        <item x="86"/>
        <item x="100"/>
        <item x="345"/>
        <item x="25"/>
        <item x="178"/>
        <item x="353"/>
        <item x="354"/>
        <item x="246"/>
        <item x="108"/>
        <item x="230"/>
        <item x="105"/>
        <item x="141"/>
        <item x="335"/>
        <item x="33"/>
        <item x="174"/>
        <item x="6"/>
        <item x="16"/>
        <item x="2"/>
        <item x="51"/>
        <item x="324"/>
        <item x="50"/>
        <item x="303"/>
        <item x="277"/>
        <item x="300"/>
        <item x="94"/>
        <item x="200"/>
        <item x="198"/>
        <item x="163"/>
        <item x="120"/>
        <item x="89"/>
        <item x="162"/>
        <item x="339"/>
        <item x="214"/>
        <item x="92"/>
        <item x="338"/>
        <item x="325"/>
        <item x="133"/>
        <item x="106"/>
        <item x="109"/>
        <item x="107"/>
        <item x="112"/>
        <item x="293"/>
        <item x="211"/>
        <item x="296"/>
        <item x="242"/>
        <item x="284"/>
        <item x="147"/>
        <item x="139"/>
        <item x="185"/>
        <item x="115"/>
        <item x="70"/>
        <item x="170"/>
        <item x="37"/>
        <item x="367"/>
        <item x="346"/>
        <item x="173"/>
        <item x="245"/>
        <item x="224"/>
        <item x="169"/>
        <item x="130"/>
        <item x="117"/>
        <item x="73"/>
        <item x="116"/>
        <item x="22"/>
        <item x="23"/>
        <item x="171"/>
        <item x="95"/>
        <item x="227"/>
        <item x="161"/>
        <item x="202"/>
        <item x="96"/>
        <item x="87"/>
        <item x="39"/>
        <item x="319"/>
        <item x="255"/>
        <item x="104"/>
        <item x="275"/>
        <item x="226"/>
        <item x="88"/>
        <item x="336"/>
        <item x="206"/>
        <item x="238"/>
        <item x="235"/>
        <item x="90"/>
        <item x="254"/>
        <item x="210"/>
        <item x="134"/>
        <item x="196"/>
        <item x="286"/>
        <item x="103"/>
        <item x="194"/>
        <item x="276"/>
        <item x="236"/>
        <item x="167"/>
        <item x="239"/>
        <item x="329"/>
        <item x="150"/>
        <item x="82"/>
        <item x="40"/>
        <item x="118"/>
        <item x="181"/>
        <item x="348"/>
        <item x="270"/>
        <item x="155"/>
        <item x="228"/>
        <item x="28"/>
        <item x="391"/>
        <item x="359"/>
        <item x="369"/>
        <item x="362"/>
        <item x="370"/>
        <item x="363"/>
        <item x="371"/>
        <item x="372"/>
        <item x="364"/>
        <item m="1" x="392"/>
        <item x="373"/>
        <item x="365"/>
        <item x="374"/>
        <item x="375"/>
        <item x="376"/>
        <item x="377"/>
        <item x="378"/>
        <item x="379"/>
        <item x="380"/>
        <item x="381"/>
        <item x="366"/>
        <item x="382"/>
        <item x="322"/>
        <item x="383"/>
        <item x="384"/>
        <item x="385"/>
        <item x="386"/>
        <item x="387"/>
        <item x="388"/>
        <item x="389"/>
        <item x="390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4">
        <item x="0"/>
        <item x="1"/>
        <item x="2"/>
        <item x="3"/>
        <item x="4"/>
        <item x="5"/>
        <item sd="0"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axis="axisRow" compact="0" outline="0" showAll="0" sortType="ascending" defaultSubtotal="0">
      <items count="5">
        <item h="1" x="0"/>
        <item h="1" x="4"/>
        <item h="1" x="1"/>
        <item h="1" x="2"/>
        <item x="3"/>
      </items>
    </pivotField>
  </pivotFields>
  <rowFields count="4">
    <field x="24"/>
    <field x="2"/>
    <field x="5"/>
    <field x="1"/>
  </rowFields>
  <rowItems count="5">
    <i>
      <x v="4"/>
      <x v="391"/>
      <x v="57"/>
      <x v="819"/>
    </i>
    <i r="2">
      <x v="392"/>
      <x v="50"/>
    </i>
    <i r="1">
      <x v="392"/>
      <x v="184"/>
      <x v="695"/>
    </i>
    <i r="1">
      <x v="393"/>
      <x v="43"/>
      <x v="696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oma de QTD" fld="9" baseField="0" baseItem="0"/>
    <dataField name="Soma de TOTAL " fld="11" baseField="2" baseItem="0" numFmtId="44"/>
  </dataFields>
  <formats count="10"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24" type="button" dataOnly="0" labelOnly="1" outline="0" axis="axisRow" fieldPosition="0"/>
    </format>
    <format dxfId="33">
      <pivotArea dataOnly="0" labelOnly="1" fieldPosition="0">
        <references count="1">
          <reference field="24" count="1">
            <x v="4"/>
          </reference>
        </references>
      </pivotArea>
    </format>
    <format dxfId="34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">
      <pivotArea grandRow="1" outline="0" collapsedLevelsAreSubtotals="1" fieldPosition="0"/>
    </format>
    <format dxfId="37">
      <pivotArea dataOnly="0" labelOnly="1" grandRow="1" outline="0" fieldPosition="0"/>
    </format>
    <format dxfId="38">
      <pivotArea grandRow="1" outline="0" collapsedLevelsAreSubtotals="1" fieldPosition="0"/>
    </format>
    <format dxfId="39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2" type="thisMonth" evalOrder="-1" id="22">
      <autoFilter ref="A1">
        <filterColumn colId="0">
          <dynamicFilter type="thisMonth" val="46266" maxVal="4629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905" dT="2025-12-03T12:41:29.01" personId="{B4A959B3-2D84-4308-B1AA-7777A2766DCB}" id="{E91BC88C-CDDD-4D7F-AB11-A899AC2F4F0C}">
    <text>Quantidade de polos no pedido= 19  un. Voltaram as 17, para fazer uma arte na camiseta, fazem parte das brancas.</text>
  </threadedComment>
  <threadedComment ref="J906" dT="2025-12-03T12:42:31.77" personId="{B4A959B3-2D84-4308-B1AA-7777A2766DCB}" id="{0561A7A8-658A-4567-B0D1-78173639C9F4}">
    <text>Quantidade de camisetas no pedido= 85 un. Voltaram 22, para fazer uma arte na camiseta, fazem parte das brancas.</text>
  </threadedComment>
  <threadedComment ref="J957" dT="2025-12-03T12:50:17.47" personId="{B4A959B3-2D84-4308-B1AA-7777A2766DCB}" id="{BE086A55-60E4-4FE5-8328-6BAE0F761C95}">
    <text>PEDIDO 1000 UNIDADES; FALTAM 250 PARA PRODUÇÃO</text>
  </threadedComment>
  <threadedComment ref="J973" dT="2025-12-05T18:23:06.67" personId="{B4A959B3-2D84-4308-B1AA-7777A2766DCB}" id="{CC83B0F1-4AC0-4B17-A81D-613731B85DEC}">
    <text xml:space="preserve">ENTREGUE 50/100 UN - 05/12/2025
</text>
  </threadedComment>
  <threadedComment ref="J1001" dT="2025-12-11T20:26:29.47" personId="{B4A959B3-2D84-4308-B1AA-7777A2766DCB}" id="{C9FB560F-9119-438D-ACC6-89D3433FC592}">
    <text>11/12/2025 - 100 sacolas, 2 cx de 8,72 kg</text>
  </threadedComment>
  <threadedComment ref="J1020" dT="2026-01-07T15:54:39.39" personId="{B4A959B3-2D84-4308-B1AA-7777A2766DCB}" id="{A7552384-173D-43B0-A537-1D85C61A7CB5}">
    <text xml:space="preserve">Enviado 200 peças - 07/01/2026
Pedido pronto 08/01 </text>
  </threadedComment>
  <threadedComment ref="J1068" dT="2026-01-28T11:11:07.78" personId="{B4A959B3-2D84-4308-B1AA-7777A2766DCB}" id="{65B34AB1-6A70-45F9-922A-3538E930E37B}">
    <text>500 UNIDADES ENTREGUE 26/01</text>
  </threadedComment>
  <threadedComment ref="J1068" dT="2026-02-06T17:41:40.05" personId="{B4A959B3-2D84-4308-B1AA-7777A2766DCB}" id="{2E3A292E-99DC-4163-AE65-05D5377AF17D}" parentId="{65B34AB1-6A70-45F9-922A-3538E930E37B}">
    <text>500 UNIDADES PRONTAS 04/02</text>
  </threadedComment>
  <threadedComment ref="J1108" dT="2026-03-30T11:14:27.35" personId="{B4A959B3-2D84-4308-B1AA-7777A2766DCB}" id="{C4ADBCE1-BE7C-4D6D-8E61-5780F1194C38}">
    <text>ENTREGUE 27/03 344 DE 500 UNIDADES.
Finalizado dia 08/04</text>
  </threadedComment>
  <threadedComment ref="J1146" dT="2026-03-25T13:46:16.62" personId="{B4A959B3-2D84-4308-B1AA-7777A2766DCB}" id="{92F52183-D1EE-4974-B572-0CED31B0E377}">
    <text xml:space="preserve">Entregue 268 unidades do pedido de 300 Un - 25/03
</text>
  </threadedComment>
  <threadedComment ref="B1159" dT="2026-02-24T18:07:15.00" personId="{B4A959B3-2D84-4308-B1AA-7777A2766DCB}" id="{E8241E04-DB81-4626-A236-5669F56E0705}">
    <text>NUMERO DE ORÇAMENTO</text>
  </threadedComment>
  <threadedComment ref="J1159" dT="2026-03-25T12:51:45.48" personId="{B4A959B3-2D84-4308-B1AA-7777A2766DCB}" id="{4C4E7272-DF2E-4378-A344-54DD27E7A297}">
    <text>Enviado 500 unidades 25/03
Enviado 720 unidades 10/04</text>
  </threadedComment>
  <threadedComment ref="J1188" dT="2026-03-23T17:36:25.99" personId="{B4A959B3-2D84-4308-B1AA-7777A2766DCB}" id="{014F1ED6-467F-407F-8E72-974A20303EAD}">
    <text xml:space="preserve">Pedido: 5000 unidades - entregue 3000 em 20/03
</text>
  </threadedComment>
  <threadedComment ref="J1188" dT="2026-04-07T14:47:09.14" personId="{B4A959B3-2D84-4308-B1AA-7777A2766DCB}" id="{29E3269F-162F-4C79-848D-AB942FBB9589}" parentId="{014F1ED6-467F-407F-8E72-974A20303EAD}">
    <text>Entregue 1750 unidades dia 04/04</text>
  </threadedComment>
  <threadedComment ref="J1189" dT="2026-03-30T11:20:51.71" personId="{B4A959B3-2D84-4308-B1AA-7777A2766DCB}" id="{064BAD4C-6BA2-497A-BF4D-AAE92C4876C4}">
    <text>SEMANA 13 - ENTREGUE 800 UNIDADES; 400 PRA SP E 400 PRO RJ</text>
  </threadedComment>
  <threadedComment ref="J1189" dT="2026-04-07T14:48:19.79" personId="{B4A959B3-2D84-4308-B1AA-7777A2766DCB}" id="{C12A4D92-234A-463C-BB11-01090086098C}" parentId="{064BAD4C-6BA2-497A-BF4D-AAE92C4876C4}">
    <text>Entregue 1000 unidades, em 04/04</text>
  </threadedComment>
  <threadedComment ref="J1194" dT="2026-04-23T16:09:12.32" personId="{B4A959B3-2D84-4308-B1AA-7777A2766DCB}" id="{5A24B59C-29C4-4F1F-BCF0-ED1C4A3B5510}">
    <text xml:space="preserve">ENTREGUE 392 UNIDADES 23/04/2026
</text>
  </threadedComment>
  <threadedComment ref="J1195" dT="2026-04-23T16:09:26.94" personId="{B4A959B3-2D84-4308-B1AA-7777A2766DCB}" id="{63925900-19F8-44F3-A568-D7C73BAA3C74}">
    <text xml:space="preserve">ENTREGUE 391 UNIDADES 23/04/2026
</text>
  </threadedComment>
  <threadedComment ref="J1207" dT="2026-03-30T19:44:28.19" personId="{B4A959B3-2D84-4308-B1AA-7777A2766DCB}" id="{788CA651-79E9-4FF3-BAEC-4C1F506FAAA9}">
    <text xml:space="preserve">146 UNIDADES ENVIADAS POR SEDEX 30/03/2026
</text>
  </threadedComment>
  <threadedComment ref="J1207" dT="2026-04-14T20:05:07.79" personId="{B4A959B3-2D84-4308-B1AA-7777A2766DCB}" id="{4F6A5BF5-1F88-4C1F-A7CC-3FAAF4D69484}" parentId="{788CA651-79E9-4FF3-BAEC-4C1F506FAAA9}">
    <text>8 UNIDADES ENVIADAS 09/04/2026</text>
  </threadedComment>
  <threadedComment ref="J1219" dT="2026-04-15T12:56:18.75" personId="{B4A959B3-2D84-4308-B1AA-7777A2766DCB}" id="{8704C623-5EB8-4F81-B3FE-9C13B6241014}">
    <text>ENTREGUE 180 UNIDADES DIA 14/04/2026</text>
  </threadedComment>
  <threadedComment ref="J1243" dT="2026-04-14T20:07:06.47" personId="{B4A959B3-2D84-4308-B1AA-7777A2766DCB}" id="{6A27F566-B60D-4334-9252-C44580B198F6}">
    <text>Enviadas 2000 - 
Faltam 10.000</text>
  </threadedComment>
  <threadedComment ref="J1243" dT="2026-04-22T15:07:35.34" personId="{B4A959B3-2D84-4308-B1AA-7777A2766DCB}" id="{6CEEEAD1-2B0D-4C2A-BD05-FBEB54910479}" parentId="{6A27F566-B60D-4334-9252-C44580B198F6}">
    <text>Enviados 10.000 17/04</text>
  </threadedComment>
  <threadedComment ref="J1250" dT="2026-05-07T14:00:55.52" personId="{B4A959B3-2D84-4308-B1AA-7777A2766DCB}" id="{24F558B3-3A76-451B-A6C3-33FFAA26567F}">
    <text>ENTREGUE 54 UNIDADES - 29/04
ENTREGUE 50 UNIDADES - 30/04</text>
  </threadedComment>
  <threadedComment ref="J1257" dT="2026-04-15T12:49:34.37" personId="{B4A959B3-2D84-4308-B1AA-7777A2766DCB}" id="{7ECBD855-D94A-4257-9E58-08A45AF8A4AB}">
    <text>Entregue 55 unidades dia 11/04</text>
  </threadedComment>
  <threadedComment ref="B1268" dT="2026-04-02T14:18:01.87" personId="{B4A959B3-2D84-4308-B1AA-7777A2766DCB}" id="{278D3B7D-AEC2-4C88-AADB-41C6A07E202B}">
    <text>NUMERO DE ORÇAMENTO</text>
  </threadedComment>
  <threadedComment ref="B1282" dT="2026-04-14T13:09:44.86" personId="{B4A959B3-2D84-4308-B1AA-7777A2766DCB}" id="{4CD6EFBD-9C39-4BA1-B370-E2EE494A6B41}">
    <text>NUMERO DE ORÇAMENTO</text>
  </threadedComment>
  <threadedComment ref="J1299" dT="2026-06-12T13:49:48.49" personId="{B4A959B3-2D84-4308-B1AA-7777A2766DCB}" id="{E35FF6E8-FB20-4C2B-A58B-DAA3FDF99120}">
    <text>QUANTIDADE ENVIADA PRIMEIRA REMESSA 2000 UNIDADES; SEGUNDA REMESSA 1000 UNIDADES</text>
  </threadedComment>
  <threadedComment ref="J1565" dT="2026-08-25T10:57:56.48" personId="{B4A959B3-2D84-4308-B1AA-7777A2766DCB}" id="{BB514BD6-44B1-470C-981C-851CCB3893D1}">
    <text>200 ENTREGUES NA FRENTE</text>
  </threadedComment>
  <threadedComment ref="J1566" dT="2026-08-25T10:59:22.30" personId="{B4A959B3-2D84-4308-B1AA-7777A2766DCB}" id="{1F124BE0-0B7D-47E8-846D-4CB9CD465E4B}">
    <text xml:space="preserve">ENTREGAR 500 NA FRENTE
</text>
  </threadedComment>
  <threadedComment ref="M1574" dT="2026-08-07T14:09:42.84" personId="{B4A959B3-2D84-4308-B1AA-7777A2766DCB}" id="{2A8FF3D8-5598-4CCF-8ED0-8F771F3D1D32}">
    <text xml:space="preserve">Pago 50% 07-08-2026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13D7-6626-4929-9C76-080B3AF06F3B}">
  <sheetPr filterMode="1">
    <pageSetUpPr fitToPage="1"/>
  </sheetPr>
  <dimension ref="A1:BN182"/>
  <sheetViews>
    <sheetView topLeftCell="G1" zoomScaleNormal="100" workbookViewId="0">
      <selection activeCell="N1" sqref="N1"/>
    </sheetView>
  </sheetViews>
  <sheetFormatPr defaultRowHeight="15.6" x14ac:dyDescent="0.3"/>
  <cols>
    <col min="1" max="1" width="11.88671875" bestFit="1" customWidth="1"/>
    <col min="2" max="2" width="16.44140625" bestFit="1" customWidth="1"/>
    <col min="3" max="3" width="18" bestFit="1" customWidth="1"/>
    <col min="5" max="5" width="44" bestFit="1" customWidth="1"/>
    <col min="6" max="6" width="77.88671875" bestFit="1" customWidth="1"/>
    <col min="7" max="7" width="12.44140625" bestFit="1" customWidth="1"/>
    <col min="8" max="8" width="8.88671875" bestFit="1" customWidth="1"/>
    <col min="9" max="9" width="16" bestFit="1" customWidth="1"/>
    <col min="10" max="10" width="15.33203125" style="1" bestFit="1" customWidth="1"/>
    <col min="11" max="11" width="22.88671875" style="1" bestFit="1" customWidth="1"/>
    <col min="12" max="12" width="20.33203125" style="44" bestFit="1" customWidth="1"/>
    <col min="13" max="13" width="16.109375" customWidth="1"/>
    <col min="14" max="14" width="25" bestFit="1" customWidth="1"/>
    <col min="15" max="16" width="18.109375" bestFit="1" customWidth="1"/>
    <col min="18" max="18" width="14.33203125" bestFit="1" customWidth="1"/>
    <col min="19" max="19" width="14.88671875" bestFit="1" customWidth="1"/>
    <col min="21" max="21" width="11.6640625" bestFit="1" customWidth="1"/>
    <col min="22" max="22" width="10.6640625" bestFit="1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2" t="s">
        <v>20</v>
      </c>
    </row>
    <row r="2" spans="1:21" hidden="1" x14ac:dyDescent="0.3">
      <c r="A2" s="4" t="s">
        <v>21</v>
      </c>
      <c r="B2" s="5">
        <v>45538</v>
      </c>
      <c r="C2" s="4" t="s">
        <v>22</v>
      </c>
      <c r="D2" s="4">
        <v>598</v>
      </c>
      <c r="E2" s="4" t="s">
        <v>23</v>
      </c>
      <c r="F2" s="4" t="s">
        <v>24</v>
      </c>
      <c r="G2" s="4" t="s">
        <v>25</v>
      </c>
      <c r="H2" s="4" t="s">
        <v>26</v>
      </c>
      <c r="I2" s="4">
        <v>300</v>
      </c>
      <c r="J2" s="6">
        <v>28</v>
      </c>
      <c r="K2" s="6">
        <f>I2*J2</f>
        <v>8400</v>
      </c>
      <c r="L2" s="7">
        <v>45567</v>
      </c>
      <c r="M2" s="8" t="str">
        <f ca="1">IF(L2&lt;TODAY(),"ATRASO","EM PRODUÇÃO")</f>
        <v>ATRASO</v>
      </c>
      <c r="N2" s="4" t="s">
        <v>27</v>
      </c>
      <c r="O2" s="4" t="s">
        <v>28</v>
      </c>
      <c r="P2" s="4" t="s">
        <v>28</v>
      </c>
      <c r="Q2" s="4" t="s">
        <v>28</v>
      </c>
      <c r="R2" s="4" t="s">
        <v>28</v>
      </c>
      <c r="S2" s="4" t="s">
        <v>28</v>
      </c>
      <c r="T2" s="4">
        <v>970</v>
      </c>
      <c r="U2" s="4" t="s">
        <v>29</v>
      </c>
    </row>
    <row r="3" spans="1:21" hidden="1" x14ac:dyDescent="0.3">
      <c r="A3" s="4" t="s">
        <v>21</v>
      </c>
      <c r="B3" s="5">
        <v>45553</v>
      </c>
      <c r="C3" s="4" t="s">
        <v>22</v>
      </c>
      <c r="D3" s="4">
        <v>180</v>
      </c>
      <c r="E3" s="4" t="s">
        <v>30</v>
      </c>
      <c r="F3" s="4" t="s">
        <v>31</v>
      </c>
      <c r="G3" s="4" t="s">
        <v>32</v>
      </c>
      <c r="H3" s="4" t="s">
        <v>26</v>
      </c>
      <c r="I3" s="4">
        <v>100</v>
      </c>
      <c r="J3" s="6">
        <v>26.5</v>
      </c>
      <c r="K3" s="6">
        <f>I3*J3</f>
        <v>2650</v>
      </c>
      <c r="L3" s="7">
        <v>45580</v>
      </c>
      <c r="M3" s="8" t="str">
        <f ca="1">IF(L3&lt;TODAY(),"ATRASO","EM PRODUÇÃO")</f>
        <v>ATRASO</v>
      </c>
      <c r="N3" s="5">
        <v>45589</v>
      </c>
      <c r="O3" s="4" t="s">
        <v>28</v>
      </c>
      <c r="P3" s="4" t="s">
        <v>28</v>
      </c>
      <c r="Q3" s="4" t="s">
        <v>28</v>
      </c>
      <c r="R3" s="4" t="s">
        <v>28</v>
      </c>
      <c r="S3" s="4" t="s">
        <v>28</v>
      </c>
      <c r="T3" s="4" t="s">
        <v>28</v>
      </c>
      <c r="U3" s="4" t="s">
        <v>29</v>
      </c>
    </row>
    <row r="4" spans="1:21" hidden="1" x14ac:dyDescent="0.3">
      <c r="A4" s="4" t="s">
        <v>21</v>
      </c>
      <c r="B4" s="5">
        <v>45552</v>
      </c>
      <c r="C4" s="4" t="s">
        <v>33</v>
      </c>
      <c r="D4" s="4">
        <v>176</v>
      </c>
      <c r="E4" s="4" t="s">
        <v>34</v>
      </c>
      <c r="F4" s="4" t="s">
        <v>35</v>
      </c>
      <c r="G4" s="4" t="s">
        <v>36</v>
      </c>
      <c r="H4" s="4" t="s">
        <v>26</v>
      </c>
      <c r="I4" s="4">
        <v>10</v>
      </c>
      <c r="J4" s="6">
        <v>75</v>
      </c>
      <c r="K4" s="6">
        <f t="shared" ref="K4:K35" si="0">I4*J4</f>
        <v>750</v>
      </c>
      <c r="L4" s="5">
        <v>45580</v>
      </c>
      <c r="M4" s="8" t="str">
        <f t="shared" ref="M4:M35" ca="1" si="1">IF(L4&lt;TODAY(),"ATRASO","EM PRODUÇÃO")</f>
        <v>ATRASO</v>
      </c>
      <c r="N4" s="5">
        <v>45594</v>
      </c>
      <c r="O4" s="4" t="s">
        <v>28</v>
      </c>
      <c r="P4" s="4" t="s">
        <v>28</v>
      </c>
      <c r="Q4" s="4" t="s">
        <v>28</v>
      </c>
      <c r="R4" s="4" t="s">
        <v>28</v>
      </c>
      <c r="S4" s="4" t="s">
        <v>28</v>
      </c>
      <c r="T4" s="4">
        <v>154</v>
      </c>
      <c r="U4" s="4" t="s">
        <v>29</v>
      </c>
    </row>
    <row r="5" spans="1:21" hidden="1" x14ac:dyDescent="0.3">
      <c r="A5" s="4" t="s">
        <v>21</v>
      </c>
      <c r="B5" s="5">
        <v>45552</v>
      </c>
      <c r="C5" s="4" t="s">
        <v>33</v>
      </c>
      <c r="D5" s="4">
        <v>177</v>
      </c>
      <c r="E5" s="4" t="s">
        <v>34</v>
      </c>
      <c r="F5" s="4" t="s">
        <v>37</v>
      </c>
      <c r="G5" s="4" t="s">
        <v>38</v>
      </c>
      <c r="H5" s="4" t="s">
        <v>26</v>
      </c>
      <c r="I5" s="4">
        <v>210</v>
      </c>
      <c r="J5" s="6">
        <v>55</v>
      </c>
      <c r="K5" s="6">
        <f t="shared" si="0"/>
        <v>11550</v>
      </c>
      <c r="L5" s="5">
        <v>45580</v>
      </c>
      <c r="M5" s="8" t="str">
        <f t="shared" ca="1" si="1"/>
        <v>ATRASO</v>
      </c>
      <c r="N5" s="5">
        <v>45596</v>
      </c>
      <c r="O5" s="4" t="s">
        <v>28</v>
      </c>
      <c r="P5" s="4" t="s">
        <v>28</v>
      </c>
      <c r="Q5" s="4" t="s">
        <v>28</v>
      </c>
      <c r="R5" s="4" t="s">
        <v>28</v>
      </c>
      <c r="S5" s="4" t="s">
        <v>28</v>
      </c>
      <c r="T5" s="4" t="s">
        <v>28</v>
      </c>
      <c r="U5" s="4" t="s">
        <v>29</v>
      </c>
    </row>
    <row r="6" spans="1:21" hidden="1" x14ac:dyDescent="0.3">
      <c r="A6" s="4" t="s">
        <v>21</v>
      </c>
      <c r="B6" s="5">
        <v>45552</v>
      </c>
      <c r="C6" s="4" t="s">
        <v>39</v>
      </c>
      <c r="D6" s="4">
        <v>179</v>
      </c>
      <c r="E6" s="4" t="s">
        <v>40</v>
      </c>
      <c r="F6" s="4" t="s">
        <v>41</v>
      </c>
      <c r="G6" s="4" t="s">
        <v>42</v>
      </c>
      <c r="H6" s="4" t="s">
        <v>43</v>
      </c>
      <c r="I6" s="4">
        <v>112</v>
      </c>
      <c r="J6" s="6">
        <v>23.5</v>
      </c>
      <c r="K6" s="6">
        <f t="shared" si="0"/>
        <v>2632</v>
      </c>
      <c r="L6" s="5">
        <v>45580</v>
      </c>
      <c r="M6" s="8" t="str">
        <f t="shared" ca="1" si="1"/>
        <v>ATRASO</v>
      </c>
      <c r="N6" s="4"/>
      <c r="O6" s="4" t="s">
        <v>28</v>
      </c>
      <c r="P6" s="4" t="s">
        <v>28</v>
      </c>
      <c r="Q6" s="4" t="s">
        <v>28</v>
      </c>
      <c r="R6" s="4" t="s">
        <v>28</v>
      </c>
      <c r="S6" s="4" t="s">
        <v>28</v>
      </c>
      <c r="T6" s="4" t="s">
        <v>28</v>
      </c>
      <c r="U6" s="4" t="s">
        <v>29</v>
      </c>
    </row>
    <row r="7" spans="1:21" hidden="1" x14ac:dyDescent="0.3">
      <c r="A7" s="4" t="s">
        <v>21</v>
      </c>
      <c r="B7" s="5">
        <v>45553</v>
      </c>
      <c r="C7" s="4" t="s">
        <v>33</v>
      </c>
      <c r="D7" s="4">
        <v>181</v>
      </c>
      <c r="E7" s="4" t="s">
        <v>44</v>
      </c>
      <c r="F7" s="4" t="s">
        <v>45</v>
      </c>
      <c r="G7" s="4" t="s">
        <v>38</v>
      </c>
      <c r="H7" s="4" t="s">
        <v>46</v>
      </c>
      <c r="I7" s="4">
        <v>200</v>
      </c>
      <c r="J7" s="6">
        <v>55</v>
      </c>
      <c r="K7" s="6">
        <f t="shared" si="0"/>
        <v>11000</v>
      </c>
      <c r="L7" s="5">
        <v>45581</v>
      </c>
      <c r="M7" s="8" t="str">
        <f t="shared" ca="1" si="1"/>
        <v>ATRASO</v>
      </c>
      <c r="N7" s="5">
        <v>45602</v>
      </c>
      <c r="O7" s="4" t="s">
        <v>28</v>
      </c>
      <c r="P7" s="4" t="s">
        <v>28</v>
      </c>
      <c r="Q7" s="4" t="s">
        <v>28</v>
      </c>
      <c r="R7" s="4" t="s">
        <v>28</v>
      </c>
      <c r="S7" s="4" t="s">
        <v>28</v>
      </c>
      <c r="T7" s="4">
        <v>159</v>
      </c>
      <c r="U7" s="4" t="s">
        <v>29</v>
      </c>
    </row>
    <row r="8" spans="1:21" hidden="1" x14ac:dyDescent="0.3">
      <c r="A8" s="4" t="s">
        <v>21</v>
      </c>
      <c r="B8" s="5">
        <v>45572</v>
      </c>
      <c r="C8" s="4" t="s">
        <v>22</v>
      </c>
      <c r="D8" s="4">
        <v>616</v>
      </c>
      <c r="E8" s="4" t="s">
        <v>47</v>
      </c>
      <c r="F8" s="4" t="s">
        <v>48</v>
      </c>
      <c r="G8" s="4" t="s">
        <v>36</v>
      </c>
      <c r="H8" s="4" t="s">
        <v>46</v>
      </c>
      <c r="I8" s="4">
        <v>112</v>
      </c>
      <c r="J8" s="6">
        <v>26.5</v>
      </c>
      <c r="K8" s="6">
        <f t="shared" si="0"/>
        <v>2968</v>
      </c>
      <c r="L8" s="5">
        <v>45586</v>
      </c>
      <c r="M8" s="8" t="str">
        <f t="shared" ca="1" si="1"/>
        <v>ATRASO</v>
      </c>
      <c r="N8" s="5">
        <v>45587</v>
      </c>
      <c r="O8" s="4" t="s">
        <v>28</v>
      </c>
      <c r="P8" s="4" t="s">
        <v>28</v>
      </c>
      <c r="Q8" s="4" t="s">
        <v>28</v>
      </c>
      <c r="R8" s="4" t="s">
        <v>28</v>
      </c>
      <c r="S8" s="4" t="s">
        <v>28</v>
      </c>
      <c r="T8" s="4">
        <v>959</v>
      </c>
      <c r="U8" s="4" t="s">
        <v>29</v>
      </c>
    </row>
    <row r="9" spans="1:21" hidden="1" x14ac:dyDescent="0.3">
      <c r="A9" s="4" t="s">
        <v>21</v>
      </c>
      <c r="B9" s="5">
        <v>45560</v>
      </c>
      <c r="C9" s="4" t="s">
        <v>22</v>
      </c>
      <c r="D9" s="4">
        <v>187</v>
      </c>
      <c r="E9" s="4" t="s">
        <v>49</v>
      </c>
      <c r="F9" s="4" t="s">
        <v>50</v>
      </c>
      <c r="G9" s="4" t="s">
        <v>51</v>
      </c>
      <c r="H9" s="4" t="s">
        <v>46</v>
      </c>
      <c r="I9" s="4">
        <v>500</v>
      </c>
      <c r="J9" s="6">
        <v>19.5</v>
      </c>
      <c r="K9" s="6">
        <f t="shared" si="0"/>
        <v>9750</v>
      </c>
      <c r="L9" s="5">
        <v>45588</v>
      </c>
      <c r="M9" s="8" t="str">
        <f t="shared" ca="1" si="1"/>
        <v>ATRASO</v>
      </c>
      <c r="N9" s="5">
        <v>45600</v>
      </c>
      <c r="O9" s="4" t="s">
        <v>28</v>
      </c>
      <c r="P9" s="4" t="s">
        <v>28</v>
      </c>
      <c r="Q9" s="4" t="s">
        <v>28</v>
      </c>
      <c r="R9" s="4" t="s">
        <v>28</v>
      </c>
      <c r="S9" s="4" t="s">
        <v>28</v>
      </c>
      <c r="T9" s="4">
        <v>158</v>
      </c>
      <c r="U9" s="4" t="s">
        <v>29</v>
      </c>
    </row>
    <row r="10" spans="1:21" hidden="1" x14ac:dyDescent="0.3">
      <c r="A10" s="4" t="s">
        <v>21</v>
      </c>
      <c r="B10" s="5">
        <v>45574</v>
      </c>
      <c r="C10" s="4" t="s">
        <v>22</v>
      </c>
      <c r="D10" s="4">
        <v>619</v>
      </c>
      <c r="E10" s="4" t="s">
        <v>52</v>
      </c>
      <c r="F10" s="4" t="s">
        <v>53</v>
      </c>
      <c r="G10" s="4" t="s">
        <v>36</v>
      </c>
      <c r="H10" s="4" t="s">
        <v>26</v>
      </c>
      <c r="I10" s="4">
        <v>34</v>
      </c>
      <c r="J10" s="6">
        <v>24.5</v>
      </c>
      <c r="K10" s="6">
        <f t="shared" si="0"/>
        <v>833</v>
      </c>
      <c r="L10" s="5">
        <v>45590</v>
      </c>
      <c r="M10" s="8" t="str">
        <f t="shared" ca="1" si="1"/>
        <v>ATRASO</v>
      </c>
      <c r="N10" s="5">
        <v>45588</v>
      </c>
      <c r="O10" s="4" t="s">
        <v>28</v>
      </c>
      <c r="P10" s="4" t="s">
        <v>28</v>
      </c>
      <c r="Q10" s="4" t="s">
        <v>28</v>
      </c>
      <c r="R10" s="4" t="s">
        <v>54</v>
      </c>
      <c r="S10" s="4" t="s">
        <v>28</v>
      </c>
      <c r="T10" s="4">
        <v>961</v>
      </c>
      <c r="U10" s="4" t="s">
        <v>29</v>
      </c>
    </row>
    <row r="11" spans="1:21" hidden="1" x14ac:dyDescent="0.3">
      <c r="A11" s="4" t="s">
        <v>21</v>
      </c>
      <c r="B11" s="5">
        <v>45565</v>
      </c>
      <c r="C11" s="4" t="s">
        <v>55</v>
      </c>
      <c r="D11" s="4">
        <v>1023</v>
      </c>
      <c r="E11" s="4" t="s">
        <v>56</v>
      </c>
      <c r="F11" s="4" t="s">
        <v>57</v>
      </c>
      <c r="G11" s="4" t="s">
        <v>42</v>
      </c>
      <c r="H11" s="4" t="s">
        <v>26</v>
      </c>
      <c r="I11" s="4">
        <v>400</v>
      </c>
      <c r="J11" s="6">
        <v>10.5</v>
      </c>
      <c r="K11" s="6">
        <f t="shared" si="0"/>
        <v>4200</v>
      </c>
      <c r="L11" s="5">
        <v>45593</v>
      </c>
      <c r="M11" s="8" t="str">
        <f t="shared" ca="1" si="1"/>
        <v>ATRASO</v>
      </c>
      <c r="N11" s="4"/>
      <c r="O11" s="4" t="s">
        <v>28</v>
      </c>
      <c r="P11" s="4" t="s">
        <v>28</v>
      </c>
      <c r="Q11" s="4" t="s">
        <v>28</v>
      </c>
      <c r="R11" s="4" t="s">
        <v>28</v>
      </c>
      <c r="S11" s="4" t="s">
        <v>28</v>
      </c>
      <c r="T11" s="4" t="s">
        <v>28</v>
      </c>
      <c r="U11" s="4" t="s">
        <v>29</v>
      </c>
    </row>
    <row r="12" spans="1:21" hidden="1" x14ac:dyDescent="0.3">
      <c r="A12" s="4" t="s">
        <v>21</v>
      </c>
      <c r="B12" s="5">
        <v>45561</v>
      </c>
      <c r="C12" s="4" t="s">
        <v>22</v>
      </c>
      <c r="D12" s="4">
        <v>608</v>
      </c>
      <c r="E12" s="4" t="s">
        <v>58</v>
      </c>
      <c r="F12" s="4" t="s">
        <v>59</v>
      </c>
      <c r="G12" s="4" t="s">
        <v>60</v>
      </c>
      <c r="H12" s="4" t="s">
        <v>61</v>
      </c>
      <c r="I12" s="4">
        <v>1000</v>
      </c>
      <c r="J12" s="6">
        <v>15.5</v>
      </c>
      <c r="K12" s="6">
        <f t="shared" si="0"/>
        <v>15500</v>
      </c>
      <c r="L12" s="5">
        <v>45593</v>
      </c>
      <c r="M12" s="9" t="str">
        <f t="shared" ca="1" si="1"/>
        <v>ATRASO</v>
      </c>
      <c r="N12" s="5">
        <v>45588</v>
      </c>
      <c r="O12" s="4" t="s">
        <v>28</v>
      </c>
      <c r="P12" s="4" t="s">
        <v>28</v>
      </c>
      <c r="Q12" s="4" t="s">
        <v>28</v>
      </c>
      <c r="R12" s="4" t="s">
        <v>28</v>
      </c>
      <c r="S12" s="4" t="s">
        <v>28</v>
      </c>
      <c r="T12" s="4" t="s">
        <v>28</v>
      </c>
      <c r="U12" s="4" t="s">
        <v>29</v>
      </c>
    </row>
    <row r="13" spans="1:21" hidden="1" x14ac:dyDescent="0.3">
      <c r="A13" s="4" t="s">
        <v>62</v>
      </c>
      <c r="B13" s="5">
        <v>45566</v>
      </c>
      <c r="C13" s="4" t="s">
        <v>22</v>
      </c>
      <c r="D13" s="4">
        <v>190</v>
      </c>
      <c r="E13" s="4" t="s">
        <v>63</v>
      </c>
      <c r="F13" s="4" t="s">
        <v>64</v>
      </c>
      <c r="G13" s="4" t="s">
        <v>60</v>
      </c>
      <c r="H13" s="4" t="s">
        <v>61</v>
      </c>
      <c r="I13" s="4">
        <v>100</v>
      </c>
      <c r="J13" s="6">
        <v>12</v>
      </c>
      <c r="K13" s="6">
        <f t="shared" si="0"/>
        <v>1200</v>
      </c>
      <c r="L13" s="5">
        <v>45594</v>
      </c>
      <c r="M13" s="8" t="str">
        <f t="shared" ca="1" si="1"/>
        <v>ATRASO</v>
      </c>
      <c r="N13" s="5">
        <v>41212</v>
      </c>
      <c r="O13" s="4" t="s">
        <v>28</v>
      </c>
      <c r="P13" s="4" t="s">
        <v>28</v>
      </c>
      <c r="Q13" s="4" t="s">
        <v>28</v>
      </c>
      <c r="R13" s="4" t="s">
        <v>28</v>
      </c>
      <c r="S13" s="4" t="s">
        <v>28</v>
      </c>
      <c r="T13" s="4" t="s">
        <v>28</v>
      </c>
      <c r="U13" s="4" t="s">
        <v>29</v>
      </c>
    </row>
    <row r="14" spans="1:21" hidden="1" x14ac:dyDescent="0.3">
      <c r="A14" s="4" t="s">
        <v>21</v>
      </c>
      <c r="B14" s="5">
        <v>45565</v>
      </c>
      <c r="C14" s="4" t="s">
        <v>33</v>
      </c>
      <c r="D14" s="4">
        <v>189</v>
      </c>
      <c r="E14" s="4" t="s">
        <v>65</v>
      </c>
      <c r="F14" s="4" t="s">
        <v>66</v>
      </c>
      <c r="G14" s="4" t="s">
        <v>51</v>
      </c>
      <c r="H14" s="4" t="s">
        <v>46</v>
      </c>
      <c r="I14" s="4">
        <v>100</v>
      </c>
      <c r="J14" s="6">
        <v>19.7</v>
      </c>
      <c r="K14" s="6">
        <f t="shared" si="0"/>
        <v>1970</v>
      </c>
      <c r="L14" s="5">
        <v>45593</v>
      </c>
      <c r="M14" s="8" t="str">
        <f t="shared" ca="1" si="1"/>
        <v>ATRASO</v>
      </c>
      <c r="N14" s="5">
        <v>45596</v>
      </c>
      <c r="O14" s="4" t="s">
        <v>28</v>
      </c>
      <c r="P14" s="4" t="s">
        <v>28</v>
      </c>
      <c r="Q14" s="4" t="s">
        <v>28</v>
      </c>
      <c r="R14" s="4" t="s">
        <v>28</v>
      </c>
      <c r="S14" s="4" t="s">
        <v>28</v>
      </c>
      <c r="T14" s="4">
        <v>157</v>
      </c>
      <c r="U14" s="4" t="s">
        <v>29</v>
      </c>
    </row>
    <row r="15" spans="1:21" hidden="1" x14ac:dyDescent="0.3">
      <c r="A15" s="4" t="s">
        <v>62</v>
      </c>
      <c r="B15" s="5">
        <v>45566</v>
      </c>
      <c r="C15" s="4" t="s">
        <v>22</v>
      </c>
      <c r="D15" s="4">
        <v>190</v>
      </c>
      <c r="E15" s="4" t="s">
        <v>63</v>
      </c>
      <c r="F15" s="4" t="s">
        <v>67</v>
      </c>
      <c r="G15" s="4" t="s">
        <v>51</v>
      </c>
      <c r="H15" s="4" t="s">
        <v>46</v>
      </c>
      <c r="I15" s="4">
        <v>100</v>
      </c>
      <c r="J15" s="6">
        <v>17</v>
      </c>
      <c r="K15" s="6">
        <f t="shared" si="0"/>
        <v>1700</v>
      </c>
      <c r="L15" s="5">
        <v>45594</v>
      </c>
      <c r="M15" s="8" t="str">
        <f t="shared" ca="1" si="1"/>
        <v>ATRASO</v>
      </c>
      <c r="N15" s="5">
        <v>45595</v>
      </c>
      <c r="O15" s="4" t="s">
        <v>28</v>
      </c>
      <c r="P15" s="4" t="s">
        <v>28</v>
      </c>
      <c r="Q15" s="4" t="s">
        <v>28</v>
      </c>
      <c r="R15" s="4" t="s">
        <v>28</v>
      </c>
      <c r="S15" s="4" t="s">
        <v>28</v>
      </c>
      <c r="T15" s="4" t="s">
        <v>28</v>
      </c>
      <c r="U15" s="4" t="s">
        <v>29</v>
      </c>
    </row>
    <row r="16" spans="1:21" hidden="1" x14ac:dyDescent="0.3">
      <c r="A16" s="4" t="s">
        <v>21</v>
      </c>
      <c r="B16" s="5">
        <v>45555</v>
      </c>
      <c r="C16" s="4" t="s">
        <v>68</v>
      </c>
      <c r="D16" s="4">
        <v>1015</v>
      </c>
      <c r="E16" s="4" t="s">
        <v>69</v>
      </c>
      <c r="F16" s="4" t="s">
        <v>70</v>
      </c>
      <c r="G16" s="4" t="s">
        <v>36</v>
      </c>
      <c r="H16" s="4" t="s">
        <v>26</v>
      </c>
      <c r="I16" s="4">
        <f>10+10+10+10+5</f>
        <v>45</v>
      </c>
      <c r="J16" s="6">
        <v>36.75</v>
      </c>
      <c r="K16" s="6">
        <f t="shared" si="0"/>
        <v>1653.75</v>
      </c>
      <c r="L16" s="5">
        <v>45593</v>
      </c>
      <c r="M16" s="8" t="str">
        <f t="shared" ca="1" si="1"/>
        <v>ATRASO</v>
      </c>
      <c r="N16" s="4"/>
      <c r="O16" s="4" t="s">
        <v>28</v>
      </c>
      <c r="P16" s="4" t="s">
        <v>28</v>
      </c>
      <c r="Q16" s="4" t="s">
        <v>28</v>
      </c>
      <c r="R16" s="4" t="s">
        <v>28</v>
      </c>
      <c r="S16" s="4" t="s">
        <v>28</v>
      </c>
      <c r="T16" s="4" t="s">
        <v>28</v>
      </c>
      <c r="U16" s="4" t="s">
        <v>29</v>
      </c>
    </row>
    <row r="17" spans="1:21" hidden="1" x14ac:dyDescent="0.3">
      <c r="A17" s="4" t="s">
        <v>21</v>
      </c>
      <c r="B17" s="5">
        <v>45567</v>
      </c>
      <c r="C17" s="4" t="s">
        <v>22</v>
      </c>
      <c r="D17" s="4">
        <v>614</v>
      </c>
      <c r="E17" s="4" t="s">
        <v>71</v>
      </c>
      <c r="F17" s="4" t="s">
        <v>72</v>
      </c>
      <c r="G17" s="4" t="s">
        <v>60</v>
      </c>
      <c r="H17" s="4" t="s">
        <v>61</v>
      </c>
      <c r="I17" s="4">
        <v>1500</v>
      </c>
      <c r="J17" s="6">
        <v>7.8</v>
      </c>
      <c r="K17" s="6">
        <f t="shared" si="0"/>
        <v>11700</v>
      </c>
      <c r="L17" s="5">
        <v>45595</v>
      </c>
      <c r="M17" s="9" t="str">
        <f t="shared" ca="1" si="1"/>
        <v>ATRASO</v>
      </c>
      <c r="N17" s="5">
        <v>45590</v>
      </c>
      <c r="O17" s="4" t="s">
        <v>28</v>
      </c>
      <c r="P17" s="4" t="s">
        <v>28</v>
      </c>
      <c r="Q17" s="4" t="s">
        <v>28</v>
      </c>
      <c r="R17" s="4" t="s">
        <v>28</v>
      </c>
      <c r="S17" s="4" t="s">
        <v>28</v>
      </c>
      <c r="T17" s="4">
        <v>953</v>
      </c>
      <c r="U17" s="4" t="s">
        <v>29</v>
      </c>
    </row>
    <row r="18" spans="1:21" hidden="1" x14ac:dyDescent="0.3">
      <c r="A18" s="4" t="s">
        <v>21</v>
      </c>
      <c r="B18" s="5">
        <v>45555</v>
      </c>
      <c r="C18" s="4" t="s">
        <v>68</v>
      </c>
      <c r="D18" s="4">
        <v>1015</v>
      </c>
      <c r="E18" s="4" t="s">
        <v>69</v>
      </c>
      <c r="F18" s="4" t="s">
        <v>73</v>
      </c>
      <c r="G18" s="4" t="s">
        <v>74</v>
      </c>
      <c r="H18" s="4" t="s">
        <v>26</v>
      </c>
      <c r="I18" s="4">
        <v>45</v>
      </c>
      <c r="J18" s="6">
        <v>45</v>
      </c>
      <c r="K18" s="6">
        <f t="shared" si="0"/>
        <v>2025</v>
      </c>
      <c r="L18" s="5">
        <v>45593</v>
      </c>
      <c r="M18" s="8" t="str">
        <f t="shared" ca="1" si="1"/>
        <v>ATRASO</v>
      </c>
      <c r="N18" s="4"/>
      <c r="O18" s="4" t="s">
        <v>28</v>
      </c>
      <c r="P18" s="4" t="s">
        <v>28</v>
      </c>
      <c r="Q18" s="4" t="s">
        <v>28</v>
      </c>
      <c r="R18" s="4" t="s">
        <v>28</v>
      </c>
      <c r="S18" s="4" t="s">
        <v>28</v>
      </c>
      <c r="T18" s="4" t="s">
        <v>28</v>
      </c>
      <c r="U18" s="4" t="s">
        <v>29</v>
      </c>
    </row>
    <row r="19" spans="1:21" hidden="1" x14ac:dyDescent="0.3">
      <c r="A19" s="4" t="s">
        <v>62</v>
      </c>
      <c r="B19" s="5">
        <v>45579</v>
      </c>
      <c r="C19" s="4" t="s">
        <v>68</v>
      </c>
      <c r="D19" s="4">
        <v>1033</v>
      </c>
      <c r="E19" s="4" t="s">
        <v>75</v>
      </c>
      <c r="F19" s="4" t="s">
        <v>76</v>
      </c>
      <c r="G19" s="4" t="s">
        <v>36</v>
      </c>
      <c r="H19" s="4" t="s">
        <v>46</v>
      </c>
      <c r="I19" s="4">
        <f>3+3+3+2</f>
        <v>11</v>
      </c>
      <c r="J19" s="6">
        <v>36.75</v>
      </c>
      <c r="K19" s="6">
        <f t="shared" si="0"/>
        <v>404.25</v>
      </c>
      <c r="L19" s="5">
        <v>45593</v>
      </c>
      <c r="M19" s="8" t="str">
        <f t="shared" ca="1" si="1"/>
        <v>ATRASO</v>
      </c>
      <c r="N19" s="5">
        <v>45593</v>
      </c>
      <c r="O19" s="4" t="s">
        <v>28</v>
      </c>
      <c r="P19" s="4" t="s">
        <v>28</v>
      </c>
      <c r="Q19" s="4" t="s">
        <v>28</v>
      </c>
      <c r="R19" s="4" t="s">
        <v>28</v>
      </c>
      <c r="S19" s="4" t="s">
        <v>28</v>
      </c>
      <c r="T19" s="4">
        <v>1215</v>
      </c>
      <c r="U19" s="4" t="s">
        <v>29</v>
      </c>
    </row>
    <row r="20" spans="1:21" hidden="1" x14ac:dyDescent="0.3">
      <c r="A20" s="4" t="s">
        <v>62</v>
      </c>
      <c r="B20" s="5">
        <v>45579</v>
      </c>
      <c r="C20" s="4" t="s">
        <v>68</v>
      </c>
      <c r="D20" s="4">
        <v>1033</v>
      </c>
      <c r="E20" s="4" t="s">
        <v>75</v>
      </c>
      <c r="F20" s="4" t="s">
        <v>73</v>
      </c>
      <c r="G20" s="4" t="s">
        <v>74</v>
      </c>
      <c r="H20" s="4" t="s">
        <v>26</v>
      </c>
      <c r="I20" s="4">
        <v>8</v>
      </c>
      <c r="J20" s="6">
        <v>47.5</v>
      </c>
      <c r="K20" s="6">
        <f t="shared" si="0"/>
        <v>380</v>
      </c>
      <c r="L20" s="5">
        <v>45593</v>
      </c>
      <c r="M20" s="8" t="str">
        <f t="shared" ca="1" si="1"/>
        <v>ATRASO</v>
      </c>
      <c r="N20" s="5">
        <v>45593</v>
      </c>
      <c r="O20" s="4" t="s">
        <v>28</v>
      </c>
      <c r="P20" s="4" t="s">
        <v>28</v>
      </c>
      <c r="Q20" s="4" t="s">
        <v>28</v>
      </c>
      <c r="R20" s="4" t="s">
        <v>28</v>
      </c>
      <c r="S20" s="4" t="s">
        <v>28</v>
      </c>
      <c r="T20" s="4">
        <v>1215</v>
      </c>
      <c r="U20" s="4" t="s">
        <v>29</v>
      </c>
    </row>
    <row r="21" spans="1:21" hidden="1" x14ac:dyDescent="0.3">
      <c r="A21" s="4" t="s">
        <v>62</v>
      </c>
      <c r="B21" s="5">
        <v>45579</v>
      </c>
      <c r="C21" s="4" t="s">
        <v>68</v>
      </c>
      <c r="D21" s="4">
        <v>1033</v>
      </c>
      <c r="E21" s="4" t="s">
        <v>75</v>
      </c>
      <c r="F21" s="4" t="s">
        <v>70</v>
      </c>
      <c r="G21" s="4" t="s">
        <v>36</v>
      </c>
      <c r="H21" s="4" t="s">
        <v>26</v>
      </c>
      <c r="I21" s="4">
        <v>3</v>
      </c>
      <c r="J21" s="6">
        <v>36.75</v>
      </c>
      <c r="K21" s="6">
        <f t="shared" si="0"/>
        <v>110.25</v>
      </c>
      <c r="L21" s="5">
        <v>45593</v>
      </c>
      <c r="M21" s="8" t="str">
        <f t="shared" ca="1" si="1"/>
        <v>ATRASO</v>
      </c>
      <c r="N21" s="5">
        <v>45593</v>
      </c>
      <c r="O21" s="4" t="s">
        <v>28</v>
      </c>
      <c r="P21" s="4" t="s">
        <v>28</v>
      </c>
      <c r="Q21" s="4" t="s">
        <v>28</v>
      </c>
      <c r="R21" s="4" t="s">
        <v>28</v>
      </c>
      <c r="S21" s="4" t="s">
        <v>28</v>
      </c>
      <c r="T21" s="4">
        <v>1215</v>
      </c>
      <c r="U21" s="4" t="s">
        <v>29</v>
      </c>
    </row>
    <row r="22" spans="1:21" hidden="1" x14ac:dyDescent="0.3">
      <c r="A22" s="4" t="s">
        <v>62</v>
      </c>
      <c r="B22" s="5">
        <v>45579</v>
      </c>
      <c r="C22" s="4" t="s">
        <v>68</v>
      </c>
      <c r="D22" s="4">
        <v>1033</v>
      </c>
      <c r="E22" s="4" t="s">
        <v>75</v>
      </c>
      <c r="F22" s="4" t="s">
        <v>77</v>
      </c>
      <c r="G22" s="4" t="s">
        <v>78</v>
      </c>
      <c r="H22" s="4" t="s">
        <v>26</v>
      </c>
      <c r="I22" s="4">
        <v>12</v>
      </c>
      <c r="J22" s="6">
        <v>65</v>
      </c>
      <c r="K22" s="6">
        <f t="shared" si="0"/>
        <v>780</v>
      </c>
      <c r="L22" s="5">
        <v>45593</v>
      </c>
      <c r="M22" s="8" t="str">
        <f t="shared" ca="1" si="1"/>
        <v>ATRASO</v>
      </c>
      <c r="N22" s="5">
        <v>45593</v>
      </c>
      <c r="O22" s="4" t="s">
        <v>28</v>
      </c>
      <c r="P22" s="4" t="s">
        <v>28</v>
      </c>
      <c r="Q22" s="4" t="s">
        <v>28</v>
      </c>
      <c r="R22" s="4" t="s">
        <v>28</v>
      </c>
      <c r="S22" s="4" t="s">
        <v>28</v>
      </c>
      <c r="T22" s="4">
        <v>1215</v>
      </c>
      <c r="U22" s="4" t="s">
        <v>29</v>
      </c>
    </row>
    <row r="23" spans="1:21" hidden="1" x14ac:dyDescent="0.3">
      <c r="A23" s="4" t="s">
        <v>62</v>
      </c>
      <c r="B23" s="5">
        <v>45579</v>
      </c>
      <c r="C23" s="4" t="s">
        <v>68</v>
      </c>
      <c r="D23" s="4">
        <v>1033</v>
      </c>
      <c r="E23" s="4" t="s">
        <v>75</v>
      </c>
      <c r="F23" s="4" t="s">
        <v>79</v>
      </c>
      <c r="G23" s="4" t="s">
        <v>80</v>
      </c>
      <c r="H23" s="4" t="s">
        <v>46</v>
      </c>
      <c r="I23" s="4">
        <v>10</v>
      </c>
      <c r="J23" s="6">
        <v>21</v>
      </c>
      <c r="K23" s="6">
        <f t="shared" si="0"/>
        <v>210</v>
      </c>
      <c r="L23" s="5">
        <v>45593</v>
      </c>
      <c r="M23" s="8" t="str">
        <f t="shared" ca="1" si="1"/>
        <v>ATRASO</v>
      </c>
      <c r="N23" s="5">
        <v>45593</v>
      </c>
      <c r="O23" s="4" t="s">
        <v>28</v>
      </c>
      <c r="P23" s="4" t="s">
        <v>28</v>
      </c>
      <c r="Q23" s="4" t="s">
        <v>28</v>
      </c>
      <c r="R23" s="4" t="s">
        <v>28</v>
      </c>
      <c r="S23" s="4" t="s">
        <v>28</v>
      </c>
      <c r="T23" s="4">
        <v>1215</v>
      </c>
      <c r="U23" s="4" t="s">
        <v>29</v>
      </c>
    </row>
    <row r="24" spans="1:21" hidden="1" x14ac:dyDescent="0.3">
      <c r="A24" s="4" t="s">
        <v>62</v>
      </c>
      <c r="B24" s="5">
        <v>45579</v>
      </c>
      <c r="C24" s="4" t="s">
        <v>68</v>
      </c>
      <c r="D24" s="4">
        <v>1033</v>
      </c>
      <c r="E24" s="4" t="s">
        <v>75</v>
      </c>
      <c r="F24" s="4" t="s">
        <v>67</v>
      </c>
      <c r="G24" s="4" t="s">
        <v>51</v>
      </c>
      <c r="H24" s="4" t="s">
        <v>46</v>
      </c>
      <c r="I24" s="4">
        <v>10</v>
      </c>
      <c r="J24" s="6">
        <v>21</v>
      </c>
      <c r="K24" s="6">
        <f t="shared" si="0"/>
        <v>210</v>
      </c>
      <c r="L24" s="5">
        <v>45593</v>
      </c>
      <c r="M24" s="8" t="str">
        <f t="shared" ca="1" si="1"/>
        <v>ATRASO</v>
      </c>
      <c r="N24" s="5">
        <v>45593</v>
      </c>
      <c r="O24" s="4" t="s">
        <v>28</v>
      </c>
      <c r="P24" s="4" t="s">
        <v>28</v>
      </c>
      <c r="Q24" s="4" t="s">
        <v>28</v>
      </c>
      <c r="R24" s="4" t="s">
        <v>28</v>
      </c>
      <c r="S24" s="4" t="s">
        <v>28</v>
      </c>
      <c r="T24" s="4">
        <v>1215</v>
      </c>
      <c r="U24" s="4" t="s">
        <v>29</v>
      </c>
    </row>
    <row r="25" spans="1:21" hidden="1" x14ac:dyDescent="0.3">
      <c r="A25" s="4" t="s">
        <v>21</v>
      </c>
      <c r="B25" s="5">
        <v>45555</v>
      </c>
      <c r="C25" s="4" t="s">
        <v>68</v>
      </c>
      <c r="D25" s="4">
        <v>1015</v>
      </c>
      <c r="E25" s="4" t="s">
        <v>69</v>
      </c>
      <c r="F25" s="4" t="s">
        <v>81</v>
      </c>
      <c r="G25" s="4" t="s">
        <v>74</v>
      </c>
      <c r="H25" s="4" t="s">
        <v>26</v>
      </c>
      <c r="I25" s="4">
        <v>25</v>
      </c>
      <c r="J25" s="6">
        <v>45</v>
      </c>
      <c r="K25" s="6">
        <f t="shared" si="0"/>
        <v>1125</v>
      </c>
      <c r="L25" s="5">
        <v>45593</v>
      </c>
      <c r="M25" s="8" t="str">
        <f t="shared" ca="1" si="1"/>
        <v>ATRASO</v>
      </c>
      <c r="N25" s="4"/>
      <c r="O25" s="4" t="s">
        <v>28</v>
      </c>
      <c r="P25" s="4" t="s">
        <v>28</v>
      </c>
      <c r="Q25" s="4" t="s">
        <v>28</v>
      </c>
      <c r="R25" s="4" t="s">
        <v>28</v>
      </c>
      <c r="S25" s="4" t="s">
        <v>28</v>
      </c>
      <c r="T25" s="4" t="s">
        <v>28</v>
      </c>
      <c r="U25" s="4" t="s">
        <v>29</v>
      </c>
    </row>
    <row r="26" spans="1:21" hidden="1" x14ac:dyDescent="0.3">
      <c r="A26" s="4" t="s">
        <v>21</v>
      </c>
      <c r="B26" s="5">
        <v>45555</v>
      </c>
      <c r="C26" s="4" t="s">
        <v>68</v>
      </c>
      <c r="D26" s="4">
        <v>1015</v>
      </c>
      <c r="E26" s="4" t="s">
        <v>69</v>
      </c>
      <c r="F26" s="4" t="s">
        <v>79</v>
      </c>
      <c r="G26" s="4" t="s">
        <v>80</v>
      </c>
      <c r="H26" s="4" t="s">
        <v>46</v>
      </c>
      <c r="I26" s="4">
        <v>10</v>
      </c>
      <c r="J26" s="6">
        <v>21</v>
      </c>
      <c r="K26" s="6">
        <f t="shared" si="0"/>
        <v>210</v>
      </c>
      <c r="L26" s="5">
        <v>45593</v>
      </c>
      <c r="M26" s="8" t="str">
        <f t="shared" ca="1" si="1"/>
        <v>ATRASO</v>
      </c>
      <c r="N26" s="4"/>
      <c r="O26" s="4" t="s">
        <v>28</v>
      </c>
      <c r="P26" s="4" t="s">
        <v>28</v>
      </c>
      <c r="Q26" s="4" t="s">
        <v>28</v>
      </c>
      <c r="R26" s="4" t="s">
        <v>28</v>
      </c>
      <c r="S26" s="4" t="s">
        <v>28</v>
      </c>
      <c r="T26" s="4" t="s">
        <v>28</v>
      </c>
      <c r="U26" s="4" t="s">
        <v>29</v>
      </c>
    </row>
    <row r="27" spans="1:21" hidden="1" x14ac:dyDescent="0.3">
      <c r="A27" s="4" t="s">
        <v>21</v>
      </c>
      <c r="B27" s="5">
        <v>45560</v>
      </c>
      <c r="C27" s="4" t="s">
        <v>33</v>
      </c>
      <c r="D27" s="4">
        <v>188</v>
      </c>
      <c r="E27" s="4" t="s">
        <v>82</v>
      </c>
      <c r="F27" s="4" t="s">
        <v>83</v>
      </c>
      <c r="G27" s="4" t="s">
        <v>51</v>
      </c>
      <c r="H27" s="4" t="s">
        <v>46</v>
      </c>
      <c r="I27" s="4">
        <v>150</v>
      </c>
      <c r="J27" s="6">
        <v>23.5</v>
      </c>
      <c r="K27" s="6">
        <f t="shared" si="0"/>
        <v>3525</v>
      </c>
      <c r="L27" s="5">
        <v>45583</v>
      </c>
      <c r="M27" s="8" t="str">
        <f t="shared" ca="1" si="1"/>
        <v>ATRASO</v>
      </c>
      <c r="N27" s="5">
        <v>45588</v>
      </c>
      <c r="O27" s="4" t="s">
        <v>28</v>
      </c>
      <c r="P27" s="4" t="s">
        <v>28</v>
      </c>
      <c r="Q27" s="4" t="s">
        <v>28</v>
      </c>
      <c r="R27" s="4" t="s">
        <v>28</v>
      </c>
      <c r="S27" s="4" t="s">
        <v>28</v>
      </c>
      <c r="T27" s="4" t="s">
        <v>28</v>
      </c>
      <c r="U27" s="4" t="s">
        <v>29</v>
      </c>
    </row>
    <row r="28" spans="1:21" hidden="1" x14ac:dyDescent="0.3">
      <c r="A28" s="4" t="s">
        <v>21</v>
      </c>
      <c r="B28" s="5">
        <v>45555</v>
      </c>
      <c r="C28" s="4" t="s">
        <v>68</v>
      </c>
      <c r="D28" s="4">
        <v>1015</v>
      </c>
      <c r="E28" s="4" t="s">
        <v>69</v>
      </c>
      <c r="F28" s="4" t="s">
        <v>67</v>
      </c>
      <c r="G28" s="4" t="s">
        <v>51</v>
      </c>
      <c r="H28" s="4" t="s">
        <v>26</v>
      </c>
      <c r="I28" s="4">
        <v>10</v>
      </c>
      <c r="J28" s="6">
        <v>21</v>
      </c>
      <c r="K28" s="6">
        <f t="shared" si="0"/>
        <v>210</v>
      </c>
      <c r="L28" s="5">
        <v>45593</v>
      </c>
      <c r="M28" s="8" t="str">
        <f t="shared" ca="1" si="1"/>
        <v>ATRASO</v>
      </c>
      <c r="N28" s="4"/>
      <c r="O28" s="4" t="s">
        <v>28</v>
      </c>
      <c r="P28" s="4" t="s">
        <v>28</v>
      </c>
      <c r="Q28" s="4" t="s">
        <v>28</v>
      </c>
      <c r="R28" s="4" t="s">
        <v>28</v>
      </c>
      <c r="S28" s="4" t="s">
        <v>28</v>
      </c>
      <c r="T28" s="4" t="s">
        <v>28</v>
      </c>
      <c r="U28" s="4" t="s">
        <v>29</v>
      </c>
    </row>
    <row r="29" spans="1:21" hidden="1" x14ac:dyDescent="0.3">
      <c r="A29" s="4" t="s">
        <v>62</v>
      </c>
      <c r="B29" s="5">
        <v>45569</v>
      </c>
      <c r="C29" s="4" t="s">
        <v>68</v>
      </c>
      <c r="D29" s="4">
        <v>1028</v>
      </c>
      <c r="E29" s="4" t="s">
        <v>84</v>
      </c>
      <c r="F29" s="4" t="s">
        <v>67</v>
      </c>
      <c r="G29" s="4" t="s">
        <v>51</v>
      </c>
      <c r="H29" s="4" t="s">
        <v>46</v>
      </c>
      <c r="I29" s="4">
        <v>7</v>
      </c>
      <c r="J29" s="6">
        <v>21</v>
      </c>
      <c r="K29" s="6">
        <f t="shared" si="0"/>
        <v>147</v>
      </c>
      <c r="L29" s="5">
        <v>45593</v>
      </c>
      <c r="M29" s="8" t="str">
        <f t="shared" ca="1" si="1"/>
        <v>ATRASO</v>
      </c>
      <c r="N29" s="4"/>
      <c r="O29" s="4" t="s">
        <v>28</v>
      </c>
      <c r="P29" s="4" t="s">
        <v>28</v>
      </c>
      <c r="Q29" s="4" t="s">
        <v>28</v>
      </c>
      <c r="R29" s="4" t="s">
        <v>28</v>
      </c>
      <c r="S29" s="4" t="s">
        <v>28</v>
      </c>
      <c r="T29" s="4" t="s">
        <v>28</v>
      </c>
      <c r="U29" s="4" t="s">
        <v>29</v>
      </c>
    </row>
    <row r="30" spans="1:21" hidden="1" x14ac:dyDescent="0.3">
      <c r="A30" s="4" t="s">
        <v>62</v>
      </c>
      <c r="B30" s="5">
        <v>45569</v>
      </c>
      <c r="C30" s="4" t="s">
        <v>68</v>
      </c>
      <c r="D30" s="4">
        <v>1028</v>
      </c>
      <c r="E30" s="4" t="s">
        <v>84</v>
      </c>
      <c r="F30" s="4" t="s">
        <v>70</v>
      </c>
      <c r="G30" s="4" t="s">
        <v>36</v>
      </c>
      <c r="H30" s="4" t="s">
        <v>26</v>
      </c>
      <c r="I30" s="4">
        <v>6</v>
      </c>
      <c r="J30" s="6">
        <v>41.75</v>
      </c>
      <c r="K30" s="6">
        <f t="shared" si="0"/>
        <v>250.5</v>
      </c>
      <c r="L30" s="5">
        <v>45593</v>
      </c>
      <c r="M30" s="8" t="str">
        <f t="shared" ca="1" si="1"/>
        <v>ATRASO</v>
      </c>
      <c r="N30" s="4"/>
      <c r="O30" s="4" t="s">
        <v>28</v>
      </c>
      <c r="P30" s="4" t="s">
        <v>28</v>
      </c>
      <c r="Q30" s="4" t="s">
        <v>28</v>
      </c>
      <c r="R30" s="4" t="s">
        <v>28</v>
      </c>
      <c r="S30" s="4" t="s">
        <v>28</v>
      </c>
      <c r="T30" s="4" t="s">
        <v>28</v>
      </c>
      <c r="U30" s="4" t="s">
        <v>29</v>
      </c>
    </row>
    <row r="31" spans="1:21" hidden="1" x14ac:dyDescent="0.3">
      <c r="A31" s="4" t="s">
        <v>62</v>
      </c>
      <c r="B31" s="5">
        <v>45569</v>
      </c>
      <c r="C31" s="4" t="s">
        <v>68</v>
      </c>
      <c r="D31" s="4">
        <v>1028</v>
      </c>
      <c r="E31" s="4" t="s">
        <v>84</v>
      </c>
      <c r="F31" s="4" t="s">
        <v>85</v>
      </c>
      <c r="G31" s="4" t="s">
        <v>36</v>
      </c>
      <c r="H31" s="4" t="s">
        <v>26</v>
      </c>
      <c r="I31" s="4">
        <v>4</v>
      </c>
      <c r="J31" s="6">
        <v>36.75</v>
      </c>
      <c r="K31" s="6">
        <f t="shared" si="0"/>
        <v>147</v>
      </c>
      <c r="L31" s="5">
        <v>45593</v>
      </c>
      <c r="M31" s="8" t="str">
        <f t="shared" ca="1" si="1"/>
        <v>ATRASO</v>
      </c>
      <c r="N31" s="4"/>
      <c r="O31" s="4" t="s">
        <v>28</v>
      </c>
      <c r="P31" s="4" t="s">
        <v>28</v>
      </c>
      <c r="Q31" s="4" t="s">
        <v>28</v>
      </c>
      <c r="R31" s="4" t="s">
        <v>28</v>
      </c>
      <c r="S31" s="4" t="s">
        <v>28</v>
      </c>
      <c r="T31" s="4" t="s">
        <v>28</v>
      </c>
      <c r="U31" s="4" t="s">
        <v>29</v>
      </c>
    </row>
    <row r="32" spans="1:21" hidden="1" x14ac:dyDescent="0.3">
      <c r="A32" s="4" t="s">
        <v>62</v>
      </c>
      <c r="B32" s="5">
        <v>45569</v>
      </c>
      <c r="C32" s="4" t="s">
        <v>68</v>
      </c>
      <c r="D32" s="4">
        <v>1028</v>
      </c>
      <c r="E32" s="4" t="s">
        <v>84</v>
      </c>
      <c r="F32" s="4" t="s">
        <v>79</v>
      </c>
      <c r="G32" s="4" t="s">
        <v>80</v>
      </c>
      <c r="H32" s="4" t="s">
        <v>26</v>
      </c>
      <c r="I32" s="4">
        <v>6</v>
      </c>
      <c r="J32" s="6">
        <v>21</v>
      </c>
      <c r="K32" s="6">
        <f t="shared" si="0"/>
        <v>126</v>
      </c>
      <c r="L32" s="5">
        <v>45593</v>
      </c>
      <c r="M32" s="8" t="str">
        <f t="shared" ca="1" si="1"/>
        <v>ATRASO</v>
      </c>
      <c r="N32" s="4"/>
      <c r="O32" s="4" t="s">
        <v>28</v>
      </c>
      <c r="P32" s="4" t="s">
        <v>28</v>
      </c>
      <c r="Q32" s="4" t="s">
        <v>28</v>
      </c>
      <c r="R32" s="4" t="s">
        <v>28</v>
      </c>
      <c r="S32" s="4" t="s">
        <v>28</v>
      </c>
      <c r="T32" s="4" t="s">
        <v>28</v>
      </c>
      <c r="U32" s="4" t="s">
        <v>29</v>
      </c>
    </row>
    <row r="33" spans="1:21" hidden="1" x14ac:dyDescent="0.3">
      <c r="A33" s="4" t="s">
        <v>62</v>
      </c>
      <c r="B33" s="5">
        <v>45589</v>
      </c>
      <c r="C33" s="4" t="s">
        <v>68</v>
      </c>
      <c r="D33" s="4">
        <v>1022</v>
      </c>
      <c r="E33" s="4" t="s">
        <v>86</v>
      </c>
      <c r="F33" s="4" t="s">
        <v>79</v>
      </c>
      <c r="G33" s="4" t="s">
        <v>80</v>
      </c>
      <c r="H33" s="4" t="s">
        <v>46</v>
      </c>
      <c r="I33" s="4">
        <v>12</v>
      </c>
      <c r="J33" s="6">
        <v>21</v>
      </c>
      <c r="K33" s="6">
        <f t="shared" si="0"/>
        <v>252</v>
      </c>
      <c r="L33" s="5">
        <v>45593</v>
      </c>
      <c r="M33" s="8" t="str">
        <f t="shared" ca="1" si="1"/>
        <v>ATRASO</v>
      </c>
      <c r="N33" s="5">
        <v>45594</v>
      </c>
      <c r="O33" s="4" t="s">
        <v>28</v>
      </c>
      <c r="P33" s="4" t="s">
        <v>28</v>
      </c>
      <c r="Q33" s="4" t="s">
        <v>28</v>
      </c>
      <c r="R33" s="4" t="s">
        <v>28</v>
      </c>
      <c r="S33" s="4" t="s">
        <v>28</v>
      </c>
      <c r="T33" s="4">
        <v>1219</v>
      </c>
      <c r="U33" s="4" t="s">
        <v>29</v>
      </c>
    </row>
    <row r="34" spans="1:21" hidden="1" x14ac:dyDescent="0.3">
      <c r="A34" s="4" t="s">
        <v>62</v>
      </c>
      <c r="B34" s="5">
        <v>45589</v>
      </c>
      <c r="C34" s="4" t="s">
        <v>68</v>
      </c>
      <c r="D34" s="4">
        <v>1022</v>
      </c>
      <c r="E34" s="4" t="s">
        <v>86</v>
      </c>
      <c r="F34" s="4" t="s">
        <v>73</v>
      </c>
      <c r="G34" s="4" t="s">
        <v>36</v>
      </c>
      <c r="H34" s="4" t="s">
        <v>46</v>
      </c>
      <c r="I34" s="4">
        <f>4+2+2+2</f>
        <v>10</v>
      </c>
      <c r="J34" s="6">
        <v>47.5</v>
      </c>
      <c r="K34" s="6">
        <f t="shared" si="0"/>
        <v>475</v>
      </c>
      <c r="L34" s="5">
        <v>45593</v>
      </c>
      <c r="M34" s="8" t="str">
        <f t="shared" ca="1" si="1"/>
        <v>ATRASO</v>
      </c>
      <c r="N34" s="5">
        <v>45594</v>
      </c>
      <c r="O34" s="4" t="s">
        <v>28</v>
      </c>
      <c r="P34" s="4" t="s">
        <v>28</v>
      </c>
      <c r="Q34" s="4" t="s">
        <v>28</v>
      </c>
      <c r="R34" s="4" t="s">
        <v>28</v>
      </c>
      <c r="S34" s="4" t="s">
        <v>28</v>
      </c>
      <c r="T34" s="4">
        <v>1219</v>
      </c>
      <c r="U34" s="4" t="s">
        <v>29</v>
      </c>
    </row>
    <row r="35" spans="1:21" hidden="1" x14ac:dyDescent="0.3">
      <c r="A35" s="4" t="s">
        <v>62</v>
      </c>
      <c r="B35" s="5">
        <v>45589</v>
      </c>
      <c r="C35" s="4" t="s">
        <v>68</v>
      </c>
      <c r="D35" s="4">
        <v>1022</v>
      </c>
      <c r="E35" s="4" t="s">
        <v>86</v>
      </c>
      <c r="F35" s="4" t="s">
        <v>87</v>
      </c>
      <c r="G35" s="4" t="s">
        <v>74</v>
      </c>
      <c r="H35" s="4" t="s">
        <v>26</v>
      </c>
      <c r="I35" s="4">
        <f>2+2+2</f>
        <v>6</v>
      </c>
      <c r="J35" s="6">
        <v>36.75</v>
      </c>
      <c r="K35" s="6">
        <f t="shared" si="0"/>
        <v>220.5</v>
      </c>
      <c r="L35" s="5">
        <v>45593</v>
      </c>
      <c r="M35" s="8" t="str">
        <f t="shared" ca="1" si="1"/>
        <v>ATRASO</v>
      </c>
      <c r="N35" s="5">
        <v>45594</v>
      </c>
      <c r="O35" s="4" t="s">
        <v>28</v>
      </c>
      <c r="P35" s="4" t="s">
        <v>28</v>
      </c>
      <c r="Q35" s="4" t="s">
        <v>28</v>
      </c>
      <c r="R35" s="4" t="s">
        <v>28</v>
      </c>
      <c r="S35" s="4" t="s">
        <v>28</v>
      </c>
      <c r="T35" s="4">
        <v>1219</v>
      </c>
      <c r="U35" s="4" t="s">
        <v>29</v>
      </c>
    </row>
    <row r="36" spans="1:21" hidden="1" x14ac:dyDescent="0.3">
      <c r="A36" s="4" t="s">
        <v>62</v>
      </c>
      <c r="B36" s="5">
        <v>45589</v>
      </c>
      <c r="C36" s="4" t="s">
        <v>68</v>
      </c>
      <c r="D36" s="4">
        <v>1022</v>
      </c>
      <c r="E36" s="4" t="s">
        <v>86</v>
      </c>
      <c r="F36" s="4" t="s">
        <v>88</v>
      </c>
      <c r="G36" s="4" t="s">
        <v>74</v>
      </c>
      <c r="H36" s="4" t="s">
        <v>46</v>
      </c>
      <c r="I36" s="4">
        <f>3+3+3+2</f>
        <v>11</v>
      </c>
      <c r="J36" s="6">
        <v>36.75</v>
      </c>
      <c r="K36" s="6">
        <f t="shared" ref="K36:K67" si="2">I36*J36</f>
        <v>404.25</v>
      </c>
      <c r="L36" s="5">
        <v>45593</v>
      </c>
      <c r="M36" s="8" t="str">
        <f t="shared" ref="M36:M67" ca="1" si="3">IF(L36&lt;TODAY(),"ATRASO","EM PRODUÇÃO")</f>
        <v>ATRASO</v>
      </c>
      <c r="N36" s="5">
        <v>45594</v>
      </c>
      <c r="O36" s="4" t="s">
        <v>28</v>
      </c>
      <c r="P36" s="4" t="s">
        <v>28</v>
      </c>
      <c r="Q36" s="4" t="s">
        <v>28</v>
      </c>
      <c r="R36" s="4" t="s">
        <v>28</v>
      </c>
      <c r="S36" s="4" t="s">
        <v>28</v>
      </c>
      <c r="T36" s="4">
        <v>1219</v>
      </c>
      <c r="U36" s="4" t="s">
        <v>29</v>
      </c>
    </row>
    <row r="37" spans="1:21" hidden="1" x14ac:dyDescent="0.3">
      <c r="A37" s="4" t="s">
        <v>62</v>
      </c>
      <c r="B37" s="5">
        <v>45589</v>
      </c>
      <c r="C37" s="4" t="s">
        <v>68</v>
      </c>
      <c r="D37" s="4">
        <v>1022</v>
      </c>
      <c r="E37" s="4" t="s">
        <v>86</v>
      </c>
      <c r="F37" s="4" t="s">
        <v>67</v>
      </c>
      <c r="G37" s="4" t="s">
        <v>51</v>
      </c>
      <c r="H37" s="4" t="s">
        <v>26</v>
      </c>
      <c r="I37" s="4">
        <v>13</v>
      </c>
      <c r="J37" s="6">
        <v>21</v>
      </c>
      <c r="K37" s="6">
        <f t="shared" si="2"/>
        <v>273</v>
      </c>
      <c r="L37" s="5">
        <v>45593</v>
      </c>
      <c r="M37" s="8" t="str">
        <f t="shared" ca="1" si="3"/>
        <v>ATRASO</v>
      </c>
      <c r="N37" s="5">
        <v>45594</v>
      </c>
      <c r="O37" s="4" t="s">
        <v>28</v>
      </c>
      <c r="P37" s="4" t="s">
        <v>28</v>
      </c>
      <c r="Q37" s="4" t="s">
        <v>28</v>
      </c>
      <c r="R37" s="4" t="s">
        <v>28</v>
      </c>
      <c r="S37" s="4" t="s">
        <v>28</v>
      </c>
      <c r="T37" s="4">
        <v>1219</v>
      </c>
      <c r="U37" s="4" t="s">
        <v>29</v>
      </c>
    </row>
    <row r="38" spans="1:21" hidden="1" x14ac:dyDescent="0.3">
      <c r="A38" s="4" t="s">
        <v>21</v>
      </c>
      <c r="B38" s="5">
        <v>45573</v>
      </c>
      <c r="C38" s="4" t="s">
        <v>22</v>
      </c>
      <c r="D38" s="4">
        <v>617</v>
      </c>
      <c r="E38" s="4" t="s">
        <v>52</v>
      </c>
      <c r="F38" s="4" t="s">
        <v>31</v>
      </c>
      <c r="G38" s="4" t="s">
        <v>32</v>
      </c>
      <c r="H38" s="4" t="s">
        <v>46</v>
      </c>
      <c r="I38" s="4">
        <v>400</v>
      </c>
      <c r="J38" s="6">
        <v>24.5</v>
      </c>
      <c r="K38" s="6">
        <f t="shared" si="2"/>
        <v>9800</v>
      </c>
      <c r="L38" s="5">
        <v>45595</v>
      </c>
      <c r="M38" s="8" t="str">
        <f t="shared" ca="1" si="3"/>
        <v>ATRASO</v>
      </c>
      <c r="N38" s="5">
        <v>45607</v>
      </c>
      <c r="O38" s="4" t="s">
        <v>28</v>
      </c>
      <c r="P38" s="4" t="s">
        <v>28</v>
      </c>
      <c r="Q38" s="4" t="s">
        <v>28</v>
      </c>
      <c r="R38" s="4" t="s">
        <v>28</v>
      </c>
      <c r="S38" s="4" t="s">
        <v>28</v>
      </c>
      <c r="T38" s="4">
        <v>967</v>
      </c>
      <c r="U38" s="4" t="s">
        <v>29</v>
      </c>
    </row>
    <row r="39" spans="1:21" hidden="1" x14ac:dyDescent="0.3">
      <c r="A39" s="4" t="s">
        <v>21</v>
      </c>
      <c r="B39" s="5">
        <v>45574</v>
      </c>
      <c r="C39" s="4" t="s">
        <v>22</v>
      </c>
      <c r="D39" s="4">
        <v>621</v>
      </c>
      <c r="E39" s="4" t="s">
        <v>71</v>
      </c>
      <c r="F39" s="4" t="s">
        <v>72</v>
      </c>
      <c r="G39" s="4" t="s">
        <v>60</v>
      </c>
      <c r="H39" s="4" t="s">
        <v>61</v>
      </c>
      <c r="I39" s="4">
        <v>500</v>
      </c>
      <c r="J39" s="6">
        <v>7.8</v>
      </c>
      <c r="K39" s="6">
        <f t="shared" si="2"/>
        <v>3900</v>
      </c>
      <c r="L39" s="5">
        <v>45595</v>
      </c>
      <c r="M39" s="8" t="str">
        <f t="shared" ca="1" si="3"/>
        <v>ATRASO</v>
      </c>
      <c r="N39" s="5">
        <v>45594</v>
      </c>
      <c r="O39" s="4" t="s">
        <v>28</v>
      </c>
      <c r="P39" s="4" t="s">
        <v>28</v>
      </c>
      <c r="Q39" s="4" t="s">
        <v>28</v>
      </c>
      <c r="R39" s="4" t="s">
        <v>28</v>
      </c>
      <c r="S39" s="4" t="s">
        <v>28</v>
      </c>
      <c r="T39" s="4">
        <v>964</v>
      </c>
      <c r="U39" s="4" t="s">
        <v>29</v>
      </c>
    </row>
    <row r="40" spans="1:21" hidden="1" x14ac:dyDescent="0.3">
      <c r="A40" s="4" t="s">
        <v>21</v>
      </c>
      <c r="B40" s="5">
        <v>45573</v>
      </c>
      <c r="C40" s="4" t="s">
        <v>22</v>
      </c>
      <c r="D40" s="4">
        <v>617</v>
      </c>
      <c r="E40" s="4" t="s">
        <v>52</v>
      </c>
      <c r="F40" s="4" t="s">
        <v>67</v>
      </c>
      <c r="G40" s="4" t="s">
        <v>51</v>
      </c>
      <c r="H40" s="4" t="s">
        <v>46</v>
      </c>
      <c r="I40" s="4">
        <f>400+300</f>
        <v>700</v>
      </c>
      <c r="J40" s="6">
        <v>14</v>
      </c>
      <c r="K40" s="6">
        <f t="shared" si="2"/>
        <v>9800</v>
      </c>
      <c r="L40" s="5">
        <v>45595</v>
      </c>
      <c r="M40" s="8" t="str">
        <f t="shared" ca="1" si="3"/>
        <v>ATRASO</v>
      </c>
      <c r="N40" s="5">
        <v>45607</v>
      </c>
      <c r="O40" s="4" t="s">
        <v>28</v>
      </c>
      <c r="P40" s="4" t="s">
        <v>28</v>
      </c>
      <c r="Q40" s="4" t="s">
        <v>28</v>
      </c>
      <c r="R40" s="4" t="s">
        <v>28</v>
      </c>
      <c r="S40" s="4" t="s">
        <v>28</v>
      </c>
      <c r="T40" s="4">
        <v>967</v>
      </c>
      <c r="U40" s="4" t="s">
        <v>29</v>
      </c>
    </row>
    <row r="41" spans="1:21" hidden="1" x14ac:dyDescent="0.3">
      <c r="A41" s="4" t="s">
        <v>21</v>
      </c>
      <c r="B41" s="5">
        <v>45572</v>
      </c>
      <c r="C41" s="4" t="s">
        <v>33</v>
      </c>
      <c r="D41" s="4">
        <v>615</v>
      </c>
      <c r="E41" s="4" t="s">
        <v>89</v>
      </c>
      <c r="F41" s="4" t="s">
        <v>90</v>
      </c>
      <c r="G41" s="4" t="s">
        <v>51</v>
      </c>
      <c r="H41" s="4" t="s">
        <v>26</v>
      </c>
      <c r="I41" s="4">
        <v>150</v>
      </c>
      <c r="J41" s="6">
        <v>23</v>
      </c>
      <c r="K41" s="6">
        <f t="shared" si="2"/>
        <v>3450</v>
      </c>
      <c r="L41" s="5">
        <v>45600</v>
      </c>
      <c r="M41" s="9" t="str">
        <f t="shared" ca="1" si="3"/>
        <v>ATRASO</v>
      </c>
      <c r="N41" s="5">
        <v>45600</v>
      </c>
      <c r="O41" s="4" t="s">
        <v>28</v>
      </c>
      <c r="P41" s="4" t="s">
        <v>28</v>
      </c>
      <c r="Q41" s="4" t="s">
        <v>28</v>
      </c>
      <c r="R41" s="4" t="s">
        <v>28</v>
      </c>
      <c r="S41" s="4" t="s">
        <v>28</v>
      </c>
      <c r="T41" s="4">
        <v>965</v>
      </c>
      <c r="U41" s="4" t="s">
        <v>29</v>
      </c>
    </row>
    <row r="42" spans="1:21" hidden="1" x14ac:dyDescent="0.3">
      <c r="A42" s="4" t="s">
        <v>21</v>
      </c>
      <c r="B42" s="5">
        <v>45572</v>
      </c>
      <c r="C42" s="4" t="s">
        <v>33</v>
      </c>
      <c r="D42" s="4">
        <v>1029</v>
      </c>
      <c r="E42" s="4" t="s">
        <v>91</v>
      </c>
      <c r="F42" s="4" t="s">
        <v>92</v>
      </c>
      <c r="G42" s="4" t="s">
        <v>51</v>
      </c>
      <c r="H42" s="4" t="s">
        <v>46</v>
      </c>
      <c r="I42" s="4">
        <v>2500</v>
      </c>
      <c r="J42" s="6">
        <v>23.5</v>
      </c>
      <c r="K42" s="6">
        <f t="shared" si="2"/>
        <v>58750</v>
      </c>
      <c r="L42" s="5">
        <v>45601</v>
      </c>
      <c r="M42" s="8" t="str">
        <f t="shared" ca="1" si="3"/>
        <v>ATRASO</v>
      </c>
      <c r="N42" s="4"/>
      <c r="O42" s="4" t="s">
        <v>28</v>
      </c>
      <c r="P42" s="4" t="s">
        <v>28</v>
      </c>
      <c r="Q42" s="4" t="s">
        <v>28</v>
      </c>
      <c r="R42" s="4" t="s">
        <v>28</v>
      </c>
      <c r="S42" s="4" t="s">
        <v>28</v>
      </c>
      <c r="T42" s="4" t="s">
        <v>28</v>
      </c>
      <c r="U42" s="4" t="s">
        <v>29</v>
      </c>
    </row>
    <row r="43" spans="1:21" hidden="1" x14ac:dyDescent="0.3">
      <c r="A43" s="4" t="s">
        <v>21</v>
      </c>
      <c r="B43" s="5">
        <v>45573</v>
      </c>
      <c r="C43" s="4" t="s">
        <v>55</v>
      </c>
      <c r="D43" s="4">
        <v>191</v>
      </c>
      <c r="E43" s="4" t="s">
        <v>93</v>
      </c>
      <c r="F43" s="4" t="s">
        <v>94</v>
      </c>
      <c r="G43" s="4" t="s">
        <v>95</v>
      </c>
      <c r="H43" s="4" t="s">
        <v>46</v>
      </c>
      <c r="I43" s="4">
        <v>4000</v>
      </c>
      <c r="J43" s="6">
        <v>5.3</v>
      </c>
      <c r="K43" s="6">
        <f t="shared" si="2"/>
        <v>21200</v>
      </c>
      <c r="L43" s="5">
        <v>45601</v>
      </c>
      <c r="M43" s="9" t="str">
        <f t="shared" ca="1" si="3"/>
        <v>ATRASO</v>
      </c>
      <c r="N43" s="5">
        <v>45596</v>
      </c>
      <c r="O43" s="4" t="s">
        <v>28</v>
      </c>
      <c r="P43" s="4" t="s">
        <v>28</v>
      </c>
      <c r="Q43" s="4" t="s">
        <v>28</v>
      </c>
      <c r="R43" s="4" t="s">
        <v>28</v>
      </c>
      <c r="S43" s="4" t="s">
        <v>28</v>
      </c>
      <c r="T43" s="4">
        <v>156</v>
      </c>
      <c r="U43" s="4" t="s">
        <v>29</v>
      </c>
    </row>
    <row r="44" spans="1:21" hidden="1" x14ac:dyDescent="0.3">
      <c r="A44" s="4" t="s">
        <v>21</v>
      </c>
      <c r="B44" s="5">
        <v>45569</v>
      </c>
      <c r="C44" s="4" t="s">
        <v>22</v>
      </c>
      <c r="D44" s="4">
        <v>613</v>
      </c>
      <c r="E44" s="4" t="s">
        <v>96</v>
      </c>
      <c r="F44" s="4" t="s">
        <v>53</v>
      </c>
      <c r="G44" s="4" t="s">
        <v>36</v>
      </c>
      <c r="H44" s="4" t="s">
        <v>46</v>
      </c>
      <c r="I44" s="4">
        <v>130</v>
      </c>
      <c r="J44" s="6">
        <v>16.5</v>
      </c>
      <c r="K44" s="6">
        <f t="shared" si="2"/>
        <v>2145</v>
      </c>
      <c r="L44" s="5">
        <v>45602</v>
      </c>
      <c r="M44" s="8" t="str">
        <f t="shared" ca="1" si="3"/>
        <v>ATRASO</v>
      </c>
      <c r="N44" s="5">
        <v>45608</v>
      </c>
      <c r="O44" s="4" t="s">
        <v>28</v>
      </c>
      <c r="P44" s="4" t="s">
        <v>28</v>
      </c>
      <c r="Q44" s="4" t="s">
        <v>28</v>
      </c>
      <c r="R44" s="4" t="s">
        <v>28</v>
      </c>
      <c r="S44" s="4" t="s">
        <v>28</v>
      </c>
      <c r="T44" s="4">
        <v>969</v>
      </c>
      <c r="U44" s="4" t="s">
        <v>29</v>
      </c>
    </row>
    <row r="45" spans="1:21" hidden="1" x14ac:dyDescent="0.3">
      <c r="A45" s="4" t="s">
        <v>21</v>
      </c>
      <c r="B45" s="5">
        <v>45574</v>
      </c>
      <c r="C45" s="4" t="s">
        <v>22</v>
      </c>
      <c r="D45" s="4">
        <v>620</v>
      </c>
      <c r="E45" s="4" t="s">
        <v>97</v>
      </c>
      <c r="F45" s="4" t="s">
        <v>53</v>
      </c>
      <c r="G45" s="4" t="s">
        <v>36</v>
      </c>
      <c r="H45" s="4" t="s">
        <v>46</v>
      </c>
      <c r="I45" s="4">
        <v>160</v>
      </c>
      <c r="J45" s="6">
        <v>35</v>
      </c>
      <c r="K45" s="6">
        <f t="shared" si="2"/>
        <v>5600</v>
      </c>
      <c r="L45" s="5">
        <v>45602</v>
      </c>
      <c r="M45" s="8" t="str">
        <f t="shared" ca="1" si="3"/>
        <v>ATRASO</v>
      </c>
      <c r="N45" s="5">
        <v>45602</v>
      </c>
      <c r="O45" s="4" t="s">
        <v>28</v>
      </c>
      <c r="P45" s="4" t="s">
        <v>28</v>
      </c>
      <c r="Q45" s="4" t="s">
        <v>28</v>
      </c>
      <c r="R45" s="4" t="s">
        <v>28</v>
      </c>
      <c r="S45" s="4" t="s">
        <v>28</v>
      </c>
      <c r="T45" s="4">
        <v>966</v>
      </c>
      <c r="U45" s="4" t="s">
        <v>29</v>
      </c>
    </row>
    <row r="46" spans="1:21" hidden="1" x14ac:dyDescent="0.3">
      <c r="A46" s="4" t="s">
        <v>21</v>
      </c>
      <c r="B46" s="5">
        <v>45574</v>
      </c>
      <c r="C46" s="4" t="s">
        <v>98</v>
      </c>
      <c r="D46" s="4">
        <v>192</v>
      </c>
      <c r="E46" s="4" t="s">
        <v>99</v>
      </c>
      <c r="F46" s="4" t="s">
        <v>53</v>
      </c>
      <c r="G46" s="4" t="s">
        <v>36</v>
      </c>
      <c r="H46" s="4" t="s">
        <v>46</v>
      </c>
      <c r="I46" s="4">
        <v>80</v>
      </c>
      <c r="J46" s="6">
        <v>26.5</v>
      </c>
      <c r="K46" s="6">
        <f t="shared" si="2"/>
        <v>2120</v>
      </c>
      <c r="L46" s="5">
        <v>45602</v>
      </c>
      <c r="M46" s="8" t="str">
        <f t="shared" ca="1" si="3"/>
        <v>ATRASO</v>
      </c>
      <c r="N46" s="5">
        <v>45607</v>
      </c>
      <c r="O46" s="4" t="s">
        <v>28</v>
      </c>
      <c r="P46" s="4" t="s">
        <v>28</v>
      </c>
      <c r="Q46" s="4" t="s">
        <v>28</v>
      </c>
      <c r="R46" s="4" t="s">
        <v>28</v>
      </c>
      <c r="S46" s="4" t="s">
        <v>28</v>
      </c>
      <c r="T46" s="4" t="s">
        <v>28</v>
      </c>
      <c r="U46" s="4" t="s">
        <v>29</v>
      </c>
    </row>
    <row r="47" spans="1:21" hidden="1" x14ac:dyDescent="0.3">
      <c r="A47" s="4" t="s">
        <v>21</v>
      </c>
      <c r="B47" s="5">
        <v>45574</v>
      </c>
      <c r="C47" s="4" t="s">
        <v>98</v>
      </c>
      <c r="D47" s="4">
        <v>193</v>
      </c>
      <c r="E47" s="4" t="s">
        <v>99</v>
      </c>
      <c r="F47" s="4" t="s">
        <v>53</v>
      </c>
      <c r="G47" s="4" t="s">
        <v>36</v>
      </c>
      <c r="H47" s="4" t="s">
        <v>46</v>
      </c>
      <c r="I47" s="4">
        <v>80</v>
      </c>
      <c r="J47" s="6">
        <v>26.5</v>
      </c>
      <c r="K47" s="6">
        <f t="shared" si="2"/>
        <v>2120</v>
      </c>
      <c r="L47" s="5">
        <v>45603</v>
      </c>
      <c r="M47" s="8" t="str">
        <f t="shared" ca="1" si="3"/>
        <v>ATRASO</v>
      </c>
      <c r="N47" s="5">
        <v>45607</v>
      </c>
      <c r="O47" s="4" t="s">
        <v>28</v>
      </c>
      <c r="P47" s="4" t="s">
        <v>28</v>
      </c>
      <c r="Q47" s="4" t="s">
        <v>28</v>
      </c>
      <c r="R47" s="4" t="s">
        <v>28</v>
      </c>
      <c r="S47" s="4" t="s">
        <v>28</v>
      </c>
      <c r="T47" s="4" t="s">
        <v>28</v>
      </c>
      <c r="U47" s="4" t="s">
        <v>29</v>
      </c>
    </row>
    <row r="48" spans="1:21" hidden="1" x14ac:dyDescent="0.3">
      <c r="A48" s="4" t="s">
        <v>62</v>
      </c>
      <c r="B48" s="5">
        <v>45540</v>
      </c>
      <c r="C48" s="4" t="s">
        <v>33</v>
      </c>
      <c r="D48" s="4">
        <v>194</v>
      </c>
      <c r="E48" s="4" t="s">
        <v>100</v>
      </c>
      <c r="F48" s="4" t="s">
        <v>83</v>
      </c>
      <c r="G48" s="4" t="s">
        <v>51</v>
      </c>
      <c r="H48" s="4" t="s">
        <v>46</v>
      </c>
      <c r="I48" s="4">
        <v>100</v>
      </c>
      <c r="J48" s="6">
        <v>27</v>
      </c>
      <c r="K48" s="6">
        <f t="shared" si="2"/>
        <v>2700</v>
      </c>
      <c r="L48" s="5">
        <v>45603</v>
      </c>
      <c r="M48" s="8" t="str">
        <f t="shared" ca="1" si="3"/>
        <v>ATRASO</v>
      </c>
      <c r="N48" s="4"/>
      <c r="O48" s="4" t="s">
        <v>28</v>
      </c>
      <c r="P48" s="4" t="s">
        <v>28</v>
      </c>
      <c r="Q48" s="4" t="s">
        <v>28</v>
      </c>
      <c r="R48" s="4" t="s">
        <v>28</v>
      </c>
      <c r="S48" s="4" t="s">
        <v>28</v>
      </c>
      <c r="T48" s="4" t="s">
        <v>28</v>
      </c>
      <c r="U48" s="4" t="s">
        <v>29</v>
      </c>
    </row>
    <row r="49" spans="1:21" hidden="1" x14ac:dyDescent="0.3">
      <c r="A49" s="4" t="s">
        <v>21</v>
      </c>
      <c r="B49" s="5">
        <v>45579</v>
      </c>
      <c r="C49" s="4" t="s">
        <v>101</v>
      </c>
      <c r="D49" s="4">
        <v>197</v>
      </c>
      <c r="E49" s="4" t="s">
        <v>102</v>
      </c>
      <c r="F49" s="4" t="s">
        <v>103</v>
      </c>
      <c r="G49" s="4" t="s">
        <v>25</v>
      </c>
      <c r="H49" s="4" t="s">
        <v>46</v>
      </c>
      <c r="I49" s="4">
        <v>20</v>
      </c>
      <c r="J49" s="6">
        <v>80</v>
      </c>
      <c r="K49" s="6">
        <f t="shared" si="2"/>
        <v>1600</v>
      </c>
      <c r="L49" s="5">
        <v>45604</v>
      </c>
      <c r="M49" s="9" t="str">
        <f t="shared" ca="1" si="3"/>
        <v>ATRASO</v>
      </c>
      <c r="N49" s="5">
        <v>45607</v>
      </c>
      <c r="O49" s="4" t="s">
        <v>28</v>
      </c>
      <c r="P49" s="4" t="s">
        <v>28</v>
      </c>
      <c r="Q49" s="4" t="s">
        <v>28</v>
      </c>
      <c r="R49" s="4" t="s">
        <v>28</v>
      </c>
      <c r="S49" s="4" t="s">
        <v>28</v>
      </c>
      <c r="T49" s="4" t="s">
        <v>28</v>
      </c>
      <c r="U49" s="4" t="s">
        <v>29</v>
      </c>
    </row>
    <row r="50" spans="1:21" hidden="1" x14ac:dyDescent="0.3">
      <c r="A50" s="4" t="s">
        <v>21</v>
      </c>
      <c r="B50" s="5">
        <v>45576</v>
      </c>
      <c r="C50" s="4" t="s">
        <v>22</v>
      </c>
      <c r="D50" s="4">
        <v>195</v>
      </c>
      <c r="E50" s="4" t="s">
        <v>104</v>
      </c>
      <c r="F50" s="4" t="s">
        <v>66</v>
      </c>
      <c r="G50" s="4" t="s">
        <v>51</v>
      </c>
      <c r="H50" s="4" t="s">
        <v>46</v>
      </c>
      <c r="I50" s="4">
        <v>100</v>
      </c>
      <c r="J50" s="6">
        <v>19.5</v>
      </c>
      <c r="K50" s="6">
        <f t="shared" si="2"/>
        <v>1950</v>
      </c>
      <c r="L50" s="5">
        <v>45604</v>
      </c>
      <c r="M50" s="9" t="str">
        <f t="shared" ca="1" si="3"/>
        <v>ATRASO</v>
      </c>
      <c r="N50" s="5">
        <v>45603</v>
      </c>
      <c r="O50" s="4" t="s">
        <v>28</v>
      </c>
      <c r="P50" s="4" t="s">
        <v>28</v>
      </c>
      <c r="Q50" s="4" t="s">
        <v>28</v>
      </c>
      <c r="R50" s="4" t="s">
        <v>28</v>
      </c>
      <c r="S50" s="4" t="s">
        <v>28</v>
      </c>
      <c r="T50" s="4">
        <v>161</v>
      </c>
      <c r="U50" s="4" t="s">
        <v>29</v>
      </c>
    </row>
    <row r="51" spans="1:21" hidden="1" x14ac:dyDescent="0.3">
      <c r="A51" s="4" t="s">
        <v>21</v>
      </c>
      <c r="B51" s="5">
        <v>45579</v>
      </c>
      <c r="C51" s="4" t="s">
        <v>98</v>
      </c>
      <c r="D51" s="4">
        <v>1041</v>
      </c>
      <c r="E51" s="4" t="s">
        <v>105</v>
      </c>
      <c r="F51" s="4" t="s">
        <v>106</v>
      </c>
      <c r="G51" s="4" t="s">
        <v>107</v>
      </c>
      <c r="H51" s="4" t="s">
        <v>46</v>
      </c>
      <c r="I51" s="4">
        <v>500</v>
      </c>
      <c r="J51" s="6">
        <v>2.5</v>
      </c>
      <c r="K51" s="6">
        <f t="shared" si="2"/>
        <v>1250</v>
      </c>
      <c r="L51" s="5">
        <v>45607</v>
      </c>
      <c r="M51" s="9" t="str">
        <f t="shared" ca="1" si="3"/>
        <v>ATRASO</v>
      </c>
      <c r="N51" s="4"/>
      <c r="O51" s="4" t="s">
        <v>28</v>
      </c>
      <c r="P51" s="4" t="s">
        <v>28</v>
      </c>
      <c r="Q51" s="4" t="s">
        <v>28</v>
      </c>
      <c r="R51" s="4" t="s">
        <v>28</v>
      </c>
      <c r="S51" s="4" t="s">
        <v>28</v>
      </c>
      <c r="T51" s="4" t="s">
        <v>28</v>
      </c>
      <c r="U51" s="4" t="s">
        <v>29</v>
      </c>
    </row>
    <row r="52" spans="1:21" hidden="1" x14ac:dyDescent="0.3">
      <c r="A52" s="4" t="s">
        <v>21</v>
      </c>
      <c r="B52" s="5">
        <v>45580</v>
      </c>
      <c r="C52" s="4" t="s">
        <v>98</v>
      </c>
      <c r="D52" s="4">
        <v>1034</v>
      </c>
      <c r="E52" s="4" t="s">
        <v>108</v>
      </c>
      <c r="F52" s="4" t="s">
        <v>87</v>
      </c>
      <c r="G52" s="4" t="s">
        <v>36</v>
      </c>
      <c r="H52" s="4" t="s">
        <v>46</v>
      </c>
      <c r="I52" s="4">
        <v>200</v>
      </c>
      <c r="J52" s="6">
        <v>26.19</v>
      </c>
      <c r="K52" s="6">
        <f t="shared" si="2"/>
        <v>5238</v>
      </c>
      <c r="L52" s="5">
        <v>45608</v>
      </c>
      <c r="M52" s="9" t="str">
        <f t="shared" ca="1" si="3"/>
        <v>ATRASO</v>
      </c>
      <c r="N52" s="4"/>
      <c r="O52" s="4" t="s">
        <v>28</v>
      </c>
      <c r="P52" s="4" t="s">
        <v>28</v>
      </c>
      <c r="Q52" s="4" t="s">
        <v>28</v>
      </c>
      <c r="R52" s="4" t="s">
        <v>28</v>
      </c>
      <c r="S52" s="4" t="s">
        <v>28</v>
      </c>
      <c r="T52" s="4" t="s">
        <v>28</v>
      </c>
      <c r="U52" s="4" t="s">
        <v>29</v>
      </c>
    </row>
    <row r="53" spans="1:21" hidden="1" x14ac:dyDescent="0.3">
      <c r="A53" s="4" t="s">
        <v>21</v>
      </c>
      <c r="B53" s="5">
        <v>45581</v>
      </c>
      <c r="C53" s="4" t="s">
        <v>22</v>
      </c>
      <c r="D53" s="4">
        <v>198</v>
      </c>
      <c r="E53" s="4" t="s">
        <v>49</v>
      </c>
      <c r="F53" s="4" t="s">
        <v>109</v>
      </c>
      <c r="G53" s="4" t="s">
        <v>51</v>
      </c>
      <c r="H53" s="4" t="s">
        <v>46</v>
      </c>
      <c r="I53" s="4">
        <v>300</v>
      </c>
      <c r="J53" s="6">
        <v>19.2</v>
      </c>
      <c r="K53" s="6">
        <f t="shared" si="2"/>
        <v>5760</v>
      </c>
      <c r="L53" s="5">
        <v>45609</v>
      </c>
      <c r="M53" s="9" t="str">
        <f t="shared" ca="1" si="3"/>
        <v>ATRASO</v>
      </c>
      <c r="N53" s="5">
        <v>45614</v>
      </c>
      <c r="O53" s="4" t="s">
        <v>28</v>
      </c>
      <c r="P53" s="4" t="s">
        <v>28</v>
      </c>
      <c r="Q53" s="4" t="s">
        <v>28</v>
      </c>
      <c r="R53" s="4" t="s">
        <v>28</v>
      </c>
      <c r="S53" s="4" t="s">
        <v>28</v>
      </c>
      <c r="T53" s="4">
        <v>168</v>
      </c>
      <c r="U53" s="4" t="s">
        <v>29</v>
      </c>
    </row>
    <row r="54" spans="1:21" hidden="1" x14ac:dyDescent="0.3">
      <c r="A54" s="4" t="s">
        <v>21</v>
      </c>
      <c r="B54" s="5">
        <v>45582</v>
      </c>
      <c r="C54" s="4" t="s">
        <v>33</v>
      </c>
      <c r="D54" s="4">
        <v>622</v>
      </c>
      <c r="E54" s="4" t="s">
        <v>110</v>
      </c>
      <c r="F54" s="4" t="s">
        <v>83</v>
      </c>
      <c r="G54" s="4" t="s">
        <v>51</v>
      </c>
      <c r="H54" s="4" t="s">
        <v>46</v>
      </c>
      <c r="I54" s="4">
        <v>250</v>
      </c>
      <c r="J54" s="6">
        <v>21.5</v>
      </c>
      <c r="K54" s="6">
        <f t="shared" si="2"/>
        <v>5375</v>
      </c>
      <c r="L54" s="5">
        <v>45609</v>
      </c>
      <c r="M54" s="9" t="str">
        <f t="shared" ca="1" si="3"/>
        <v>ATRASO</v>
      </c>
      <c r="N54" s="5">
        <v>45607</v>
      </c>
      <c r="O54" s="4" t="s">
        <v>28</v>
      </c>
      <c r="P54" s="4" t="s">
        <v>28</v>
      </c>
      <c r="Q54" s="4" t="s">
        <v>28</v>
      </c>
      <c r="R54" s="4" t="s">
        <v>28</v>
      </c>
      <c r="S54" s="4" t="s">
        <v>28</v>
      </c>
      <c r="T54" s="4">
        <v>968</v>
      </c>
      <c r="U54" s="4" t="s">
        <v>29</v>
      </c>
    </row>
    <row r="55" spans="1:21" hidden="1" x14ac:dyDescent="0.3">
      <c r="A55" s="4" t="s">
        <v>21</v>
      </c>
      <c r="B55" s="5">
        <v>45582</v>
      </c>
      <c r="C55" s="4" t="s">
        <v>22</v>
      </c>
      <c r="D55" s="4">
        <v>623</v>
      </c>
      <c r="E55" s="4" t="s">
        <v>111</v>
      </c>
      <c r="F55" s="4" t="s">
        <v>67</v>
      </c>
      <c r="G55" s="4" t="s">
        <v>51</v>
      </c>
      <c r="H55" s="4" t="s">
        <v>46</v>
      </c>
      <c r="I55" s="4">
        <v>100</v>
      </c>
      <c r="J55" s="6">
        <v>17.5</v>
      </c>
      <c r="K55" s="6">
        <f t="shared" si="2"/>
        <v>1750</v>
      </c>
      <c r="L55" s="5">
        <v>45610</v>
      </c>
      <c r="M55" s="9" t="str">
        <f t="shared" ca="1" si="3"/>
        <v>ATRASO</v>
      </c>
      <c r="N55" s="5">
        <v>45614</v>
      </c>
      <c r="O55" s="4" t="s">
        <v>28</v>
      </c>
      <c r="P55" s="4" t="s">
        <v>28</v>
      </c>
      <c r="Q55" s="4" t="s">
        <v>28</v>
      </c>
      <c r="R55" s="4" t="s">
        <v>28</v>
      </c>
      <c r="S55" s="4" t="s">
        <v>28</v>
      </c>
      <c r="T55" s="4">
        <v>971</v>
      </c>
      <c r="U55" s="4" t="s">
        <v>29</v>
      </c>
    </row>
    <row r="56" spans="1:21" hidden="1" x14ac:dyDescent="0.3">
      <c r="A56" s="4" t="s">
        <v>21</v>
      </c>
      <c r="B56" s="5">
        <v>45582</v>
      </c>
      <c r="C56" s="4" t="s">
        <v>22</v>
      </c>
      <c r="D56" s="4">
        <v>623</v>
      </c>
      <c r="E56" s="4" t="s">
        <v>111</v>
      </c>
      <c r="F56" s="4" t="s">
        <v>112</v>
      </c>
      <c r="G56" s="4" t="s">
        <v>25</v>
      </c>
      <c r="H56" s="4" t="s">
        <v>26</v>
      </c>
      <c r="I56" s="4">
        <v>100</v>
      </c>
      <c r="J56" s="6">
        <v>18.5</v>
      </c>
      <c r="K56" s="6">
        <f t="shared" si="2"/>
        <v>1850</v>
      </c>
      <c r="L56" s="5">
        <v>45610</v>
      </c>
      <c r="M56" s="9" t="str">
        <f t="shared" ca="1" si="3"/>
        <v>ATRASO</v>
      </c>
      <c r="N56" s="5">
        <v>45614</v>
      </c>
      <c r="O56" s="4" t="s">
        <v>28</v>
      </c>
      <c r="P56" s="4" t="s">
        <v>28</v>
      </c>
      <c r="Q56" s="4" t="s">
        <v>28</v>
      </c>
      <c r="R56" s="4" t="s">
        <v>28</v>
      </c>
      <c r="S56" s="4" t="s">
        <v>28</v>
      </c>
      <c r="T56" s="4">
        <v>971</v>
      </c>
      <c r="U56" s="4" t="s">
        <v>29</v>
      </c>
    </row>
    <row r="57" spans="1:21" hidden="1" x14ac:dyDescent="0.3">
      <c r="A57" s="4" t="s">
        <v>21</v>
      </c>
      <c r="B57" s="5">
        <v>45583</v>
      </c>
      <c r="C57" s="4" t="s">
        <v>33</v>
      </c>
      <c r="D57" s="4">
        <v>201</v>
      </c>
      <c r="E57" s="4" t="s">
        <v>113</v>
      </c>
      <c r="F57" s="4" t="s">
        <v>83</v>
      </c>
      <c r="G57" s="4" t="s">
        <v>51</v>
      </c>
      <c r="H57" s="4" t="s">
        <v>46</v>
      </c>
      <c r="I57" s="4">
        <v>200</v>
      </c>
      <c r="J57" s="6">
        <v>22.5</v>
      </c>
      <c r="K57" s="6">
        <f t="shared" si="2"/>
        <v>4500</v>
      </c>
      <c r="L57" s="5">
        <v>45610</v>
      </c>
      <c r="M57" s="9" t="str">
        <f t="shared" ca="1" si="3"/>
        <v>ATRASO</v>
      </c>
      <c r="N57" s="5">
        <v>45618</v>
      </c>
      <c r="O57" s="4" t="s">
        <v>28</v>
      </c>
      <c r="P57" s="4" t="s">
        <v>28</v>
      </c>
      <c r="Q57" s="4" t="s">
        <v>28</v>
      </c>
      <c r="R57" s="4" t="s">
        <v>28</v>
      </c>
      <c r="S57" s="4" t="s">
        <v>28</v>
      </c>
      <c r="T57" s="4">
        <v>174</v>
      </c>
      <c r="U57" s="4" t="s">
        <v>29</v>
      </c>
    </row>
    <row r="58" spans="1:21" hidden="1" x14ac:dyDescent="0.3">
      <c r="A58" s="4" t="s">
        <v>21</v>
      </c>
      <c r="B58" s="5">
        <v>45582</v>
      </c>
      <c r="C58" s="4" t="s">
        <v>22</v>
      </c>
      <c r="D58" s="4">
        <v>199</v>
      </c>
      <c r="E58" s="4" t="s">
        <v>96</v>
      </c>
      <c r="F58" s="4" t="s">
        <v>114</v>
      </c>
      <c r="G58" s="4" t="s">
        <v>51</v>
      </c>
      <c r="H58" s="4" t="s">
        <v>61</v>
      </c>
      <c r="I58" s="4">
        <v>100</v>
      </c>
      <c r="J58" s="6">
        <v>60</v>
      </c>
      <c r="K58" s="6">
        <f t="shared" si="2"/>
        <v>6000</v>
      </c>
      <c r="L58" s="5">
        <v>45610</v>
      </c>
      <c r="M58" s="9" t="str">
        <f t="shared" ca="1" si="3"/>
        <v>ATRASO</v>
      </c>
      <c r="N58" s="5">
        <v>45608</v>
      </c>
      <c r="O58" s="4" t="s">
        <v>28</v>
      </c>
      <c r="P58" s="4" t="s">
        <v>28</v>
      </c>
      <c r="Q58" s="4" t="s">
        <v>28</v>
      </c>
      <c r="R58" s="4" t="s">
        <v>28</v>
      </c>
      <c r="S58" s="4" t="s">
        <v>28</v>
      </c>
      <c r="T58" s="4">
        <v>166</v>
      </c>
      <c r="U58" s="4" t="s">
        <v>29</v>
      </c>
    </row>
    <row r="59" spans="1:21" hidden="1" x14ac:dyDescent="0.3">
      <c r="A59" s="4" t="s">
        <v>21</v>
      </c>
      <c r="B59" s="5">
        <v>45611</v>
      </c>
      <c r="C59" s="4" t="s">
        <v>22</v>
      </c>
      <c r="D59" s="4">
        <v>200</v>
      </c>
      <c r="E59" s="4" t="s">
        <v>115</v>
      </c>
      <c r="F59" s="4" t="s">
        <v>116</v>
      </c>
      <c r="G59" s="4" t="s">
        <v>60</v>
      </c>
      <c r="H59" s="4" t="s">
        <v>61</v>
      </c>
      <c r="I59" s="4">
        <v>100</v>
      </c>
      <c r="J59" s="6">
        <v>20</v>
      </c>
      <c r="K59" s="6">
        <f t="shared" si="2"/>
        <v>2000</v>
      </c>
      <c r="L59" s="5">
        <v>45611</v>
      </c>
      <c r="M59" s="9" t="str">
        <f t="shared" ca="1" si="3"/>
        <v>ATRASO</v>
      </c>
      <c r="N59" s="5">
        <v>45615</v>
      </c>
      <c r="O59" s="4" t="s">
        <v>28</v>
      </c>
      <c r="P59" s="4" t="s">
        <v>28</v>
      </c>
      <c r="Q59" s="4" t="s">
        <v>28</v>
      </c>
      <c r="R59" s="4" t="s">
        <v>28</v>
      </c>
      <c r="S59" s="4" t="s">
        <v>28</v>
      </c>
      <c r="T59" s="4">
        <v>169</v>
      </c>
      <c r="U59" s="4" t="s">
        <v>29</v>
      </c>
    </row>
    <row r="60" spans="1:21" hidden="1" x14ac:dyDescent="0.3">
      <c r="A60" s="4" t="s">
        <v>21</v>
      </c>
      <c r="B60" s="5">
        <v>45586</v>
      </c>
      <c r="C60" s="5" t="s">
        <v>98</v>
      </c>
      <c r="D60" s="4">
        <v>624</v>
      </c>
      <c r="E60" s="4" t="s">
        <v>117</v>
      </c>
      <c r="F60" s="4" t="s">
        <v>118</v>
      </c>
      <c r="G60" s="4" t="s">
        <v>60</v>
      </c>
      <c r="H60" s="4" t="s">
        <v>61</v>
      </c>
      <c r="I60" s="4">
        <v>500</v>
      </c>
      <c r="J60" s="6">
        <v>23</v>
      </c>
      <c r="K60" s="6">
        <f t="shared" si="2"/>
        <v>11500</v>
      </c>
      <c r="L60" s="5">
        <v>45614</v>
      </c>
      <c r="M60" s="9" t="str">
        <f t="shared" ca="1" si="3"/>
        <v>ATRASO</v>
      </c>
      <c r="N60" s="5">
        <v>45614</v>
      </c>
      <c r="O60" s="4" t="s">
        <v>28</v>
      </c>
      <c r="P60" s="4" t="s">
        <v>28</v>
      </c>
      <c r="Q60" s="4" t="s">
        <v>28</v>
      </c>
      <c r="R60" s="4" t="s">
        <v>28</v>
      </c>
      <c r="S60" s="4" t="s">
        <v>28</v>
      </c>
      <c r="T60" s="4">
        <v>972</v>
      </c>
      <c r="U60" s="4" t="s">
        <v>29</v>
      </c>
    </row>
    <row r="61" spans="1:21" hidden="1" x14ac:dyDescent="0.3">
      <c r="A61" s="4" t="s">
        <v>21</v>
      </c>
      <c r="B61" s="5">
        <v>45586</v>
      </c>
      <c r="C61" s="5" t="s">
        <v>98</v>
      </c>
      <c r="D61" s="4">
        <v>624</v>
      </c>
      <c r="E61" s="4" t="s">
        <v>117</v>
      </c>
      <c r="F61" s="4" t="s">
        <v>119</v>
      </c>
      <c r="G61" s="4" t="s">
        <v>60</v>
      </c>
      <c r="H61" s="4" t="s">
        <v>61</v>
      </c>
      <c r="I61" s="4">
        <v>200</v>
      </c>
      <c r="J61" s="6">
        <v>23</v>
      </c>
      <c r="K61" s="6">
        <f t="shared" si="2"/>
        <v>4600</v>
      </c>
      <c r="L61" s="5">
        <v>45614</v>
      </c>
      <c r="M61" s="9" t="str">
        <f t="shared" ca="1" si="3"/>
        <v>ATRASO</v>
      </c>
      <c r="N61" s="5">
        <v>45614</v>
      </c>
      <c r="O61" s="4" t="s">
        <v>28</v>
      </c>
      <c r="P61" s="4" t="s">
        <v>28</v>
      </c>
      <c r="Q61" s="4" t="s">
        <v>28</v>
      </c>
      <c r="R61" s="4" t="s">
        <v>28</v>
      </c>
      <c r="S61" s="4" t="s">
        <v>28</v>
      </c>
      <c r="T61" s="4">
        <v>972</v>
      </c>
      <c r="U61" s="4" t="s">
        <v>29</v>
      </c>
    </row>
    <row r="62" spans="1:21" hidden="1" x14ac:dyDescent="0.3">
      <c r="A62" s="4" t="s">
        <v>21</v>
      </c>
      <c r="B62" s="5">
        <v>45582</v>
      </c>
      <c r="C62" s="4" t="s">
        <v>22</v>
      </c>
      <c r="D62" s="4">
        <v>204</v>
      </c>
      <c r="E62" s="4" t="s">
        <v>120</v>
      </c>
      <c r="F62" s="4" t="s">
        <v>94</v>
      </c>
      <c r="G62" s="4" t="s">
        <v>95</v>
      </c>
      <c r="H62" s="4" t="s">
        <v>46</v>
      </c>
      <c r="I62" s="4">
        <v>300</v>
      </c>
      <c r="J62" s="6">
        <v>7.1</v>
      </c>
      <c r="K62" s="6">
        <f t="shared" si="2"/>
        <v>2130</v>
      </c>
      <c r="L62" s="5">
        <v>45615</v>
      </c>
      <c r="M62" s="9" t="str">
        <f t="shared" ca="1" si="3"/>
        <v>ATRASO</v>
      </c>
      <c r="N62" s="4" t="s">
        <v>121</v>
      </c>
      <c r="O62" s="4" t="s">
        <v>28</v>
      </c>
      <c r="P62" s="4" t="s">
        <v>28</v>
      </c>
      <c r="Q62" s="4" t="s">
        <v>28</v>
      </c>
      <c r="R62" s="4" t="s">
        <v>28</v>
      </c>
      <c r="S62" s="4" t="s">
        <v>28</v>
      </c>
      <c r="T62" s="4">
        <v>167</v>
      </c>
      <c r="U62" s="4" t="s">
        <v>29</v>
      </c>
    </row>
    <row r="63" spans="1:21" hidden="1" x14ac:dyDescent="0.3">
      <c r="A63" s="4" t="s">
        <v>21</v>
      </c>
      <c r="B63" s="5">
        <v>45582</v>
      </c>
      <c r="C63" s="4" t="s">
        <v>22</v>
      </c>
      <c r="D63" s="4">
        <v>204</v>
      </c>
      <c r="E63" s="4" t="s">
        <v>120</v>
      </c>
      <c r="F63" s="4" t="s">
        <v>122</v>
      </c>
      <c r="G63" s="4" t="s">
        <v>60</v>
      </c>
      <c r="H63" s="4" t="s">
        <v>61</v>
      </c>
      <c r="I63" s="4">
        <v>200</v>
      </c>
      <c r="J63" s="6">
        <v>13.5</v>
      </c>
      <c r="K63" s="6">
        <f t="shared" si="2"/>
        <v>2700</v>
      </c>
      <c r="L63" s="5">
        <v>45615</v>
      </c>
      <c r="M63" s="9" t="str">
        <f t="shared" ca="1" si="3"/>
        <v>ATRASO</v>
      </c>
      <c r="N63" s="4" t="s">
        <v>121</v>
      </c>
      <c r="O63" s="4" t="s">
        <v>28</v>
      </c>
      <c r="P63" s="4" t="s">
        <v>28</v>
      </c>
      <c r="Q63" s="4" t="s">
        <v>28</v>
      </c>
      <c r="R63" s="4" t="s">
        <v>28</v>
      </c>
      <c r="S63" s="4" t="s">
        <v>28</v>
      </c>
      <c r="T63" s="4">
        <v>167</v>
      </c>
      <c r="U63" s="4" t="s">
        <v>29</v>
      </c>
    </row>
    <row r="64" spans="1:21" hidden="1" x14ac:dyDescent="0.3">
      <c r="A64" s="4" t="s">
        <v>21</v>
      </c>
      <c r="B64" s="5">
        <v>45582</v>
      </c>
      <c r="C64" s="4" t="s">
        <v>22</v>
      </c>
      <c r="D64" s="4">
        <v>204</v>
      </c>
      <c r="E64" s="4" t="s">
        <v>120</v>
      </c>
      <c r="F64" s="4" t="s">
        <v>122</v>
      </c>
      <c r="G64" s="4" t="s">
        <v>60</v>
      </c>
      <c r="H64" s="4" t="s">
        <v>61</v>
      </c>
      <c r="I64" s="4">
        <v>200</v>
      </c>
      <c r="J64" s="6">
        <v>13.5</v>
      </c>
      <c r="K64" s="6">
        <f t="shared" si="2"/>
        <v>2700</v>
      </c>
      <c r="L64" s="5">
        <v>45615</v>
      </c>
      <c r="M64" s="9" t="str">
        <f t="shared" ca="1" si="3"/>
        <v>ATRASO</v>
      </c>
      <c r="N64" s="4" t="s">
        <v>121</v>
      </c>
      <c r="O64" s="4" t="s">
        <v>28</v>
      </c>
      <c r="P64" s="4" t="s">
        <v>28</v>
      </c>
      <c r="Q64" s="4" t="s">
        <v>28</v>
      </c>
      <c r="R64" s="4" t="s">
        <v>28</v>
      </c>
      <c r="S64" s="4" t="s">
        <v>28</v>
      </c>
      <c r="T64" s="4">
        <v>167</v>
      </c>
      <c r="U64" s="4" t="s">
        <v>29</v>
      </c>
    </row>
    <row r="65" spans="1:66" hidden="1" x14ac:dyDescent="0.3">
      <c r="A65" s="4" t="s">
        <v>21</v>
      </c>
      <c r="B65" s="5">
        <v>45582</v>
      </c>
      <c r="C65" s="4" t="s">
        <v>22</v>
      </c>
      <c r="D65" s="4">
        <v>204</v>
      </c>
      <c r="E65" s="4" t="s">
        <v>120</v>
      </c>
      <c r="F65" s="4" t="s">
        <v>123</v>
      </c>
      <c r="G65" s="4" t="s">
        <v>95</v>
      </c>
      <c r="H65" s="4" t="s">
        <v>46</v>
      </c>
      <c r="I65" s="4">
        <v>200</v>
      </c>
      <c r="J65" s="6">
        <v>12</v>
      </c>
      <c r="K65" s="6">
        <f t="shared" si="2"/>
        <v>2400</v>
      </c>
      <c r="L65" s="5">
        <v>45615</v>
      </c>
      <c r="M65" s="9" t="str">
        <f t="shared" ca="1" si="3"/>
        <v>ATRASO</v>
      </c>
      <c r="N65" s="4" t="s">
        <v>121</v>
      </c>
      <c r="O65" s="4" t="s">
        <v>28</v>
      </c>
      <c r="P65" s="4" t="s">
        <v>28</v>
      </c>
      <c r="Q65" s="4" t="s">
        <v>28</v>
      </c>
      <c r="R65" s="4" t="s">
        <v>28</v>
      </c>
      <c r="S65" s="4" t="s">
        <v>28</v>
      </c>
      <c r="T65" s="4">
        <v>167</v>
      </c>
      <c r="U65" s="4" t="s">
        <v>29</v>
      </c>
    </row>
    <row r="66" spans="1:66" hidden="1" x14ac:dyDescent="0.3">
      <c r="A66" s="4" t="s">
        <v>21</v>
      </c>
      <c r="B66" s="5">
        <v>45582</v>
      </c>
      <c r="C66" s="4" t="s">
        <v>22</v>
      </c>
      <c r="D66" s="4">
        <v>204</v>
      </c>
      <c r="E66" s="4" t="s">
        <v>120</v>
      </c>
      <c r="F66" s="4" t="s">
        <v>123</v>
      </c>
      <c r="G66" s="4" t="s">
        <v>95</v>
      </c>
      <c r="H66" s="4" t="s">
        <v>46</v>
      </c>
      <c r="I66" s="4">
        <v>200</v>
      </c>
      <c r="J66" s="6">
        <v>12</v>
      </c>
      <c r="K66" s="6">
        <f t="shared" si="2"/>
        <v>2400</v>
      </c>
      <c r="L66" s="5">
        <v>45615</v>
      </c>
      <c r="M66" s="9" t="str">
        <f t="shared" ca="1" si="3"/>
        <v>ATRASO</v>
      </c>
      <c r="N66" s="4" t="s">
        <v>121</v>
      </c>
      <c r="O66" s="4" t="s">
        <v>28</v>
      </c>
      <c r="P66" s="4" t="s">
        <v>28</v>
      </c>
      <c r="Q66" s="4" t="s">
        <v>28</v>
      </c>
      <c r="R66" s="4" t="s">
        <v>28</v>
      </c>
      <c r="S66" s="4" t="s">
        <v>28</v>
      </c>
      <c r="T66" s="4">
        <v>167</v>
      </c>
      <c r="U66" s="4" t="s">
        <v>29</v>
      </c>
    </row>
    <row r="67" spans="1:66" hidden="1" x14ac:dyDescent="0.3">
      <c r="A67" s="25" t="s">
        <v>21</v>
      </c>
      <c r="B67" s="27">
        <v>45587</v>
      </c>
      <c r="C67" s="25" t="s">
        <v>33</v>
      </c>
      <c r="D67" s="25">
        <v>1041</v>
      </c>
      <c r="E67" s="25" t="s">
        <v>124</v>
      </c>
      <c r="F67" s="25" t="s">
        <v>83</v>
      </c>
      <c r="G67" s="25" t="s">
        <v>51</v>
      </c>
      <c r="H67" s="25" t="s">
        <v>46</v>
      </c>
      <c r="I67" s="25">
        <v>400</v>
      </c>
      <c r="J67" s="28">
        <v>20</v>
      </c>
      <c r="K67" s="28">
        <f t="shared" si="2"/>
        <v>8000</v>
      </c>
      <c r="L67" s="27">
        <v>45615</v>
      </c>
      <c r="M67" s="29" t="str">
        <f t="shared" ca="1" si="3"/>
        <v>ATRASO</v>
      </c>
      <c r="N67" s="27">
        <v>45614</v>
      </c>
      <c r="O67" s="25" t="s">
        <v>28</v>
      </c>
      <c r="P67" s="25" t="s">
        <v>28</v>
      </c>
      <c r="Q67" s="25" t="s">
        <v>28</v>
      </c>
      <c r="R67" s="25" t="s">
        <v>28</v>
      </c>
      <c r="S67" s="25" t="s">
        <v>28</v>
      </c>
      <c r="T67" s="25">
        <v>1228</v>
      </c>
      <c r="U67" s="25" t="s">
        <v>29</v>
      </c>
    </row>
    <row r="68" spans="1:66" s="17" customFormat="1" x14ac:dyDescent="0.3">
      <c r="A68" s="4" t="s">
        <v>21</v>
      </c>
      <c r="B68" s="40">
        <v>45642</v>
      </c>
      <c r="C68" s="5" t="s">
        <v>33</v>
      </c>
      <c r="D68" s="17">
        <v>658</v>
      </c>
      <c r="E68" s="17" t="s">
        <v>110</v>
      </c>
      <c r="F68" s="17" t="s">
        <v>125</v>
      </c>
      <c r="G68" s="4" t="s">
        <v>38</v>
      </c>
      <c r="H68" s="4" t="s">
        <v>46</v>
      </c>
      <c r="I68" s="4">
        <v>50</v>
      </c>
      <c r="J68" s="15">
        <v>40</v>
      </c>
      <c r="K68" s="16">
        <f t="shared" ref="K68:K99" si="4">I68*J68</f>
        <v>2000</v>
      </c>
      <c r="L68" s="5">
        <v>45308</v>
      </c>
      <c r="M68" s="45" t="str">
        <f t="shared" ref="M68:M99" ca="1" si="5">IF(L68&lt;TODAY(),"ATRASO","EM PRODUÇÃO")</f>
        <v>ATRASO</v>
      </c>
      <c r="N68" s="5"/>
      <c r="O68" s="4"/>
      <c r="P68" s="4"/>
      <c r="Q68" s="4"/>
      <c r="R68" s="4"/>
      <c r="S68" s="4"/>
      <c r="T68" s="4"/>
      <c r="U68" s="43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</row>
    <row r="69" spans="1:66" hidden="1" x14ac:dyDescent="0.3">
      <c r="A69" s="23" t="s">
        <v>21</v>
      </c>
      <c r="B69" s="30">
        <v>45590</v>
      </c>
      <c r="C69" s="23" t="s">
        <v>22</v>
      </c>
      <c r="D69" s="23">
        <v>203</v>
      </c>
      <c r="E69" s="23" t="s">
        <v>126</v>
      </c>
      <c r="F69" s="23" t="s">
        <v>127</v>
      </c>
      <c r="G69" s="23" t="s">
        <v>25</v>
      </c>
      <c r="H69" s="23" t="s">
        <v>46</v>
      </c>
      <c r="I69" s="23">
        <v>50</v>
      </c>
      <c r="J69" s="31">
        <v>20</v>
      </c>
      <c r="K69" s="31">
        <f t="shared" si="4"/>
        <v>1000</v>
      </c>
      <c r="L69" s="30">
        <v>45618</v>
      </c>
      <c r="M69" s="32" t="str">
        <f t="shared" ca="1" si="5"/>
        <v>ATRASO</v>
      </c>
      <c r="N69" s="30">
        <v>45617</v>
      </c>
      <c r="O69" s="23" t="s">
        <v>28</v>
      </c>
      <c r="P69" s="23" t="s">
        <v>28</v>
      </c>
      <c r="Q69" s="23" t="s">
        <v>28</v>
      </c>
      <c r="R69" s="23" t="s">
        <v>28</v>
      </c>
      <c r="S69" s="23" t="s">
        <v>28</v>
      </c>
      <c r="T69" s="23">
        <v>170</v>
      </c>
      <c r="U69" s="23" t="s">
        <v>29</v>
      </c>
    </row>
    <row r="70" spans="1:66" s="17" customFormat="1" hidden="1" x14ac:dyDescent="0.3">
      <c r="A70" s="4" t="s">
        <v>21</v>
      </c>
      <c r="B70" s="5">
        <v>45594</v>
      </c>
      <c r="C70" s="5" t="s">
        <v>22</v>
      </c>
      <c r="D70" s="4">
        <v>211</v>
      </c>
      <c r="E70" s="4" t="s">
        <v>128</v>
      </c>
      <c r="F70" s="4" t="s">
        <v>66</v>
      </c>
      <c r="G70" s="4" t="s">
        <v>51</v>
      </c>
      <c r="H70" s="4" t="s">
        <v>46</v>
      </c>
      <c r="I70" s="4">
        <v>50</v>
      </c>
      <c r="J70" s="6">
        <v>23.5</v>
      </c>
      <c r="K70" s="6">
        <f t="shared" si="4"/>
        <v>1175</v>
      </c>
      <c r="L70" s="5">
        <v>45618</v>
      </c>
      <c r="M70" s="26" t="str">
        <f t="shared" ca="1" si="5"/>
        <v>ATRASO</v>
      </c>
      <c r="N70" s="5">
        <v>45622</v>
      </c>
      <c r="O70" s="4" t="s">
        <v>28</v>
      </c>
      <c r="P70" s="4" t="s">
        <v>28</v>
      </c>
      <c r="Q70" s="4" t="s">
        <v>28</v>
      </c>
      <c r="R70" s="4" t="s">
        <v>28</v>
      </c>
      <c r="S70" s="4" t="s">
        <v>28</v>
      </c>
      <c r="T70" s="4" t="s">
        <v>28</v>
      </c>
      <c r="U70" s="4" t="s">
        <v>29</v>
      </c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</row>
    <row r="71" spans="1:66" hidden="1" x14ac:dyDescent="0.3">
      <c r="A71" s="23" t="s">
        <v>21</v>
      </c>
      <c r="B71" s="30">
        <v>45595</v>
      </c>
      <c r="C71" s="30" t="s">
        <v>33</v>
      </c>
      <c r="D71" s="23">
        <v>626</v>
      </c>
      <c r="E71" s="23" t="s">
        <v>129</v>
      </c>
      <c r="F71" s="23" t="s">
        <v>83</v>
      </c>
      <c r="G71" s="23" t="s">
        <v>51</v>
      </c>
      <c r="H71" s="23" t="s">
        <v>26</v>
      </c>
      <c r="I71" s="23">
        <v>200</v>
      </c>
      <c r="J71" s="31">
        <v>21.5</v>
      </c>
      <c r="K71" s="31">
        <f t="shared" si="4"/>
        <v>4300</v>
      </c>
      <c r="L71" s="30">
        <v>45621</v>
      </c>
      <c r="M71" s="32" t="str">
        <f t="shared" ca="1" si="5"/>
        <v>ATRASO</v>
      </c>
      <c r="N71" s="30">
        <v>45618</v>
      </c>
      <c r="O71" s="23" t="s">
        <v>54</v>
      </c>
      <c r="P71" s="23" t="s">
        <v>54</v>
      </c>
      <c r="Q71" s="23" t="s">
        <v>54</v>
      </c>
      <c r="R71" s="23" t="s">
        <v>28</v>
      </c>
      <c r="S71" s="23" t="s">
        <v>28</v>
      </c>
      <c r="T71" s="23">
        <v>975</v>
      </c>
      <c r="U71" s="23" t="s">
        <v>29</v>
      </c>
    </row>
    <row r="72" spans="1:66" s="17" customFormat="1" hidden="1" x14ac:dyDescent="0.3">
      <c r="A72" s="4" t="s">
        <v>21</v>
      </c>
      <c r="B72" s="5">
        <v>45594</v>
      </c>
      <c r="C72" s="5" t="s">
        <v>22</v>
      </c>
      <c r="D72" s="4">
        <v>211</v>
      </c>
      <c r="E72" s="4" t="s">
        <v>128</v>
      </c>
      <c r="F72" s="4" t="s">
        <v>130</v>
      </c>
      <c r="G72" s="4" t="s">
        <v>25</v>
      </c>
      <c r="H72" s="4" t="s">
        <v>46</v>
      </c>
      <c r="I72" s="4">
        <v>100</v>
      </c>
      <c r="J72" s="6">
        <v>26.5</v>
      </c>
      <c r="K72" s="6">
        <f t="shared" si="4"/>
        <v>2650</v>
      </c>
      <c r="L72" s="5">
        <v>45618</v>
      </c>
      <c r="M72" s="26" t="str">
        <f t="shared" ca="1" si="5"/>
        <v>ATRASO</v>
      </c>
      <c r="N72" s="5">
        <v>45622</v>
      </c>
      <c r="O72" s="4" t="s">
        <v>28</v>
      </c>
      <c r="P72" s="4" t="s">
        <v>28</v>
      </c>
      <c r="Q72" s="4" t="s">
        <v>28</v>
      </c>
      <c r="R72" s="4" t="s">
        <v>28</v>
      </c>
      <c r="S72" s="4" t="s">
        <v>28</v>
      </c>
      <c r="T72" s="4" t="s">
        <v>28</v>
      </c>
      <c r="U72" s="4" t="s">
        <v>29</v>
      </c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</row>
    <row r="73" spans="1:66" s="17" customFormat="1" hidden="1" x14ac:dyDescent="0.3">
      <c r="A73" s="4" t="s">
        <v>21</v>
      </c>
      <c r="B73" s="5">
        <v>45593</v>
      </c>
      <c r="C73" s="5" t="s">
        <v>22</v>
      </c>
      <c r="D73" s="4">
        <v>1045</v>
      </c>
      <c r="E73" s="4" t="s">
        <v>131</v>
      </c>
      <c r="F73" s="4" t="s">
        <v>132</v>
      </c>
      <c r="G73" s="4" t="s">
        <v>133</v>
      </c>
      <c r="H73" s="4" t="s">
        <v>46</v>
      </c>
      <c r="I73" s="4">
        <v>1000</v>
      </c>
      <c r="J73" s="6">
        <v>4</v>
      </c>
      <c r="K73" s="6">
        <f t="shared" si="4"/>
        <v>4000</v>
      </c>
      <c r="L73" s="5">
        <v>45621</v>
      </c>
      <c r="M73" s="9" t="str">
        <f t="shared" ca="1" si="5"/>
        <v>ATRASO</v>
      </c>
      <c r="N73" s="5">
        <v>45643</v>
      </c>
      <c r="O73" s="4" t="s">
        <v>28</v>
      </c>
      <c r="P73" s="4" t="s">
        <v>28</v>
      </c>
      <c r="Q73" s="4" t="s">
        <v>28</v>
      </c>
      <c r="R73" s="4" t="s">
        <v>28</v>
      </c>
      <c r="S73" s="4" t="s">
        <v>28</v>
      </c>
      <c r="T73" s="4">
        <v>1263</v>
      </c>
      <c r="U73" s="4" t="s">
        <v>29</v>
      </c>
    </row>
    <row r="74" spans="1:66" hidden="1" x14ac:dyDescent="0.3">
      <c r="A74" s="23" t="s">
        <v>21</v>
      </c>
      <c r="B74" s="30">
        <v>45594</v>
      </c>
      <c r="C74" s="30" t="s">
        <v>98</v>
      </c>
      <c r="D74" s="23">
        <v>627</v>
      </c>
      <c r="E74" s="23" t="s">
        <v>134</v>
      </c>
      <c r="F74" s="23" t="s">
        <v>135</v>
      </c>
      <c r="G74" s="23" t="s">
        <v>95</v>
      </c>
      <c r="H74" s="23" t="s">
        <v>46</v>
      </c>
      <c r="I74" s="23">
        <v>400</v>
      </c>
      <c r="J74" s="31">
        <v>8.5</v>
      </c>
      <c r="K74" s="31">
        <f t="shared" si="4"/>
        <v>3400</v>
      </c>
      <c r="L74" s="30">
        <v>45625</v>
      </c>
      <c r="M74" s="32" t="str">
        <f t="shared" ca="1" si="5"/>
        <v>ATRASO</v>
      </c>
      <c r="N74" s="23"/>
      <c r="O74" s="23" t="s">
        <v>28</v>
      </c>
      <c r="P74" s="23" t="s">
        <v>28</v>
      </c>
      <c r="Q74" s="23" t="s">
        <v>28</v>
      </c>
      <c r="R74" s="23" t="s">
        <v>28</v>
      </c>
      <c r="S74" s="23" t="s">
        <v>28</v>
      </c>
      <c r="T74" s="23" t="s">
        <v>28</v>
      </c>
      <c r="U74" s="23" t="s">
        <v>136</v>
      </c>
    </row>
    <row r="75" spans="1:66" s="17" customFormat="1" hidden="1" x14ac:dyDescent="0.3">
      <c r="A75" s="4" t="s">
        <v>21</v>
      </c>
      <c r="B75" s="5">
        <v>45591</v>
      </c>
      <c r="C75" s="5" t="s">
        <v>22</v>
      </c>
      <c r="D75" s="4">
        <v>1043</v>
      </c>
      <c r="E75" s="4" t="s">
        <v>71</v>
      </c>
      <c r="F75" s="4" t="s">
        <v>103</v>
      </c>
      <c r="G75" s="4" t="s">
        <v>25</v>
      </c>
      <c r="H75" s="4" t="s">
        <v>26</v>
      </c>
      <c r="I75" s="4">
        <v>300</v>
      </c>
      <c r="J75" s="6">
        <v>18</v>
      </c>
      <c r="K75" s="6">
        <f t="shared" si="4"/>
        <v>5400</v>
      </c>
      <c r="L75" s="5">
        <v>45622</v>
      </c>
      <c r="M75" s="9" t="str">
        <f t="shared" ca="1" si="5"/>
        <v>ATRASO</v>
      </c>
      <c r="N75" s="5">
        <v>45623</v>
      </c>
      <c r="O75" s="4" t="s">
        <v>28</v>
      </c>
      <c r="P75" s="4" t="s">
        <v>28</v>
      </c>
      <c r="Q75" s="4" t="s">
        <v>28</v>
      </c>
      <c r="R75" s="4" t="s">
        <v>28</v>
      </c>
      <c r="S75" s="4" t="s">
        <v>28</v>
      </c>
      <c r="T75" s="4" t="s">
        <v>28</v>
      </c>
      <c r="U75" s="43" t="s">
        <v>29</v>
      </c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</row>
    <row r="76" spans="1:66" s="17" customFormat="1" hidden="1" x14ac:dyDescent="0.3">
      <c r="A76" s="4" t="s">
        <v>21</v>
      </c>
      <c r="B76" s="5">
        <v>45614</v>
      </c>
      <c r="C76" s="5" t="s">
        <v>137</v>
      </c>
      <c r="D76" s="4">
        <v>1060</v>
      </c>
      <c r="E76" s="4" t="s">
        <v>138</v>
      </c>
      <c r="F76" s="4" t="s">
        <v>139</v>
      </c>
      <c r="G76" s="4" t="s">
        <v>140</v>
      </c>
      <c r="H76" s="4" t="s">
        <v>46</v>
      </c>
      <c r="I76" s="4">
        <v>4</v>
      </c>
      <c r="J76" s="6">
        <v>100</v>
      </c>
      <c r="K76" s="6">
        <f t="shared" si="4"/>
        <v>400</v>
      </c>
      <c r="L76" s="5">
        <v>45624</v>
      </c>
      <c r="M76" s="9" t="str">
        <f t="shared" ca="1" si="5"/>
        <v>ATRASO</v>
      </c>
      <c r="N76" s="5">
        <v>45624</v>
      </c>
      <c r="O76" s="4" t="s">
        <v>28</v>
      </c>
      <c r="P76" s="4" t="s">
        <v>28</v>
      </c>
      <c r="Q76" s="4" t="s">
        <v>28</v>
      </c>
      <c r="R76" s="4" t="s">
        <v>28</v>
      </c>
      <c r="S76" s="4" t="s">
        <v>28</v>
      </c>
      <c r="T76" s="4" t="s">
        <v>28</v>
      </c>
      <c r="U76" s="43" t="s">
        <v>29</v>
      </c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</row>
    <row r="77" spans="1:66" s="17" customFormat="1" hidden="1" x14ac:dyDescent="0.3">
      <c r="A77" s="4" t="s">
        <v>21</v>
      </c>
      <c r="B77" s="5">
        <v>45587</v>
      </c>
      <c r="C77" s="5" t="s">
        <v>33</v>
      </c>
      <c r="D77" s="4">
        <v>1041</v>
      </c>
      <c r="E77" s="4" t="s">
        <v>141</v>
      </c>
      <c r="F77" s="4" t="s">
        <v>83</v>
      </c>
      <c r="G77" s="4" t="s">
        <v>51</v>
      </c>
      <c r="H77" s="4" t="s">
        <v>46</v>
      </c>
      <c r="I77" s="4">
        <v>400</v>
      </c>
      <c r="J77" s="6">
        <v>20</v>
      </c>
      <c r="K77" s="6">
        <f t="shared" si="4"/>
        <v>8000</v>
      </c>
      <c r="L77" s="5">
        <v>45615</v>
      </c>
      <c r="M77" s="26" t="str">
        <f t="shared" ca="1" si="5"/>
        <v>ATRASO</v>
      </c>
      <c r="N77" s="5">
        <v>45617</v>
      </c>
      <c r="O77" s="4" t="s">
        <v>28</v>
      </c>
      <c r="P77" s="4" t="s">
        <v>28</v>
      </c>
      <c r="Q77" s="4" t="s">
        <v>28</v>
      </c>
      <c r="R77" s="4" t="s">
        <v>28</v>
      </c>
      <c r="S77" s="4" t="s">
        <v>28</v>
      </c>
      <c r="T77" s="4">
        <v>1232</v>
      </c>
      <c r="U77" s="4" t="s">
        <v>29</v>
      </c>
    </row>
    <row r="78" spans="1:66" s="17" customFormat="1" hidden="1" x14ac:dyDescent="0.3">
      <c r="A78" s="4" t="s">
        <v>21</v>
      </c>
      <c r="B78" s="5">
        <v>45593</v>
      </c>
      <c r="C78" s="4" t="s">
        <v>98</v>
      </c>
      <c r="D78" s="4">
        <v>205</v>
      </c>
      <c r="E78" s="4" t="s">
        <v>142</v>
      </c>
      <c r="F78" s="4" t="s">
        <v>94</v>
      </c>
      <c r="G78" s="4" t="s">
        <v>95</v>
      </c>
      <c r="H78" s="4" t="s">
        <v>26</v>
      </c>
      <c r="I78" s="4">
        <v>500</v>
      </c>
      <c r="J78" s="6">
        <v>3.15</v>
      </c>
      <c r="K78" s="6">
        <f t="shared" si="4"/>
        <v>1575</v>
      </c>
      <c r="L78" s="5">
        <v>45624</v>
      </c>
      <c r="M78" s="9" t="str">
        <f t="shared" ca="1" si="5"/>
        <v>ATRASO</v>
      </c>
      <c r="N78" s="4"/>
      <c r="O78" s="4" t="s">
        <v>28</v>
      </c>
      <c r="P78" s="4" t="s">
        <v>28</v>
      </c>
      <c r="Q78" s="4" t="s">
        <v>28</v>
      </c>
      <c r="R78" s="4" t="s">
        <v>28</v>
      </c>
      <c r="S78" s="4" t="s">
        <v>28</v>
      </c>
      <c r="T78" s="4" t="s">
        <v>28</v>
      </c>
      <c r="U78" s="4" t="s">
        <v>29</v>
      </c>
    </row>
    <row r="79" spans="1:66" s="17" customFormat="1" ht="16.95" hidden="1" customHeight="1" x14ac:dyDescent="0.3">
      <c r="A79" s="4" t="s">
        <v>21</v>
      </c>
      <c r="B79" s="5">
        <v>45594</v>
      </c>
      <c r="C79" s="5" t="s">
        <v>22</v>
      </c>
      <c r="D79" s="4">
        <v>211</v>
      </c>
      <c r="E79" s="4" t="s">
        <v>128</v>
      </c>
      <c r="F79" s="4" t="s">
        <v>143</v>
      </c>
      <c r="G79" s="4" t="s">
        <v>60</v>
      </c>
      <c r="H79" s="4" t="s">
        <v>61</v>
      </c>
      <c r="I79" s="4">
        <v>1000</v>
      </c>
      <c r="J79" s="6">
        <v>7.4</v>
      </c>
      <c r="K79" s="6">
        <f t="shared" si="4"/>
        <v>7400</v>
      </c>
      <c r="L79" s="5">
        <v>45618</v>
      </c>
      <c r="M79" s="26" t="str">
        <f t="shared" ca="1" si="5"/>
        <v>ATRASO</v>
      </c>
      <c r="N79" s="5">
        <v>45622</v>
      </c>
      <c r="O79" s="4" t="s">
        <v>28</v>
      </c>
      <c r="P79" s="4" t="s">
        <v>28</v>
      </c>
      <c r="Q79" s="4" t="s">
        <v>28</v>
      </c>
      <c r="R79" s="4" t="s">
        <v>28</v>
      </c>
      <c r="S79" s="4" t="s">
        <v>28</v>
      </c>
      <c r="T79" s="4" t="s">
        <v>28</v>
      </c>
      <c r="U79" s="4" t="s">
        <v>29</v>
      </c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</row>
    <row r="80" spans="1:66" s="17" customFormat="1" hidden="1" x14ac:dyDescent="0.3">
      <c r="A80" s="4" t="s">
        <v>21</v>
      </c>
      <c r="B80" s="5">
        <v>45594</v>
      </c>
      <c r="C80" s="5" t="s">
        <v>22</v>
      </c>
      <c r="D80" s="4">
        <v>207</v>
      </c>
      <c r="E80" s="4" t="s">
        <v>144</v>
      </c>
      <c r="F80" s="4" t="s">
        <v>145</v>
      </c>
      <c r="G80" s="4" t="s">
        <v>25</v>
      </c>
      <c r="H80" s="4" t="s">
        <v>46</v>
      </c>
      <c r="I80" s="4">
        <v>100</v>
      </c>
      <c r="J80" s="6">
        <v>28</v>
      </c>
      <c r="K80" s="6">
        <f t="shared" si="4"/>
        <v>2800</v>
      </c>
      <c r="L80" s="5">
        <v>45625</v>
      </c>
      <c r="M80" s="9" t="str">
        <f t="shared" ca="1" si="5"/>
        <v>ATRASO</v>
      </c>
      <c r="N80" s="5">
        <v>45622</v>
      </c>
      <c r="O80" s="4" t="s">
        <v>28</v>
      </c>
      <c r="P80" s="4" t="s">
        <v>28</v>
      </c>
      <c r="Q80" s="4" t="s">
        <v>28</v>
      </c>
      <c r="R80" s="4" t="s">
        <v>28</v>
      </c>
      <c r="S80" s="4" t="s">
        <v>28</v>
      </c>
      <c r="T80" s="4" t="s">
        <v>28</v>
      </c>
      <c r="U80" s="4" t="s">
        <v>29</v>
      </c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</row>
    <row r="81" spans="1:66" s="17" customFormat="1" hidden="1" x14ac:dyDescent="0.3">
      <c r="A81" s="4" t="s">
        <v>62</v>
      </c>
      <c r="B81" s="5">
        <v>45597</v>
      </c>
      <c r="C81" s="5" t="s">
        <v>22</v>
      </c>
      <c r="D81" s="4">
        <v>207</v>
      </c>
      <c r="E81" s="4" t="s">
        <v>144</v>
      </c>
      <c r="F81" s="4" t="s">
        <v>66</v>
      </c>
      <c r="G81" s="4" t="s">
        <v>51</v>
      </c>
      <c r="H81" s="4" t="s">
        <v>46</v>
      </c>
      <c r="I81" s="4">
        <v>100</v>
      </c>
      <c r="J81" s="6">
        <v>19.7</v>
      </c>
      <c r="K81" s="6">
        <f t="shared" si="4"/>
        <v>1970</v>
      </c>
      <c r="L81" s="5">
        <v>45625</v>
      </c>
      <c r="M81" s="9" t="str">
        <f t="shared" ca="1" si="5"/>
        <v>ATRASO</v>
      </c>
      <c r="N81" s="5">
        <v>45622</v>
      </c>
      <c r="O81" s="4" t="s">
        <v>28</v>
      </c>
      <c r="P81" s="4" t="s">
        <v>28</v>
      </c>
      <c r="Q81" s="4" t="s">
        <v>28</v>
      </c>
      <c r="R81" s="4" t="s">
        <v>28</v>
      </c>
      <c r="S81" s="4" t="s">
        <v>28</v>
      </c>
      <c r="T81" s="4" t="s">
        <v>28</v>
      </c>
      <c r="U81" s="4" t="s">
        <v>29</v>
      </c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</row>
    <row r="82" spans="1:66" s="17" customFormat="1" hidden="1" x14ac:dyDescent="0.3">
      <c r="A82" s="4" t="s">
        <v>21</v>
      </c>
      <c r="B82" s="5">
        <v>45594</v>
      </c>
      <c r="C82" s="5" t="s">
        <v>98</v>
      </c>
      <c r="D82" s="4">
        <v>206</v>
      </c>
      <c r="E82" s="4" t="s">
        <v>146</v>
      </c>
      <c r="F82" s="4" t="s">
        <v>135</v>
      </c>
      <c r="G82" s="4" t="s">
        <v>95</v>
      </c>
      <c r="H82" s="4" t="s">
        <v>46</v>
      </c>
      <c r="I82" s="4">
        <v>200</v>
      </c>
      <c r="J82" s="6">
        <v>15.5</v>
      </c>
      <c r="K82" s="6">
        <f t="shared" si="4"/>
        <v>3100</v>
      </c>
      <c r="L82" s="5">
        <v>45625</v>
      </c>
      <c r="M82" s="9" t="str">
        <f t="shared" ca="1" si="5"/>
        <v>ATRASO</v>
      </c>
      <c r="N82" s="5">
        <v>45618</v>
      </c>
      <c r="O82" s="4" t="s">
        <v>28</v>
      </c>
      <c r="P82" s="4" t="s">
        <v>28</v>
      </c>
      <c r="Q82" s="4" t="s">
        <v>28</v>
      </c>
      <c r="R82" s="4" t="s">
        <v>28</v>
      </c>
      <c r="S82" s="4" t="s">
        <v>28</v>
      </c>
      <c r="T82" s="4" t="s">
        <v>28</v>
      </c>
      <c r="U82" s="4" t="s">
        <v>29</v>
      </c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</row>
    <row r="83" spans="1:66" s="17" customFormat="1" hidden="1" x14ac:dyDescent="0.3">
      <c r="A83" s="4" t="s">
        <v>21</v>
      </c>
      <c r="B83" s="5">
        <v>45572</v>
      </c>
      <c r="C83" s="5" t="s">
        <v>33</v>
      </c>
      <c r="D83" s="4">
        <v>1049</v>
      </c>
      <c r="E83" s="4" t="s">
        <v>91</v>
      </c>
      <c r="F83" s="4" t="s">
        <v>92</v>
      </c>
      <c r="G83" s="4" t="s">
        <v>51</v>
      </c>
      <c r="H83" s="4" t="s">
        <v>46</v>
      </c>
      <c r="I83" s="4">
        <v>2500</v>
      </c>
      <c r="J83" s="6">
        <v>23.5</v>
      </c>
      <c r="K83" s="6">
        <f t="shared" si="4"/>
        <v>58750</v>
      </c>
      <c r="L83" s="5">
        <v>45631</v>
      </c>
      <c r="M83" s="9" t="str">
        <f t="shared" ca="1" si="5"/>
        <v>ATRASO</v>
      </c>
      <c r="N83" s="5">
        <v>45628</v>
      </c>
      <c r="O83" s="4" t="s">
        <v>28</v>
      </c>
      <c r="P83" s="4" t="s">
        <v>28</v>
      </c>
      <c r="Q83" s="4" t="s">
        <v>28</v>
      </c>
      <c r="R83" s="4" t="s">
        <v>28</v>
      </c>
      <c r="S83" s="4" t="s">
        <v>28</v>
      </c>
      <c r="T83" s="4" t="s">
        <v>28</v>
      </c>
      <c r="U83" s="43" t="s">
        <v>29</v>
      </c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</row>
    <row r="84" spans="1:66" hidden="1" x14ac:dyDescent="0.3">
      <c r="A84" s="33" t="s">
        <v>21</v>
      </c>
      <c r="B84" s="24">
        <v>45600</v>
      </c>
      <c r="C84" s="34" t="s">
        <v>147</v>
      </c>
      <c r="D84" s="33">
        <v>628</v>
      </c>
      <c r="E84" s="33" t="s">
        <v>148</v>
      </c>
      <c r="F84" s="33" t="s">
        <v>64</v>
      </c>
      <c r="G84" s="33" t="s">
        <v>60</v>
      </c>
      <c r="H84" s="33" t="s">
        <v>61</v>
      </c>
      <c r="I84" s="33">
        <v>100</v>
      </c>
      <c r="J84" s="35">
        <v>12</v>
      </c>
      <c r="K84" s="35">
        <f t="shared" si="4"/>
        <v>1200</v>
      </c>
      <c r="L84" s="34">
        <v>45630</v>
      </c>
      <c r="M84" s="36" t="str">
        <f t="shared" ca="1" si="5"/>
        <v>ATRASO</v>
      </c>
      <c r="N84" s="34">
        <v>45618</v>
      </c>
      <c r="O84" s="33" t="s">
        <v>28</v>
      </c>
      <c r="P84" s="33" t="s">
        <v>28</v>
      </c>
      <c r="Q84" s="33" t="s">
        <v>28</v>
      </c>
      <c r="R84" s="33" t="s">
        <v>28</v>
      </c>
      <c r="S84" s="33" t="s">
        <v>28</v>
      </c>
      <c r="T84" s="33">
        <v>974</v>
      </c>
      <c r="U84" s="33" t="s">
        <v>29</v>
      </c>
    </row>
    <row r="85" spans="1:66" hidden="1" x14ac:dyDescent="0.3">
      <c r="A85" s="25" t="s">
        <v>21</v>
      </c>
      <c r="B85" s="24">
        <v>45600</v>
      </c>
      <c r="C85" s="27" t="s">
        <v>147</v>
      </c>
      <c r="D85" s="25">
        <v>628</v>
      </c>
      <c r="E85" s="25" t="s">
        <v>148</v>
      </c>
      <c r="F85" s="25" t="s">
        <v>149</v>
      </c>
      <c r="G85" s="25" t="s">
        <v>42</v>
      </c>
      <c r="H85" s="25" t="s">
        <v>46</v>
      </c>
      <c r="I85" s="25">
        <v>100</v>
      </c>
      <c r="J85" s="28">
        <v>13</v>
      </c>
      <c r="K85" s="28">
        <f t="shared" si="4"/>
        <v>1300</v>
      </c>
      <c r="L85" s="27">
        <v>45630</v>
      </c>
      <c r="M85" s="29" t="str">
        <f t="shared" ca="1" si="5"/>
        <v>ATRASO</v>
      </c>
      <c r="N85" s="27">
        <v>45618</v>
      </c>
      <c r="O85" s="25" t="s">
        <v>28</v>
      </c>
      <c r="P85" s="25" t="s">
        <v>28</v>
      </c>
      <c r="Q85" s="25" t="s">
        <v>28</v>
      </c>
      <c r="R85" s="25" t="s">
        <v>28</v>
      </c>
      <c r="S85" s="25" t="s">
        <v>28</v>
      </c>
      <c r="T85" s="25">
        <v>974</v>
      </c>
      <c r="U85" s="25" t="s">
        <v>29</v>
      </c>
    </row>
    <row r="86" spans="1:66" s="17" customFormat="1" hidden="1" x14ac:dyDescent="0.3">
      <c r="A86" s="4" t="s">
        <v>21</v>
      </c>
      <c r="B86" s="5">
        <v>45615</v>
      </c>
      <c r="C86" s="5" t="s">
        <v>33</v>
      </c>
      <c r="D86" s="4">
        <v>217</v>
      </c>
      <c r="E86" s="4" t="s">
        <v>150</v>
      </c>
      <c r="F86" s="4" t="s">
        <v>35</v>
      </c>
      <c r="G86" s="4" t="s">
        <v>74</v>
      </c>
      <c r="H86" s="4" t="s">
        <v>46</v>
      </c>
      <c r="I86" s="4">
        <v>10</v>
      </c>
      <c r="J86" s="6">
        <v>65</v>
      </c>
      <c r="K86" s="6">
        <f t="shared" si="4"/>
        <v>650</v>
      </c>
      <c r="L86" s="5">
        <v>45625</v>
      </c>
      <c r="M86" s="9" t="str">
        <f t="shared" ca="1" si="5"/>
        <v>ATRASO</v>
      </c>
      <c r="N86" s="5">
        <v>45625</v>
      </c>
      <c r="O86" s="4" t="s">
        <v>28</v>
      </c>
      <c r="P86" s="4" t="s">
        <v>28</v>
      </c>
      <c r="Q86" s="4" t="s">
        <v>28</v>
      </c>
      <c r="R86" s="4" t="s">
        <v>28</v>
      </c>
      <c r="S86" s="4" t="s">
        <v>28</v>
      </c>
      <c r="T86" s="4" t="s">
        <v>28</v>
      </c>
      <c r="U86" s="4" t="s">
        <v>29</v>
      </c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</row>
    <row r="87" spans="1:66" s="17" customFormat="1" hidden="1" x14ac:dyDescent="0.3">
      <c r="A87" s="4" t="s">
        <v>21</v>
      </c>
      <c r="B87" s="5">
        <v>45235</v>
      </c>
      <c r="C87" s="5" t="s">
        <v>22</v>
      </c>
      <c r="D87" s="4">
        <v>210</v>
      </c>
      <c r="E87" s="4" t="s">
        <v>151</v>
      </c>
      <c r="F87" s="4" t="s">
        <v>31</v>
      </c>
      <c r="G87" s="4" t="s">
        <v>32</v>
      </c>
      <c r="H87" s="4" t="s">
        <v>46</v>
      </c>
      <c r="I87" s="4">
        <v>100</v>
      </c>
      <c r="J87" s="6">
        <v>27.5</v>
      </c>
      <c r="K87" s="6">
        <f t="shared" si="4"/>
        <v>2750</v>
      </c>
      <c r="L87" s="5">
        <v>45631</v>
      </c>
      <c r="M87" s="9" t="str">
        <f t="shared" ca="1" si="5"/>
        <v>ATRASO</v>
      </c>
      <c r="N87" s="5">
        <v>45637</v>
      </c>
      <c r="O87" s="4" t="s">
        <v>28</v>
      </c>
      <c r="P87" s="4" t="s">
        <v>28</v>
      </c>
      <c r="Q87" s="4" t="s">
        <v>28</v>
      </c>
      <c r="R87" s="4" t="s">
        <v>28</v>
      </c>
      <c r="S87" s="4" t="s">
        <v>28</v>
      </c>
      <c r="T87" s="4" t="s">
        <v>28</v>
      </c>
      <c r="U87" s="4" t="s">
        <v>29</v>
      </c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</row>
    <row r="88" spans="1:66" s="17" customFormat="1" hidden="1" x14ac:dyDescent="0.3">
      <c r="A88" s="4" t="s">
        <v>21</v>
      </c>
      <c r="B88" s="5">
        <v>45603</v>
      </c>
      <c r="C88" s="5" t="s">
        <v>33</v>
      </c>
      <c r="D88" s="4">
        <v>1054</v>
      </c>
      <c r="E88" s="4" t="s">
        <v>91</v>
      </c>
      <c r="F88" s="4" t="s">
        <v>152</v>
      </c>
      <c r="G88" s="4" t="s">
        <v>74</v>
      </c>
      <c r="H88" s="4" t="s">
        <v>46</v>
      </c>
      <c r="I88" s="4">
        <v>100</v>
      </c>
      <c r="J88" s="6">
        <v>28</v>
      </c>
      <c r="K88" s="6">
        <f t="shared" si="4"/>
        <v>2800</v>
      </c>
      <c r="L88" s="5">
        <v>45635</v>
      </c>
      <c r="M88" s="9" t="str">
        <f t="shared" ca="1" si="5"/>
        <v>ATRASO</v>
      </c>
      <c r="N88" s="5">
        <v>45628</v>
      </c>
      <c r="O88" s="4" t="s">
        <v>28</v>
      </c>
      <c r="P88" s="4" t="s">
        <v>28</v>
      </c>
      <c r="Q88" s="4" t="s">
        <v>28</v>
      </c>
      <c r="R88" s="4" t="s">
        <v>28</v>
      </c>
      <c r="S88" s="4" t="s">
        <v>28</v>
      </c>
      <c r="T88" s="4" t="s">
        <v>28</v>
      </c>
      <c r="U88" s="43" t="s">
        <v>29</v>
      </c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</row>
    <row r="89" spans="1:66" s="17" customFormat="1" hidden="1" x14ac:dyDescent="0.3">
      <c r="A89" s="4" t="s">
        <v>21</v>
      </c>
      <c r="B89" s="5">
        <v>45601</v>
      </c>
      <c r="C89" s="5" t="s">
        <v>22</v>
      </c>
      <c r="D89" s="4">
        <v>209</v>
      </c>
      <c r="E89" s="4" t="s">
        <v>96</v>
      </c>
      <c r="F89" s="4" t="s">
        <v>153</v>
      </c>
      <c r="G89" s="4" t="s">
        <v>154</v>
      </c>
      <c r="H89" s="4" t="s">
        <v>26</v>
      </c>
      <c r="I89" s="4">
        <v>500</v>
      </c>
      <c r="J89" s="6">
        <v>15.5</v>
      </c>
      <c r="K89" s="6">
        <f t="shared" si="4"/>
        <v>7750</v>
      </c>
      <c r="L89" s="5">
        <v>45631</v>
      </c>
      <c r="M89" s="9" t="str">
        <f t="shared" ca="1" si="5"/>
        <v>ATRASO</v>
      </c>
      <c r="N89" s="5">
        <v>45631</v>
      </c>
      <c r="O89" s="4" t="s">
        <v>28</v>
      </c>
      <c r="P89" s="4" t="s">
        <v>28</v>
      </c>
      <c r="Q89" s="4" t="s">
        <v>28</v>
      </c>
      <c r="R89" s="4" t="s">
        <v>28</v>
      </c>
      <c r="S89" s="4" t="s">
        <v>28</v>
      </c>
      <c r="T89" s="4" t="s">
        <v>28</v>
      </c>
      <c r="U89" s="4" t="s">
        <v>29</v>
      </c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</row>
    <row r="90" spans="1:66" s="17" customFormat="1" hidden="1" x14ac:dyDescent="0.3">
      <c r="A90" s="4" t="s">
        <v>21</v>
      </c>
      <c r="B90" s="5">
        <v>45603</v>
      </c>
      <c r="C90" s="5" t="s">
        <v>22</v>
      </c>
      <c r="D90" s="4">
        <v>212</v>
      </c>
      <c r="E90" s="4" t="s">
        <v>49</v>
      </c>
      <c r="F90" s="4" t="s">
        <v>109</v>
      </c>
      <c r="G90" s="4" t="s">
        <v>51</v>
      </c>
      <c r="H90" s="4" t="s">
        <v>46</v>
      </c>
      <c r="I90" s="4">
        <v>200</v>
      </c>
      <c r="J90" s="6">
        <v>19.5</v>
      </c>
      <c r="K90" s="6">
        <f t="shared" si="4"/>
        <v>3900</v>
      </c>
      <c r="L90" s="5">
        <v>45635</v>
      </c>
      <c r="M90" s="9" t="str">
        <f t="shared" ca="1" si="5"/>
        <v>ATRASO</v>
      </c>
      <c r="N90" s="5">
        <v>45635</v>
      </c>
      <c r="O90" s="4" t="s">
        <v>28</v>
      </c>
      <c r="P90" s="4" t="s">
        <v>28</v>
      </c>
      <c r="Q90" s="4" t="s">
        <v>28</v>
      </c>
      <c r="R90" s="4" t="s">
        <v>28</v>
      </c>
      <c r="S90" s="4" t="s">
        <v>28</v>
      </c>
      <c r="T90" s="4" t="s">
        <v>28</v>
      </c>
      <c r="U90" s="4" t="s">
        <v>29</v>
      </c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</row>
    <row r="91" spans="1:66" s="17" customFormat="1" hidden="1" x14ac:dyDescent="0.3">
      <c r="A91" s="4" t="s">
        <v>21</v>
      </c>
      <c r="B91" s="5">
        <v>45572</v>
      </c>
      <c r="C91" s="5" t="s">
        <v>33</v>
      </c>
      <c r="D91" s="4">
        <v>631</v>
      </c>
      <c r="E91" s="4" t="s">
        <v>89</v>
      </c>
      <c r="F91" s="4" t="s">
        <v>155</v>
      </c>
      <c r="G91" s="4" t="s">
        <v>51</v>
      </c>
      <c r="H91" s="4" t="s">
        <v>46</v>
      </c>
      <c r="I91" s="4">
        <v>150</v>
      </c>
      <c r="J91" s="6">
        <v>23</v>
      </c>
      <c r="K91" s="6">
        <f t="shared" si="4"/>
        <v>3450</v>
      </c>
      <c r="L91" s="5">
        <v>45637</v>
      </c>
      <c r="M91" s="9" t="str">
        <f t="shared" ca="1" si="5"/>
        <v>ATRASO</v>
      </c>
      <c r="N91" s="5">
        <v>45324</v>
      </c>
      <c r="O91" s="4" t="s">
        <v>28</v>
      </c>
      <c r="P91" s="4" t="s">
        <v>28</v>
      </c>
      <c r="Q91" s="4" t="s">
        <v>28</v>
      </c>
      <c r="R91" s="4" t="s">
        <v>28</v>
      </c>
      <c r="S91" s="4" t="s">
        <v>28</v>
      </c>
      <c r="T91" s="4" t="s">
        <v>28</v>
      </c>
      <c r="U91" s="4" t="s">
        <v>29</v>
      </c>
    </row>
    <row r="92" spans="1:66" s="17" customFormat="1" hidden="1" x14ac:dyDescent="0.3">
      <c r="A92" s="4" t="s">
        <v>21</v>
      </c>
      <c r="B92" s="5">
        <v>45582</v>
      </c>
      <c r="C92" s="5" t="s">
        <v>33</v>
      </c>
      <c r="D92" s="4">
        <v>630</v>
      </c>
      <c r="E92" s="4" t="s">
        <v>110</v>
      </c>
      <c r="F92" s="4" t="s">
        <v>83</v>
      </c>
      <c r="G92" s="4" t="s">
        <v>51</v>
      </c>
      <c r="H92" s="4" t="s">
        <v>46</v>
      </c>
      <c r="I92" s="4">
        <v>250</v>
      </c>
      <c r="J92" s="6">
        <v>21.5</v>
      </c>
      <c r="K92" s="6">
        <f t="shared" si="4"/>
        <v>5375</v>
      </c>
      <c r="L92" s="5">
        <v>45637</v>
      </c>
      <c r="M92" s="9" t="str">
        <f t="shared" ca="1" si="5"/>
        <v>ATRASO</v>
      </c>
      <c r="N92" s="5">
        <v>45324</v>
      </c>
      <c r="O92" s="4" t="s">
        <v>28</v>
      </c>
      <c r="P92" s="4" t="s">
        <v>28</v>
      </c>
      <c r="Q92" s="4" t="s">
        <v>28</v>
      </c>
      <c r="R92" s="4" t="s">
        <v>28</v>
      </c>
      <c r="S92" s="4" t="s">
        <v>28</v>
      </c>
      <c r="T92" s="4">
        <v>977</v>
      </c>
      <c r="U92" s="4" t="s">
        <v>29</v>
      </c>
    </row>
    <row r="93" spans="1:66" s="17" customFormat="1" hidden="1" x14ac:dyDescent="0.3">
      <c r="A93" s="4" t="s">
        <v>21</v>
      </c>
      <c r="B93" s="5">
        <v>45604</v>
      </c>
      <c r="C93" s="5" t="s">
        <v>22</v>
      </c>
      <c r="D93" s="4">
        <v>215</v>
      </c>
      <c r="E93" s="4" t="s">
        <v>49</v>
      </c>
      <c r="F93" s="4" t="s">
        <v>103</v>
      </c>
      <c r="G93" s="4" t="s">
        <v>51</v>
      </c>
      <c r="H93" s="4" t="s">
        <v>46</v>
      </c>
      <c r="I93" s="4">
        <v>300</v>
      </c>
      <c r="J93" s="6">
        <v>28</v>
      </c>
      <c r="K93" s="6">
        <f t="shared" si="4"/>
        <v>8400</v>
      </c>
      <c r="L93" s="5">
        <v>45636</v>
      </c>
      <c r="M93" s="9" t="str">
        <f t="shared" ca="1" si="5"/>
        <v>ATRASO</v>
      </c>
      <c r="N93" s="5">
        <v>45636</v>
      </c>
      <c r="O93" s="4" t="s">
        <v>28</v>
      </c>
      <c r="P93" s="4" t="s">
        <v>28</v>
      </c>
      <c r="Q93" s="4" t="s">
        <v>28</v>
      </c>
      <c r="R93" s="4" t="s">
        <v>28</v>
      </c>
      <c r="S93" s="4" t="s">
        <v>28</v>
      </c>
      <c r="T93" s="4" t="s">
        <v>28</v>
      </c>
      <c r="U93" s="4" t="s">
        <v>29</v>
      </c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</row>
    <row r="94" spans="1:66" s="17" customFormat="1" hidden="1" x14ac:dyDescent="0.3">
      <c r="A94" s="4" t="s">
        <v>21</v>
      </c>
      <c r="B94" s="5">
        <v>45608</v>
      </c>
      <c r="C94" s="5" t="s">
        <v>22</v>
      </c>
      <c r="D94" s="4">
        <v>214</v>
      </c>
      <c r="E94" s="4" t="s">
        <v>30</v>
      </c>
      <c r="F94" s="4" t="s">
        <v>156</v>
      </c>
      <c r="G94" s="4" t="s">
        <v>51</v>
      </c>
      <c r="H94" s="4" t="s">
        <v>46</v>
      </c>
      <c r="I94" s="4">
        <v>100</v>
      </c>
      <c r="J94" s="6">
        <v>23.5</v>
      </c>
      <c r="K94" s="6">
        <f t="shared" si="4"/>
        <v>2350</v>
      </c>
      <c r="L94" s="5">
        <v>45638</v>
      </c>
      <c r="M94" s="9" t="str">
        <f t="shared" ca="1" si="5"/>
        <v>ATRASO</v>
      </c>
      <c r="N94" s="5">
        <v>45636</v>
      </c>
      <c r="O94" s="4" t="s">
        <v>28</v>
      </c>
      <c r="P94" s="4" t="s">
        <v>28</v>
      </c>
      <c r="Q94" s="4" t="s">
        <v>28</v>
      </c>
      <c r="R94" s="4" t="s">
        <v>28</v>
      </c>
      <c r="S94" s="4" t="s">
        <v>28</v>
      </c>
      <c r="T94" s="4" t="s">
        <v>28</v>
      </c>
      <c r="U94" s="4" t="s">
        <v>29</v>
      </c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</row>
    <row r="95" spans="1:66" s="17" customFormat="1" hidden="1" x14ac:dyDescent="0.3">
      <c r="A95" s="4" t="s">
        <v>21</v>
      </c>
      <c r="B95" s="5">
        <v>45609</v>
      </c>
      <c r="C95" s="5" t="s">
        <v>98</v>
      </c>
      <c r="D95" s="4">
        <v>632</v>
      </c>
      <c r="E95" s="4" t="s">
        <v>134</v>
      </c>
      <c r="F95" s="4" t="s">
        <v>135</v>
      </c>
      <c r="G95" s="4" t="s">
        <v>95</v>
      </c>
      <c r="H95" s="4" t="s">
        <v>46</v>
      </c>
      <c r="I95" s="4">
        <v>100</v>
      </c>
      <c r="J95" s="6">
        <v>16.5</v>
      </c>
      <c r="K95" s="6">
        <f t="shared" si="4"/>
        <v>1650</v>
      </c>
      <c r="L95" s="5">
        <v>45639</v>
      </c>
      <c r="M95" s="9" t="str">
        <f t="shared" ca="1" si="5"/>
        <v>ATRASO</v>
      </c>
      <c r="N95" s="5">
        <v>45324</v>
      </c>
      <c r="O95" s="4" t="s">
        <v>28</v>
      </c>
      <c r="P95" s="4" t="s">
        <v>28</v>
      </c>
      <c r="Q95" s="4" t="s">
        <v>28</v>
      </c>
      <c r="R95" s="4" t="s">
        <v>28</v>
      </c>
      <c r="S95" s="4" t="s">
        <v>28</v>
      </c>
      <c r="T95" s="4" t="s">
        <v>28</v>
      </c>
      <c r="U95" s="43" t="s">
        <v>29</v>
      </c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</row>
    <row r="96" spans="1:66" s="4" customFormat="1" hidden="1" x14ac:dyDescent="0.3">
      <c r="A96" s="4" t="s">
        <v>21</v>
      </c>
      <c r="B96" s="5">
        <v>45610</v>
      </c>
      <c r="C96" s="5" t="s">
        <v>22</v>
      </c>
      <c r="D96" s="4">
        <v>1059</v>
      </c>
      <c r="E96" s="4" t="s">
        <v>157</v>
      </c>
      <c r="F96" s="4" t="s">
        <v>158</v>
      </c>
      <c r="G96" s="4" t="s">
        <v>51</v>
      </c>
      <c r="H96" s="4" t="s">
        <v>46</v>
      </c>
      <c r="I96" s="4">
        <v>300</v>
      </c>
      <c r="J96" s="6">
        <v>28</v>
      </c>
      <c r="K96" s="6">
        <f t="shared" si="4"/>
        <v>8400</v>
      </c>
      <c r="L96" s="5">
        <v>45642</v>
      </c>
      <c r="M96" s="9" t="str">
        <f t="shared" ca="1" si="5"/>
        <v>ATRASO</v>
      </c>
      <c r="N96" s="5">
        <v>45638</v>
      </c>
      <c r="O96" s="4" t="s">
        <v>28</v>
      </c>
      <c r="P96" s="4" t="s">
        <v>28</v>
      </c>
      <c r="Q96" s="4" t="s">
        <v>28</v>
      </c>
      <c r="R96" s="4" t="s">
        <v>28</v>
      </c>
      <c r="S96" s="4" t="s">
        <v>28</v>
      </c>
      <c r="T96" s="4">
        <v>1253</v>
      </c>
      <c r="U96" s="4" t="s">
        <v>29</v>
      </c>
    </row>
    <row r="97" spans="1:66" s="4" customFormat="1" hidden="1" x14ac:dyDescent="0.3">
      <c r="A97" s="4" t="s">
        <v>21</v>
      </c>
      <c r="B97" s="5">
        <v>45608</v>
      </c>
      <c r="C97" s="5" t="s">
        <v>22</v>
      </c>
      <c r="D97" s="4">
        <v>214</v>
      </c>
      <c r="E97" s="4" t="s">
        <v>30</v>
      </c>
      <c r="F97" s="4" t="s">
        <v>159</v>
      </c>
      <c r="G97" s="4" t="s">
        <v>25</v>
      </c>
      <c r="H97" s="4" t="s">
        <v>26</v>
      </c>
      <c r="I97" s="4">
        <v>100</v>
      </c>
      <c r="J97" s="6">
        <v>24.5</v>
      </c>
      <c r="K97" s="6">
        <f t="shared" si="4"/>
        <v>2450</v>
      </c>
      <c r="L97" s="5">
        <v>45638</v>
      </c>
      <c r="M97" s="9" t="str">
        <f t="shared" ca="1" si="5"/>
        <v>ATRASO</v>
      </c>
      <c r="N97" s="5">
        <v>45636</v>
      </c>
      <c r="O97" s="4" t="s">
        <v>28</v>
      </c>
      <c r="P97" s="4" t="s">
        <v>28</v>
      </c>
      <c r="Q97" s="4" t="s">
        <v>28</v>
      </c>
      <c r="R97" s="4" t="s">
        <v>28</v>
      </c>
      <c r="S97" s="4" t="s">
        <v>28</v>
      </c>
      <c r="T97" s="4" t="s">
        <v>28</v>
      </c>
      <c r="U97" s="4" t="s">
        <v>29</v>
      </c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</row>
    <row r="98" spans="1:66" s="4" customFormat="1" x14ac:dyDescent="0.3">
      <c r="A98" s="4" t="s">
        <v>21</v>
      </c>
      <c r="B98" s="40">
        <v>45623</v>
      </c>
      <c r="C98" s="5" t="s">
        <v>22</v>
      </c>
      <c r="D98" s="17">
        <v>638</v>
      </c>
      <c r="E98" s="17" t="s">
        <v>160</v>
      </c>
      <c r="F98" s="17" t="s">
        <v>161</v>
      </c>
      <c r="G98" s="4" t="s">
        <v>51</v>
      </c>
      <c r="H98" s="4" t="s">
        <v>46</v>
      </c>
      <c r="I98" s="4">
        <v>100</v>
      </c>
      <c r="J98" s="15">
        <v>16</v>
      </c>
      <c r="K98" s="16">
        <f t="shared" si="4"/>
        <v>1600</v>
      </c>
      <c r="L98" s="5">
        <v>45642</v>
      </c>
      <c r="M98" s="45" t="str">
        <f t="shared" ca="1" si="5"/>
        <v>ATRASO</v>
      </c>
      <c r="N98" s="5"/>
      <c r="U98" s="43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</row>
    <row r="99" spans="1:66" s="4" customFormat="1" hidden="1" x14ac:dyDescent="0.3">
      <c r="A99" s="4" t="s">
        <v>21</v>
      </c>
      <c r="B99" s="5">
        <v>45614</v>
      </c>
      <c r="C99" s="5" t="s">
        <v>22</v>
      </c>
      <c r="D99" s="4">
        <v>216</v>
      </c>
      <c r="E99" s="4" t="s">
        <v>162</v>
      </c>
      <c r="F99" s="4" t="s">
        <v>122</v>
      </c>
      <c r="G99" s="4" t="s">
        <v>60</v>
      </c>
      <c r="H99" s="4" t="s">
        <v>61</v>
      </c>
      <c r="I99" s="4">
        <v>100</v>
      </c>
      <c r="J99" s="6">
        <v>17.7</v>
      </c>
      <c r="K99" s="6">
        <f t="shared" si="4"/>
        <v>1770</v>
      </c>
      <c r="L99" s="5">
        <v>45643</v>
      </c>
      <c r="M99" s="9" t="str">
        <f t="shared" ca="1" si="5"/>
        <v>ATRASO</v>
      </c>
      <c r="N99" s="4" t="s">
        <v>163</v>
      </c>
      <c r="O99" s="4" t="s">
        <v>28</v>
      </c>
      <c r="P99" s="4" t="s">
        <v>28</v>
      </c>
      <c r="Q99" s="4" t="s">
        <v>28</v>
      </c>
      <c r="R99" s="4" t="s">
        <v>28</v>
      </c>
      <c r="S99" s="4" t="s">
        <v>28</v>
      </c>
      <c r="T99" s="4" t="s">
        <v>28</v>
      </c>
      <c r="U99" s="4" t="s">
        <v>29</v>
      </c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</row>
    <row r="100" spans="1:66" s="4" customFormat="1" hidden="1" x14ac:dyDescent="0.3">
      <c r="A100" s="4" t="s">
        <v>21</v>
      </c>
      <c r="B100" s="5">
        <v>45588</v>
      </c>
      <c r="C100" s="5" t="s">
        <v>22</v>
      </c>
      <c r="D100" s="4">
        <v>202</v>
      </c>
      <c r="E100" s="4" t="s">
        <v>164</v>
      </c>
      <c r="F100" s="4" t="s">
        <v>48</v>
      </c>
      <c r="G100" s="4" t="s">
        <v>36</v>
      </c>
      <c r="H100" s="4" t="s">
        <v>26</v>
      </c>
      <c r="I100" s="4">
        <v>100</v>
      </c>
      <c r="J100" s="6">
        <v>24.5</v>
      </c>
      <c r="K100" s="6">
        <f t="shared" ref="K100:K131" si="6">I100*J100</f>
        <v>2450</v>
      </c>
      <c r="L100" s="5">
        <v>45616</v>
      </c>
      <c r="M100" s="26" t="str">
        <f t="shared" ref="M100:M131" ca="1" si="7">IF(L100&lt;TODAY(),"ATRASO","EM PRODUÇÃO")</f>
        <v>ATRASO</v>
      </c>
      <c r="N100" s="5">
        <v>45617</v>
      </c>
      <c r="O100" s="4" t="s">
        <v>28</v>
      </c>
      <c r="P100" s="4" t="s">
        <v>28</v>
      </c>
      <c r="Q100" s="4" t="s">
        <v>28</v>
      </c>
      <c r="R100" s="4" t="s">
        <v>28</v>
      </c>
      <c r="S100" s="4" t="s">
        <v>28</v>
      </c>
      <c r="T100" s="4">
        <v>171</v>
      </c>
      <c r="U100" s="4" t="s">
        <v>29</v>
      </c>
    </row>
    <row r="101" spans="1:66" s="4" customFormat="1" x14ac:dyDescent="0.3">
      <c r="A101" s="4" t="s">
        <v>21</v>
      </c>
      <c r="B101" s="40">
        <v>45623</v>
      </c>
      <c r="C101" s="5" t="s">
        <v>98</v>
      </c>
      <c r="D101" s="17">
        <v>1074</v>
      </c>
      <c r="E101" s="17" t="s">
        <v>99</v>
      </c>
      <c r="F101" s="17" t="s">
        <v>165</v>
      </c>
      <c r="G101" s="4" t="s">
        <v>51</v>
      </c>
      <c r="H101" s="4" t="s">
        <v>46</v>
      </c>
      <c r="I101" s="4">
        <v>100</v>
      </c>
      <c r="J101" s="15">
        <v>23.5</v>
      </c>
      <c r="K101" s="16">
        <f t="shared" si="6"/>
        <v>2350</v>
      </c>
      <c r="L101" s="5">
        <v>45643</v>
      </c>
      <c r="M101" s="45" t="str">
        <f t="shared" ca="1" si="7"/>
        <v>ATRASO</v>
      </c>
      <c r="N101" s="5"/>
      <c r="O101" s="4" t="s">
        <v>28</v>
      </c>
      <c r="P101" s="4" t="s">
        <v>28</v>
      </c>
      <c r="Q101" s="4" t="s">
        <v>28</v>
      </c>
      <c r="R101" s="4" t="s">
        <v>28</v>
      </c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</row>
    <row r="102" spans="1:66" s="4" customFormat="1" hidden="1" x14ac:dyDescent="0.3">
      <c r="A102" s="4" t="s">
        <v>21</v>
      </c>
      <c r="B102" s="5">
        <v>45618</v>
      </c>
      <c r="C102" s="5" t="s">
        <v>22</v>
      </c>
      <c r="D102" s="4">
        <v>1069</v>
      </c>
      <c r="E102" s="4" t="s">
        <v>97</v>
      </c>
      <c r="F102" s="4" t="s">
        <v>66</v>
      </c>
      <c r="G102" s="4" t="s">
        <v>51</v>
      </c>
      <c r="H102" s="4" t="s">
        <v>46</v>
      </c>
      <c r="I102" s="4">
        <v>100</v>
      </c>
      <c r="J102" s="6">
        <v>19.7</v>
      </c>
      <c r="K102" s="6">
        <f t="shared" si="6"/>
        <v>1970</v>
      </c>
      <c r="L102" s="5">
        <v>45641</v>
      </c>
      <c r="M102" s="9" t="str">
        <f t="shared" ca="1" si="7"/>
        <v>ATRASO</v>
      </c>
      <c r="N102" s="5">
        <v>45645</v>
      </c>
      <c r="O102" s="4" t="s">
        <v>28</v>
      </c>
      <c r="P102" s="4" t="s">
        <v>28</v>
      </c>
      <c r="Q102" s="4" t="s">
        <v>28</v>
      </c>
      <c r="R102" s="4" t="s">
        <v>28</v>
      </c>
      <c r="S102" s="4" t="s">
        <v>28</v>
      </c>
      <c r="T102" s="4" t="s">
        <v>28</v>
      </c>
      <c r="U102" s="43" t="s">
        <v>29</v>
      </c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</row>
    <row r="103" spans="1:66" s="4" customFormat="1" hidden="1" x14ac:dyDescent="0.3">
      <c r="A103" s="4" t="s">
        <v>21</v>
      </c>
      <c r="B103" s="5">
        <v>45618</v>
      </c>
      <c r="C103" s="5" t="s">
        <v>22</v>
      </c>
      <c r="D103" s="4">
        <v>1069</v>
      </c>
      <c r="E103" s="4" t="s">
        <v>97</v>
      </c>
      <c r="F103" s="4" t="s">
        <v>166</v>
      </c>
      <c r="G103" s="4" t="s">
        <v>78</v>
      </c>
      <c r="H103" s="4" t="s">
        <v>46</v>
      </c>
      <c r="I103" s="4">
        <v>50</v>
      </c>
      <c r="J103" s="6">
        <v>55</v>
      </c>
      <c r="K103" s="6">
        <f t="shared" si="6"/>
        <v>2750</v>
      </c>
      <c r="L103" s="5">
        <v>45641</v>
      </c>
      <c r="M103" s="9" t="str">
        <f t="shared" ca="1" si="7"/>
        <v>ATRASO</v>
      </c>
      <c r="N103" s="5">
        <v>45645</v>
      </c>
      <c r="O103" s="4" t="s">
        <v>28</v>
      </c>
      <c r="P103" s="4" t="s">
        <v>28</v>
      </c>
      <c r="Q103" s="4" t="s">
        <v>28</v>
      </c>
      <c r="R103" s="4" t="s">
        <v>28</v>
      </c>
      <c r="S103" s="4" t="s">
        <v>28</v>
      </c>
      <c r="T103" s="4" t="s">
        <v>28</v>
      </c>
      <c r="U103" s="43" t="s">
        <v>29</v>
      </c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</row>
    <row r="104" spans="1:66" s="4" customFormat="1" hidden="1" x14ac:dyDescent="0.3">
      <c r="A104" s="4" t="s">
        <v>21</v>
      </c>
      <c r="B104" s="5">
        <v>45618</v>
      </c>
      <c r="C104" s="5" t="s">
        <v>22</v>
      </c>
      <c r="D104" s="4">
        <v>1069</v>
      </c>
      <c r="E104" s="4" t="s">
        <v>97</v>
      </c>
      <c r="F104" s="4" t="s">
        <v>167</v>
      </c>
      <c r="G104" s="4" t="s">
        <v>74</v>
      </c>
      <c r="H104" s="4" t="s">
        <v>46</v>
      </c>
      <c r="I104" s="4">
        <v>50</v>
      </c>
      <c r="J104" s="6">
        <v>26.5</v>
      </c>
      <c r="K104" s="6">
        <f t="shared" si="6"/>
        <v>1325</v>
      </c>
      <c r="L104" s="5">
        <v>45641</v>
      </c>
      <c r="M104" s="9" t="str">
        <f t="shared" ca="1" si="7"/>
        <v>ATRASO</v>
      </c>
      <c r="N104" s="5">
        <v>45645</v>
      </c>
      <c r="O104" s="4" t="s">
        <v>28</v>
      </c>
      <c r="P104" s="4" t="s">
        <v>28</v>
      </c>
      <c r="Q104" s="4" t="s">
        <v>28</v>
      </c>
      <c r="R104" s="4" t="s">
        <v>28</v>
      </c>
      <c r="S104" s="4" t="s">
        <v>28</v>
      </c>
      <c r="T104" s="4" t="s">
        <v>28</v>
      </c>
      <c r="U104" s="43" t="s">
        <v>29</v>
      </c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</row>
    <row r="105" spans="1:66" s="4" customFormat="1" hidden="1" x14ac:dyDescent="0.3">
      <c r="A105" s="4" t="s">
        <v>21</v>
      </c>
      <c r="B105" s="5">
        <v>45621</v>
      </c>
      <c r="C105" s="5" t="s">
        <v>22</v>
      </c>
      <c r="D105" s="4">
        <v>634</v>
      </c>
      <c r="E105" s="4" t="s">
        <v>168</v>
      </c>
      <c r="F105" s="4" t="s">
        <v>31</v>
      </c>
      <c r="G105" s="4" t="s">
        <v>32</v>
      </c>
      <c r="H105" s="4" t="s">
        <v>46</v>
      </c>
      <c r="I105" s="4">
        <v>600</v>
      </c>
      <c r="J105" s="6">
        <v>24.5</v>
      </c>
      <c r="K105" s="6">
        <f t="shared" si="6"/>
        <v>14700</v>
      </c>
      <c r="L105" s="5">
        <v>45649</v>
      </c>
      <c r="M105" s="9" t="str">
        <f t="shared" ca="1" si="7"/>
        <v>ATRASO</v>
      </c>
      <c r="N105" s="5">
        <v>45639</v>
      </c>
      <c r="O105" s="4" t="s">
        <v>28</v>
      </c>
      <c r="P105" s="4" t="s">
        <v>28</v>
      </c>
      <c r="Q105" s="4" t="s">
        <v>28</v>
      </c>
      <c r="R105" s="4" t="s">
        <v>28</v>
      </c>
      <c r="S105" s="4" t="s">
        <v>28</v>
      </c>
      <c r="T105" s="4">
        <v>993</v>
      </c>
      <c r="U105" s="4" t="s">
        <v>136</v>
      </c>
    </row>
    <row r="106" spans="1:66" s="4" customFormat="1" hidden="1" x14ac:dyDescent="0.3">
      <c r="A106" s="4" t="s">
        <v>21</v>
      </c>
      <c r="B106" s="5">
        <v>45618</v>
      </c>
      <c r="C106" s="5" t="s">
        <v>22</v>
      </c>
      <c r="D106" s="4">
        <v>1069</v>
      </c>
      <c r="E106" s="4" t="s">
        <v>97</v>
      </c>
      <c r="F106" s="4" t="s">
        <v>169</v>
      </c>
      <c r="G106" s="4" t="s">
        <v>25</v>
      </c>
      <c r="H106" s="4" t="s">
        <v>46</v>
      </c>
      <c r="I106" s="4">
        <v>100</v>
      </c>
      <c r="J106" s="6">
        <v>17</v>
      </c>
      <c r="K106" s="6">
        <f t="shared" si="6"/>
        <v>1700</v>
      </c>
      <c r="L106" s="5">
        <v>45641</v>
      </c>
      <c r="M106" s="9" t="str">
        <f t="shared" ca="1" si="7"/>
        <v>ATRASO</v>
      </c>
      <c r="N106" s="5">
        <v>45645</v>
      </c>
      <c r="O106" s="4" t="s">
        <v>28</v>
      </c>
      <c r="P106" s="4" t="s">
        <v>28</v>
      </c>
      <c r="Q106" s="4" t="s">
        <v>28</v>
      </c>
      <c r="R106" s="4" t="s">
        <v>28</v>
      </c>
      <c r="S106" s="4" t="s">
        <v>28</v>
      </c>
      <c r="T106" s="4" t="s">
        <v>28</v>
      </c>
      <c r="U106" s="43" t="s">
        <v>29</v>
      </c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</row>
    <row r="107" spans="1:66" s="4" customFormat="1" hidden="1" x14ac:dyDescent="0.3">
      <c r="A107" s="4" t="s">
        <v>21</v>
      </c>
      <c r="B107" s="5">
        <v>45617</v>
      </c>
      <c r="C107" s="5" t="s">
        <v>22</v>
      </c>
      <c r="D107" s="4">
        <v>218</v>
      </c>
      <c r="E107" s="17" t="s">
        <v>170</v>
      </c>
      <c r="F107" s="4" t="s">
        <v>171</v>
      </c>
      <c r="G107" s="4" t="s">
        <v>42</v>
      </c>
      <c r="H107" s="4" t="s">
        <v>46</v>
      </c>
      <c r="I107" s="4">
        <v>100</v>
      </c>
      <c r="J107" s="6">
        <v>12.9</v>
      </c>
      <c r="K107" s="6">
        <f t="shared" si="6"/>
        <v>1290</v>
      </c>
      <c r="L107" s="5">
        <v>45645</v>
      </c>
      <c r="M107" s="9" t="str">
        <f t="shared" ca="1" si="7"/>
        <v>ATRASO</v>
      </c>
      <c r="N107" s="5">
        <v>45645</v>
      </c>
      <c r="O107" s="4" t="s">
        <v>28</v>
      </c>
      <c r="P107" s="4" t="s">
        <v>28</v>
      </c>
      <c r="Q107" s="4" t="s">
        <v>28</v>
      </c>
      <c r="R107" s="4" t="s">
        <v>28</v>
      </c>
      <c r="S107" s="4" t="s">
        <v>28</v>
      </c>
      <c r="T107" s="4" t="s">
        <v>28</v>
      </c>
      <c r="U107" s="4" t="s">
        <v>29</v>
      </c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</row>
    <row r="108" spans="1:66" s="17" customFormat="1" hidden="1" x14ac:dyDescent="0.3">
      <c r="A108" s="4" t="s">
        <v>21</v>
      </c>
      <c r="B108" s="5">
        <v>45618</v>
      </c>
      <c r="C108" s="5" t="s">
        <v>33</v>
      </c>
      <c r="D108" s="4">
        <v>633</v>
      </c>
      <c r="E108" s="4" t="s">
        <v>172</v>
      </c>
      <c r="F108" s="4" t="s">
        <v>83</v>
      </c>
      <c r="G108" s="4" t="s">
        <v>51</v>
      </c>
      <c r="H108" s="4" t="s">
        <v>46</v>
      </c>
      <c r="I108" s="4">
        <v>100</v>
      </c>
      <c r="J108" s="6">
        <v>25</v>
      </c>
      <c r="K108" s="6">
        <f t="shared" si="6"/>
        <v>2500</v>
      </c>
      <c r="L108" s="5">
        <v>45646</v>
      </c>
      <c r="M108" s="9" t="str">
        <f t="shared" ca="1" si="7"/>
        <v>ATRASO</v>
      </c>
      <c r="N108" s="5">
        <v>45629</v>
      </c>
      <c r="O108" s="4" t="s">
        <v>28</v>
      </c>
      <c r="P108" s="4" t="s">
        <v>28</v>
      </c>
      <c r="Q108" s="4" t="s">
        <v>28</v>
      </c>
      <c r="R108" s="4" t="s">
        <v>28</v>
      </c>
      <c r="S108" s="4" t="s">
        <v>28</v>
      </c>
      <c r="T108" s="4">
        <v>980</v>
      </c>
      <c r="U108" s="43" t="s">
        <v>29</v>
      </c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</row>
    <row r="109" spans="1:66" hidden="1" x14ac:dyDescent="0.3">
      <c r="A109" s="4" t="s">
        <v>21</v>
      </c>
      <c r="B109" s="40">
        <v>45603</v>
      </c>
      <c r="C109" s="5" t="s">
        <v>68</v>
      </c>
      <c r="D109" s="17">
        <v>1052</v>
      </c>
      <c r="E109" s="17" t="s">
        <v>173</v>
      </c>
      <c r="F109" s="17" t="s">
        <v>174</v>
      </c>
      <c r="G109" s="4" t="s">
        <v>80</v>
      </c>
      <c r="H109" s="4" t="s">
        <v>46</v>
      </c>
      <c r="I109" s="17">
        <v>6</v>
      </c>
      <c r="J109" s="15">
        <v>21</v>
      </c>
      <c r="K109" s="16">
        <f t="shared" si="6"/>
        <v>126</v>
      </c>
      <c r="L109" s="40">
        <v>45628</v>
      </c>
      <c r="M109" s="9" t="str">
        <f t="shared" ca="1" si="7"/>
        <v>ATRASO</v>
      </c>
      <c r="N109" s="5">
        <v>45623</v>
      </c>
      <c r="O109" s="4" t="s">
        <v>28</v>
      </c>
      <c r="P109" s="4" t="s">
        <v>28</v>
      </c>
      <c r="Q109" s="4" t="s">
        <v>28</v>
      </c>
      <c r="R109" s="4" t="s">
        <v>28</v>
      </c>
      <c r="S109" s="4" t="s">
        <v>28</v>
      </c>
      <c r="T109" s="4" t="s">
        <v>28</v>
      </c>
      <c r="U109" s="43" t="s">
        <v>29</v>
      </c>
    </row>
    <row r="110" spans="1:66" hidden="1" x14ac:dyDescent="0.3">
      <c r="A110" s="4" t="s">
        <v>21</v>
      </c>
      <c r="B110" s="40">
        <v>45603</v>
      </c>
      <c r="C110" s="5" t="s">
        <v>68</v>
      </c>
      <c r="D110" s="17">
        <v>1052</v>
      </c>
      <c r="E110" s="17" t="s">
        <v>173</v>
      </c>
      <c r="F110" s="17" t="s">
        <v>175</v>
      </c>
      <c r="G110" s="4" t="s">
        <v>74</v>
      </c>
      <c r="H110" s="4" t="s">
        <v>46</v>
      </c>
      <c r="I110" s="17">
        <v>8</v>
      </c>
      <c r="J110" s="15">
        <v>36.75</v>
      </c>
      <c r="K110" s="16">
        <f t="shared" si="6"/>
        <v>294</v>
      </c>
      <c r="L110" s="40">
        <v>45628</v>
      </c>
      <c r="M110" s="9" t="str">
        <f t="shared" ca="1" si="7"/>
        <v>ATRASO</v>
      </c>
      <c r="N110" s="5">
        <v>45623</v>
      </c>
      <c r="O110" s="4" t="s">
        <v>28</v>
      </c>
      <c r="P110" s="4" t="s">
        <v>28</v>
      </c>
      <c r="Q110" s="4" t="s">
        <v>28</v>
      </c>
      <c r="R110" s="4" t="s">
        <v>28</v>
      </c>
      <c r="S110" s="4" t="s">
        <v>28</v>
      </c>
      <c r="T110" s="4" t="s">
        <v>28</v>
      </c>
      <c r="U110" s="43" t="s">
        <v>29</v>
      </c>
    </row>
    <row r="111" spans="1:66" hidden="1" x14ac:dyDescent="0.3">
      <c r="A111" s="4" t="s">
        <v>21</v>
      </c>
      <c r="B111" s="40">
        <v>45603</v>
      </c>
      <c r="C111" s="5" t="s">
        <v>68</v>
      </c>
      <c r="D111" s="17">
        <v>1052</v>
      </c>
      <c r="E111" s="17" t="s">
        <v>173</v>
      </c>
      <c r="F111" s="17" t="s">
        <v>176</v>
      </c>
      <c r="G111" s="4" t="s">
        <v>74</v>
      </c>
      <c r="H111" s="4" t="s">
        <v>46</v>
      </c>
      <c r="I111" s="17">
        <v>2</v>
      </c>
      <c r="J111" s="15">
        <v>36.75</v>
      </c>
      <c r="K111" s="16">
        <f t="shared" si="6"/>
        <v>73.5</v>
      </c>
      <c r="L111" s="40">
        <v>45628</v>
      </c>
      <c r="M111" s="9" t="str">
        <f t="shared" ca="1" si="7"/>
        <v>ATRASO</v>
      </c>
      <c r="N111" s="5">
        <v>45623</v>
      </c>
      <c r="O111" s="4" t="s">
        <v>28</v>
      </c>
      <c r="P111" s="4" t="s">
        <v>28</v>
      </c>
      <c r="Q111" s="4" t="s">
        <v>28</v>
      </c>
      <c r="R111" s="4" t="s">
        <v>28</v>
      </c>
      <c r="S111" s="4" t="s">
        <v>28</v>
      </c>
      <c r="T111" s="4" t="s">
        <v>28</v>
      </c>
      <c r="U111" s="43" t="s">
        <v>29</v>
      </c>
    </row>
    <row r="112" spans="1:66" hidden="1" x14ac:dyDescent="0.3">
      <c r="A112" s="4" t="s">
        <v>21</v>
      </c>
      <c r="B112" s="40">
        <v>45604</v>
      </c>
      <c r="C112" s="5" t="s">
        <v>68</v>
      </c>
      <c r="D112" s="17">
        <v>1053</v>
      </c>
      <c r="E112" s="17" t="s">
        <v>177</v>
      </c>
      <c r="F112" s="17" t="s">
        <v>178</v>
      </c>
      <c r="G112" s="4" t="s">
        <v>179</v>
      </c>
      <c r="H112" s="4" t="s">
        <v>46</v>
      </c>
      <c r="I112" s="17">
        <v>18</v>
      </c>
      <c r="J112" s="15">
        <v>36.75</v>
      </c>
      <c r="K112" s="16">
        <f t="shared" si="6"/>
        <v>661.5</v>
      </c>
      <c r="L112" s="40">
        <v>45629</v>
      </c>
      <c r="M112" s="9" t="str">
        <f t="shared" ca="1" si="7"/>
        <v>ATRASO</v>
      </c>
      <c r="N112" s="5">
        <v>45636</v>
      </c>
      <c r="O112" s="4" t="s">
        <v>28</v>
      </c>
      <c r="P112" s="4" t="s">
        <v>28</v>
      </c>
      <c r="Q112" s="4" t="s">
        <v>28</v>
      </c>
      <c r="R112" s="4" t="s">
        <v>28</v>
      </c>
      <c r="S112" s="4" t="s">
        <v>28</v>
      </c>
      <c r="T112" s="4" t="s">
        <v>28</v>
      </c>
      <c r="U112" s="43" t="s">
        <v>29</v>
      </c>
    </row>
    <row r="113" spans="1:21" hidden="1" x14ac:dyDescent="0.3">
      <c r="A113" s="4" t="s">
        <v>21</v>
      </c>
      <c r="B113" s="40">
        <v>45604</v>
      </c>
      <c r="C113" s="5" t="s">
        <v>68</v>
      </c>
      <c r="D113" s="17">
        <v>1053</v>
      </c>
      <c r="E113" s="17" t="s">
        <v>177</v>
      </c>
      <c r="F113" s="17" t="s">
        <v>180</v>
      </c>
      <c r="G113" s="4" t="s">
        <v>179</v>
      </c>
      <c r="H113" s="4" t="s">
        <v>46</v>
      </c>
      <c r="I113" s="17">
        <v>18</v>
      </c>
      <c r="J113" s="15">
        <v>36.75</v>
      </c>
      <c r="K113" s="16">
        <f t="shared" si="6"/>
        <v>661.5</v>
      </c>
      <c r="L113" s="40">
        <v>45629</v>
      </c>
      <c r="M113" s="9" t="str">
        <f t="shared" ca="1" si="7"/>
        <v>ATRASO</v>
      </c>
      <c r="N113" s="5">
        <v>45636</v>
      </c>
      <c r="O113" s="4" t="s">
        <v>28</v>
      </c>
      <c r="P113" s="4" t="s">
        <v>28</v>
      </c>
      <c r="Q113" s="4" t="s">
        <v>28</v>
      </c>
      <c r="R113" s="4" t="s">
        <v>28</v>
      </c>
      <c r="S113" s="4" t="s">
        <v>28</v>
      </c>
      <c r="T113" s="4" t="s">
        <v>28</v>
      </c>
      <c r="U113" s="43" t="s">
        <v>29</v>
      </c>
    </row>
    <row r="114" spans="1:21" hidden="1" x14ac:dyDescent="0.3">
      <c r="A114" s="4" t="s">
        <v>21</v>
      </c>
      <c r="B114" s="40">
        <v>45604</v>
      </c>
      <c r="C114" s="5" t="s">
        <v>68</v>
      </c>
      <c r="D114" s="17">
        <v>1053</v>
      </c>
      <c r="E114" s="17" t="s">
        <v>177</v>
      </c>
      <c r="F114" s="17" t="s">
        <v>181</v>
      </c>
      <c r="G114" s="4" t="s">
        <v>179</v>
      </c>
      <c r="H114" s="4" t="s">
        <v>46</v>
      </c>
      <c r="I114" s="17">
        <v>14</v>
      </c>
      <c r="J114" s="15">
        <v>36.75</v>
      </c>
      <c r="K114" s="16">
        <f t="shared" si="6"/>
        <v>514.5</v>
      </c>
      <c r="L114" s="40">
        <v>45629</v>
      </c>
      <c r="M114" s="9" t="str">
        <f t="shared" ca="1" si="7"/>
        <v>ATRASO</v>
      </c>
      <c r="N114" s="5">
        <v>45636</v>
      </c>
      <c r="O114" s="4" t="s">
        <v>28</v>
      </c>
      <c r="P114" s="4" t="s">
        <v>28</v>
      </c>
      <c r="Q114" s="4" t="s">
        <v>28</v>
      </c>
      <c r="R114" s="4" t="s">
        <v>28</v>
      </c>
      <c r="S114" s="4" t="s">
        <v>28</v>
      </c>
      <c r="T114" s="4" t="s">
        <v>28</v>
      </c>
      <c r="U114" s="43" t="s">
        <v>29</v>
      </c>
    </row>
    <row r="115" spans="1:21" hidden="1" x14ac:dyDescent="0.3">
      <c r="A115" s="4" t="s">
        <v>21</v>
      </c>
      <c r="B115" s="40">
        <v>45604</v>
      </c>
      <c r="C115" s="5" t="s">
        <v>68</v>
      </c>
      <c r="D115" s="17">
        <v>1053</v>
      </c>
      <c r="E115" s="17" t="s">
        <v>177</v>
      </c>
      <c r="F115" s="17" t="s">
        <v>182</v>
      </c>
      <c r="G115" s="4" t="s">
        <v>74</v>
      </c>
      <c r="H115" s="4" t="s">
        <v>46</v>
      </c>
      <c r="I115" s="17">
        <v>4</v>
      </c>
      <c r="J115" s="15">
        <v>36.75</v>
      </c>
      <c r="K115" s="16">
        <f t="shared" si="6"/>
        <v>147</v>
      </c>
      <c r="L115" s="40">
        <v>45629</v>
      </c>
      <c r="M115" s="9" t="str">
        <f t="shared" ca="1" si="7"/>
        <v>ATRASO</v>
      </c>
      <c r="N115" s="5">
        <v>45636</v>
      </c>
      <c r="O115" s="4" t="s">
        <v>28</v>
      </c>
      <c r="P115" s="4" t="s">
        <v>28</v>
      </c>
      <c r="Q115" s="4" t="s">
        <v>28</v>
      </c>
      <c r="R115" s="4" t="s">
        <v>28</v>
      </c>
      <c r="S115" s="4" t="s">
        <v>28</v>
      </c>
      <c r="T115" s="4" t="s">
        <v>28</v>
      </c>
      <c r="U115" s="43" t="s">
        <v>29</v>
      </c>
    </row>
    <row r="116" spans="1:21" hidden="1" x14ac:dyDescent="0.3">
      <c r="A116" s="4" t="s">
        <v>21</v>
      </c>
      <c r="B116" s="40">
        <v>45604</v>
      </c>
      <c r="C116" s="5" t="s">
        <v>68</v>
      </c>
      <c r="D116" s="17">
        <v>1053</v>
      </c>
      <c r="E116" s="17" t="s">
        <v>177</v>
      </c>
      <c r="F116" s="17" t="s">
        <v>183</v>
      </c>
      <c r="G116" s="4" t="s">
        <v>74</v>
      </c>
      <c r="H116" s="4" t="s">
        <v>46</v>
      </c>
      <c r="I116" s="17">
        <v>4</v>
      </c>
      <c r="J116" s="15">
        <v>36.75</v>
      </c>
      <c r="K116" s="16">
        <f t="shared" si="6"/>
        <v>147</v>
      </c>
      <c r="L116" s="40">
        <v>45629</v>
      </c>
      <c r="M116" s="9" t="str">
        <f t="shared" ca="1" si="7"/>
        <v>ATRASO</v>
      </c>
      <c r="N116" s="5">
        <v>45636</v>
      </c>
      <c r="O116" s="4" t="s">
        <v>28</v>
      </c>
      <c r="P116" s="4" t="s">
        <v>28</v>
      </c>
      <c r="Q116" s="4" t="s">
        <v>28</v>
      </c>
      <c r="R116" s="4" t="s">
        <v>28</v>
      </c>
      <c r="S116" s="4" t="s">
        <v>28</v>
      </c>
      <c r="T116" s="4" t="s">
        <v>28</v>
      </c>
      <c r="U116" s="43" t="s">
        <v>29</v>
      </c>
    </row>
    <row r="117" spans="1:21" hidden="1" x14ac:dyDescent="0.3">
      <c r="A117" s="4" t="s">
        <v>21</v>
      </c>
      <c r="B117" s="40">
        <v>45604</v>
      </c>
      <c r="C117" s="5" t="s">
        <v>68</v>
      </c>
      <c r="D117" s="17">
        <v>1053</v>
      </c>
      <c r="E117" s="17" t="s">
        <v>177</v>
      </c>
      <c r="F117" s="17" t="s">
        <v>184</v>
      </c>
      <c r="G117" s="4" t="s">
        <v>74</v>
      </c>
      <c r="H117" s="4" t="s">
        <v>46</v>
      </c>
      <c r="I117" s="17">
        <v>2</v>
      </c>
      <c r="J117" s="15">
        <v>36.75</v>
      </c>
      <c r="K117" s="16">
        <f t="shared" si="6"/>
        <v>73.5</v>
      </c>
      <c r="L117" s="40">
        <v>45629</v>
      </c>
      <c r="M117" s="9" t="str">
        <f t="shared" ca="1" si="7"/>
        <v>ATRASO</v>
      </c>
      <c r="N117" s="5">
        <v>45636</v>
      </c>
      <c r="O117" s="4" t="s">
        <v>28</v>
      </c>
      <c r="P117" s="4" t="s">
        <v>28</v>
      </c>
      <c r="Q117" s="4" t="s">
        <v>28</v>
      </c>
      <c r="R117" s="4" t="s">
        <v>28</v>
      </c>
      <c r="S117" s="4" t="s">
        <v>28</v>
      </c>
      <c r="T117" s="4" t="s">
        <v>28</v>
      </c>
      <c r="U117" s="43" t="s">
        <v>29</v>
      </c>
    </row>
    <row r="118" spans="1:21" ht="16.2" hidden="1" customHeight="1" x14ac:dyDescent="0.3">
      <c r="A118" s="4" t="s">
        <v>21</v>
      </c>
      <c r="B118" s="40">
        <v>45604</v>
      </c>
      <c r="C118" s="5" t="s">
        <v>68</v>
      </c>
      <c r="D118" s="17">
        <v>1053</v>
      </c>
      <c r="E118" s="17" t="s">
        <v>177</v>
      </c>
      <c r="F118" s="17" t="s">
        <v>185</v>
      </c>
      <c r="G118" s="4" t="s">
        <v>74</v>
      </c>
      <c r="H118" s="4" t="s">
        <v>46</v>
      </c>
      <c r="I118" s="17">
        <v>4</v>
      </c>
      <c r="J118" s="15">
        <v>47.5</v>
      </c>
      <c r="K118" s="16">
        <f t="shared" si="6"/>
        <v>190</v>
      </c>
      <c r="L118" s="40">
        <v>45629</v>
      </c>
      <c r="M118" s="9" t="str">
        <f t="shared" ca="1" si="7"/>
        <v>ATRASO</v>
      </c>
      <c r="N118" s="5">
        <v>45636</v>
      </c>
      <c r="O118" s="4" t="s">
        <v>28</v>
      </c>
      <c r="P118" s="4" t="s">
        <v>28</v>
      </c>
      <c r="Q118" s="4" t="s">
        <v>28</v>
      </c>
      <c r="R118" s="4" t="s">
        <v>28</v>
      </c>
      <c r="S118" s="4" t="s">
        <v>28</v>
      </c>
      <c r="T118" s="4" t="s">
        <v>28</v>
      </c>
      <c r="U118" s="43" t="s">
        <v>29</v>
      </c>
    </row>
    <row r="119" spans="1:21" hidden="1" x14ac:dyDescent="0.3">
      <c r="A119" s="4" t="s">
        <v>21</v>
      </c>
      <c r="B119" s="40">
        <v>45604</v>
      </c>
      <c r="C119" s="5" t="s">
        <v>68</v>
      </c>
      <c r="D119" s="17">
        <v>1053</v>
      </c>
      <c r="E119" s="17" t="s">
        <v>177</v>
      </c>
      <c r="F119" s="17" t="s">
        <v>186</v>
      </c>
      <c r="G119" s="4" t="s">
        <v>74</v>
      </c>
      <c r="H119" s="4" t="s">
        <v>46</v>
      </c>
      <c r="I119" s="17">
        <v>22</v>
      </c>
      <c r="J119" s="15">
        <v>47.5</v>
      </c>
      <c r="K119" s="16">
        <f t="shared" si="6"/>
        <v>1045</v>
      </c>
      <c r="L119" s="40">
        <v>45629</v>
      </c>
      <c r="M119" s="9" t="str">
        <f t="shared" ca="1" si="7"/>
        <v>ATRASO</v>
      </c>
      <c r="N119" s="5">
        <v>45636</v>
      </c>
      <c r="O119" s="4" t="s">
        <v>28</v>
      </c>
      <c r="P119" s="4" t="s">
        <v>28</v>
      </c>
      <c r="Q119" s="4" t="s">
        <v>28</v>
      </c>
      <c r="R119" s="4" t="s">
        <v>28</v>
      </c>
      <c r="S119" s="4" t="s">
        <v>28</v>
      </c>
      <c r="T119" s="4" t="s">
        <v>28</v>
      </c>
      <c r="U119" s="43" t="s">
        <v>29</v>
      </c>
    </row>
    <row r="120" spans="1:21" hidden="1" x14ac:dyDescent="0.3">
      <c r="A120" s="4" t="s">
        <v>21</v>
      </c>
      <c r="B120" s="40">
        <v>45608</v>
      </c>
      <c r="C120" s="5" t="s">
        <v>68</v>
      </c>
      <c r="D120" s="17">
        <v>1057</v>
      </c>
      <c r="E120" s="17" t="s">
        <v>187</v>
      </c>
      <c r="F120" s="17" t="s">
        <v>188</v>
      </c>
      <c r="G120" s="4" t="s">
        <v>74</v>
      </c>
      <c r="H120" s="4" t="s">
        <v>46</v>
      </c>
      <c r="I120" s="17">
        <v>1</v>
      </c>
      <c r="J120" s="15">
        <v>36.75</v>
      </c>
      <c r="K120" s="16">
        <f t="shared" si="6"/>
        <v>36.75</v>
      </c>
      <c r="L120" s="40">
        <v>45631</v>
      </c>
      <c r="M120" s="9" t="str">
        <f t="shared" ca="1" si="7"/>
        <v>ATRASO</v>
      </c>
      <c r="N120" s="5">
        <v>45628</v>
      </c>
      <c r="O120" s="4" t="s">
        <v>28</v>
      </c>
      <c r="P120" s="4" t="s">
        <v>28</v>
      </c>
      <c r="Q120" s="4" t="s">
        <v>28</v>
      </c>
      <c r="R120" s="4" t="s">
        <v>28</v>
      </c>
      <c r="S120" s="4" t="s">
        <v>28</v>
      </c>
      <c r="T120" s="4" t="s">
        <v>28</v>
      </c>
      <c r="U120" s="43" t="s">
        <v>29</v>
      </c>
    </row>
    <row r="121" spans="1:21" hidden="1" x14ac:dyDescent="0.3">
      <c r="A121" s="4" t="s">
        <v>21</v>
      </c>
      <c r="B121" s="40">
        <v>45608</v>
      </c>
      <c r="C121" s="5" t="s">
        <v>68</v>
      </c>
      <c r="D121" s="17">
        <v>1057</v>
      </c>
      <c r="E121" s="17" t="s">
        <v>187</v>
      </c>
      <c r="F121" s="17" t="s">
        <v>182</v>
      </c>
      <c r="G121" s="4" t="s">
        <v>74</v>
      </c>
      <c r="H121" s="4" t="s">
        <v>46</v>
      </c>
      <c r="I121" s="17">
        <v>2</v>
      </c>
      <c r="J121" s="15">
        <v>36.75</v>
      </c>
      <c r="K121" s="16">
        <f t="shared" si="6"/>
        <v>73.5</v>
      </c>
      <c r="L121" s="40">
        <v>45631</v>
      </c>
      <c r="M121" s="9" t="str">
        <f t="shared" ca="1" si="7"/>
        <v>ATRASO</v>
      </c>
      <c r="N121" s="5">
        <v>45628</v>
      </c>
      <c r="O121" s="4" t="s">
        <v>28</v>
      </c>
      <c r="P121" s="4" t="s">
        <v>28</v>
      </c>
      <c r="Q121" s="4" t="s">
        <v>28</v>
      </c>
      <c r="R121" s="4" t="s">
        <v>28</v>
      </c>
      <c r="S121" s="4" t="s">
        <v>28</v>
      </c>
      <c r="T121" s="4" t="s">
        <v>28</v>
      </c>
      <c r="U121" s="43" t="s">
        <v>29</v>
      </c>
    </row>
    <row r="122" spans="1:21" hidden="1" x14ac:dyDescent="0.3">
      <c r="A122" s="4" t="s">
        <v>21</v>
      </c>
      <c r="B122" s="40">
        <v>45608</v>
      </c>
      <c r="C122" s="5" t="s">
        <v>68</v>
      </c>
      <c r="D122" s="17">
        <v>1057</v>
      </c>
      <c r="E122" s="17" t="s">
        <v>187</v>
      </c>
      <c r="F122" s="17" t="s">
        <v>183</v>
      </c>
      <c r="G122" s="4" t="s">
        <v>74</v>
      </c>
      <c r="H122" s="4" t="s">
        <v>46</v>
      </c>
      <c r="I122" s="17">
        <v>2</v>
      </c>
      <c r="J122" s="15">
        <v>36.75</v>
      </c>
      <c r="K122" s="16">
        <f t="shared" si="6"/>
        <v>73.5</v>
      </c>
      <c r="L122" s="40">
        <v>45631</v>
      </c>
      <c r="M122" s="9" t="str">
        <f t="shared" ca="1" si="7"/>
        <v>ATRASO</v>
      </c>
      <c r="N122" s="5">
        <v>45628</v>
      </c>
      <c r="O122" s="4" t="s">
        <v>28</v>
      </c>
      <c r="P122" s="4" t="s">
        <v>28</v>
      </c>
      <c r="Q122" s="4" t="s">
        <v>28</v>
      </c>
      <c r="R122" s="4" t="s">
        <v>28</v>
      </c>
      <c r="S122" s="4" t="s">
        <v>28</v>
      </c>
      <c r="T122" s="4" t="s">
        <v>28</v>
      </c>
      <c r="U122" s="43" t="s">
        <v>29</v>
      </c>
    </row>
    <row r="123" spans="1:21" hidden="1" x14ac:dyDescent="0.3">
      <c r="A123" s="4" t="s">
        <v>21</v>
      </c>
      <c r="B123" s="40">
        <v>45608</v>
      </c>
      <c r="C123" s="5" t="s">
        <v>68</v>
      </c>
      <c r="D123" s="17">
        <v>1057</v>
      </c>
      <c r="E123" s="17" t="s">
        <v>187</v>
      </c>
      <c r="F123" s="17" t="s">
        <v>184</v>
      </c>
      <c r="G123" s="4" t="s">
        <v>74</v>
      </c>
      <c r="H123" s="4" t="s">
        <v>46</v>
      </c>
      <c r="I123" s="17">
        <v>1</v>
      </c>
      <c r="J123" s="15">
        <v>36.75</v>
      </c>
      <c r="K123" s="16">
        <f t="shared" si="6"/>
        <v>36.75</v>
      </c>
      <c r="L123" s="40">
        <v>45631</v>
      </c>
      <c r="M123" s="9" t="str">
        <f t="shared" ca="1" si="7"/>
        <v>ATRASO</v>
      </c>
      <c r="N123" s="5">
        <v>45628</v>
      </c>
      <c r="O123" s="4" t="s">
        <v>28</v>
      </c>
      <c r="P123" s="4" t="s">
        <v>28</v>
      </c>
      <c r="Q123" s="4" t="s">
        <v>28</v>
      </c>
      <c r="R123" s="4" t="s">
        <v>28</v>
      </c>
      <c r="S123" s="4" t="s">
        <v>28</v>
      </c>
      <c r="T123" s="4" t="s">
        <v>28</v>
      </c>
      <c r="U123" s="43" t="s">
        <v>29</v>
      </c>
    </row>
    <row r="124" spans="1:21" hidden="1" x14ac:dyDescent="0.3">
      <c r="A124" s="4" t="s">
        <v>21</v>
      </c>
      <c r="B124" s="40">
        <v>45608</v>
      </c>
      <c r="C124" s="5" t="s">
        <v>68</v>
      </c>
      <c r="D124" s="17">
        <v>1057</v>
      </c>
      <c r="E124" s="17" t="s">
        <v>187</v>
      </c>
      <c r="F124" s="17" t="s">
        <v>189</v>
      </c>
      <c r="G124" s="4" t="s">
        <v>190</v>
      </c>
      <c r="H124" s="4" t="s">
        <v>46</v>
      </c>
      <c r="I124" s="17">
        <v>5</v>
      </c>
      <c r="J124" s="15">
        <v>75</v>
      </c>
      <c r="K124" s="16">
        <f t="shared" si="6"/>
        <v>375</v>
      </c>
      <c r="L124" s="40">
        <v>45631</v>
      </c>
      <c r="M124" s="9" t="str">
        <f t="shared" ca="1" si="7"/>
        <v>ATRASO</v>
      </c>
      <c r="N124" s="5">
        <v>45628</v>
      </c>
      <c r="O124" s="4" t="s">
        <v>28</v>
      </c>
      <c r="P124" s="4" t="s">
        <v>28</v>
      </c>
      <c r="Q124" s="4" t="s">
        <v>28</v>
      </c>
      <c r="R124" s="4" t="s">
        <v>28</v>
      </c>
      <c r="S124" s="4" t="s">
        <v>28</v>
      </c>
      <c r="T124" s="4" t="s">
        <v>28</v>
      </c>
      <c r="U124" s="43" t="s">
        <v>29</v>
      </c>
    </row>
    <row r="125" spans="1:21" hidden="1" x14ac:dyDescent="0.3">
      <c r="A125" s="4" t="s">
        <v>21</v>
      </c>
      <c r="B125" s="40">
        <v>45608</v>
      </c>
      <c r="C125" s="5" t="s">
        <v>68</v>
      </c>
      <c r="D125" s="17">
        <v>1057</v>
      </c>
      <c r="E125" s="17" t="s">
        <v>187</v>
      </c>
      <c r="F125" s="17" t="s">
        <v>191</v>
      </c>
      <c r="G125" s="4" t="s">
        <v>80</v>
      </c>
      <c r="H125" s="4" t="s">
        <v>46</v>
      </c>
      <c r="I125" s="17">
        <v>3</v>
      </c>
      <c r="J125" s="15">
        <v>21</v>
      </c>
      <c r="K125" s="16">
        <f t="shared" si="6"/>
        <v>63</v>
      </c>
      <c r="L125" s="40">
        <v>45631</v>
      </c>
      <c r="M125" s="9" t="str">
        <f t="shared" ca="1" si="7"/>
        <v>ATRASO</v>
      </c>
      <c r="N125" s="5">
        <v>45628</v>
      </c>
      <c r="O125" s="4" t="s">
        <v>28</v>
      </c>
      <c r="P125" s="4" t="s">
        <v>28</v>
      </c>
      <c r="Q125" s="4" t="s">
        <v>28</v>
      </c>
      <c r="R125" s="4" t="s">
        <v>28</v>
      </c>
      <c r="S125" s="4" t="s">
        <v>28</v>
      </c>
      <c r="T125" s="4" t="s">
        <v>28</v>
      </c>
      <c r="U125" s="43" t="s">
        <v>29</v>
      </c>
    </row>
    <row r="126" spans="1:21" hidden="1" x14ac:dyDescent="0.3">
      <c r="A126" s="4" t="s">
        <v>21</v>
      </c>
      <c r="B126" s="40">
        <v>45608</v>
      </c>
      <c r="C126" s="5" t="s">
        <v>68</v>
      </c>
      <c r="D126" s="17">
        <v>1057</v>
      </c>
      <c r="E126" s="17" t="s">
        <v>187</v>
      </c>
      <c r="F126" s="17" t="s">
        <v>192</v>
      </c>
      <c r="G126" s="4" t="s">
        <v>51</v>
      </c>
      <c r="H126" s="4" t="s">
        <v>46</v>
      </c>
      <c r="I126" s="17">
        <v>6</v>
      </c>
      <c r="J126" s="15">
        <v>25</v>
      </c>
      <c r="K126" s="16">
        <f t="shared" si="6"/>
        <v>150</v>
      </c>
      <c r="L126" s="40">
        <v>45631</v>
      </c>
      <c r="M126" s="9" t="str">
        <f t="shared" ca="1" si="7"/>
        <v>ATRASO</v>
      </c>
      <c r="N126" s="5">
        <v>45628</v>
      </c>
      <c r="O126" s="4" t="s">
        <v>28</v>
      </c>
      <c r="P126" s="4" t="s">
        <v>28</v>
      </c>
      <c r="Q126" s="4" t="s">
        <v>28</v>
      </c>
      <c r="R126" s="4" t="s">
        <v>28</v>
      </c>
      <c r="S126" s="4" t="s">
        <v>28</v>
      </c>
      <c r="T126" s="4" t="s">
        <v>28</v>
      </c>
      <c r="U126" s="43" t="s">
        <v>29</v>
      </c>
    </row>
    <row r="127" spans="1:21" hidden="1" x14ac:dyDescent="0.3">
      <c r="A127" s="4" t="s">
        <v>21</v>
      </c>
      <c r="B127" s="40">
        <v>45609</v>
      </c>
      <c r="C127" s="5" t="s">
        <v>68</v>
      </c>
      <c r="D127" s="17">
        <v>1058</v>
      </c>
      <c r="E127" s="17" t="s">
        <v>193</v>
      </c>
      <c r="F127" s="17" t="s">
        <v>194</v>
      </c>
      <c r="G127" s="4" t="s">
        <v>74</v>
      </c>
      <c r="H127" s="4" t="s">
        <v>46</v>
      </c>
      <c r="I127" s="17">
        <v>2</v>
      </c>
      <c r="J127" s="15">
        <v>36.75</v>
      </c>
      <c r="K127" s="16">
        <f t="shared" si="6"/>
        <v>73.5</v>
      </c>
      <c r="L127" s="40">
        <v>45632</v>
      </c>
      <c r="M127" s="9" t="str">
        <f t="shared" ca="1" si="7"/>
        <v>ATRASO</v>
      </c>
      <c r="N127" s="5">
        <v>45623</v>
      </c>
      <c r="O127" s="4" t="s">
        <v>28</v>
      </c>
      <c r="P127" s="4" t="s">
        <v>28</v>
      </c>
      <c r="Q127" s="4" t="s">
        <v>28</v>
      </c>
      <c r="R127" s="4" t="s">
        <v>28</v>
      </c>
      <c r="S127" s="4" t="s">
        <v>28</v>
      </c>
      <c r="T127" s="4" t="s">
        <v>28</v>
      </c>
      <c r="U127" s="43" t="s">
        <v>29</v>
      </c>
    </row>
    <row r="128" spans="1:21" hidden="1" x14ac:dyDescent="0.3">
      <c r="A128" s="4" t="s">
        <v>21</v>
      </c>
      <c r="B128" s="40">
        <v>45609</v>
      </c>
      <c r="C128" s="5" t="s">
        <v>68</v>
      </c>
      <c r="D128" s="17">
        <v>1058</v>
      </c>
      <c r="E128" s="17" t="s">
        <v>193</v>
      </c>
      <c r="F128" s="17" t="s">
        <v>184</v>
      </c>
      <c r="G128" s="4" t="s">
        <v>74</v>
      </c>
      <c r="H128" s="4" t="s">
        <v>46</v>
      </c>
      <c r="I128" s="17">
        <v>4</v>
      </c>
      <c r="J128" s="15">
        <v>36.75</v>
      </c>
      <c r="K128" s="16">
        <f t="shared" si="6"/>
        <v>147</v>
      </c>
      <c r="L128" s="40">
        <v>45632</v>
      </c>
      <c r="M128" s="9" t="str">
        <f t="shared" ca="1" si="7"/>
        <v>ATRASO</v>
      </c>
      <c r="N128" s="5">
        <v>45623</v>
      </c>
      <c r="O128" s="4" t="s">
        <v>28</v>
      </c>
      <c r="P128" s="4" t="s">
        <v>28</v>
      </c>
      <c r="Q128" s="4" t="s">
        <v>28</v>
      </c>
      <c r="R128" s="4" t="s">
        <v>28</v>
      </c>
      <c r="S128" s="4" t="s">
        <v>28</v>
      </c>
      <c r="T128" s="4" t="s">
        <v>28</v>
      </c>
      <c r="U128" s="43" t="s">
        <v>29</v>
      </c>
    </row>
    <row r="129" spans="1:22" hidden="1" x14ac:dyDescent="0.3">
      <c r="A129" s="4" t="s">
        <v>21</v>
      </c>
      <c r="B129" s="40">
        <v>45609</v>
      </c>
      <c r="C129" s="5" t="s">
        <v>68</v>
      </c>
      <c r="D129" s="17">
        <v>1058</v>
      </c>
      <c r="E129" s="17" t="s">
        <v>193</v>
      </c>
      <c r="F129" s="17" t="s">
        <v>195</v>
      </c>
      <c r="G129" s="4" t="s">
        <v>74</v>
      </c>
      <c r="H129" s="4" t="s">
        <v>46</v>
      </c>
      <c r="I129" s="17">
        <v>8</v>
      </c>
      <c r="J129" s="15">
        <v>36.75</v>
      </c>
      <c r="K129" s="16">
        <f t="shared" si="6"/>
        <v>294</v>
      </c>
      <c r="L129" s="40">
        <v>45632</v>
      </c>
      <c r="M129" s="9" t="str">
        <f t="shared" ca="1" si="7"/>
        <v>ATRASO</v>
      </c>
      <c r="N129" s="5">
        <v>45623</v>
      </c>
      <c r="O129" s="4" t="s">
        <v>28</v>
      </c>
      <c r="P129" s="4" t="s">
        <v>28</v>
      </c>
      <c r="Q129" s="4" t="s">
        <v>28</v>
      </c>
      <c r="R129" s="4" t="s">
        <v>28</v>
      </c>
      <c r="S129" s="4" t="s">
        <v>28</v>
      </c>
      <c r="T129" s="4" t="s">
        <v>28</v>
      </c>
      <c r="U129" s="43" t="s">
        <v>29</v>
      </c>
    </row>
    <row r="130" spans="1:22" hidden="1" x14ac:dyDescent="0.3">
      <c r="A130" s="4" t="s">
        <v>21</v>
      </c>
      <c r="B130" s="40">
        <v>45609</v>
      </c>
      <c r="C130" s="5" t="s">
        <v>68</v>
      </c>
      <c r="D130" s="17">
        <v>1058</v>
      </c>
      <c r="E130" s="17" t="s">
        <v>193</v>
      </c>
      <c r="F130" s="17" t="s">
        <v>182</v>
      </c>
      <c r="G130" s="4" t="s">
        <v>74</v>
      </c>
      <c r="H130" s="4" t="s">
        <v>46</v>
      </c>
      <c r="I130" s="17">
        <v>8</v>
      </c>
      <c r="J130" s="15">
        <v>36.75</v>
      </c>
      <c r="K130" s="16">
        <f t="shared" si="6"/>
        <v>294</v>
      </c>
      <c r="L130" s="40">
        <v>45632</v>
      </c>
      <c r="M130" s="9" t="str">
        <f t="shared" ca="1" si="7"/>
        <v>ATRASO</v>
      </c>
      <c r="N130" s="5">
        <v>45623</v>
      </c>
      <c r="O130" s="4" t="s">
        <v>28</v>
      </c>
      <c r="P130" s="4" t="s">
        <v>28</v>
      </c>
      <c r="Q130" s="4" t="s">
        <v>28</v>
      </c>
      <c r="R130" s="4" t="s">
        <v>28</v>
      </c>
      <c r="S130" s="4" t="s">
        <v>28</v>
      </c>
      <c r="T130" s="4" t="s">
        <v>28</v>
      </c>
      <c r="U130" s="43" t="s">
        <v>29</v>
      </c>
    </row>
    <row r="131" spans="1:22" hidden="1" x14ac:dyDescent="0.3">
      <c r="A131" s="4" t="s">
        <v>21</v>
      </c>
      <c r="B131" s="40">
        <v>45602</v>
      </c>
      <c r="C131" s="5" t="s">
        <v>68</v>
      </c>
      <c r="D131" s="17">
        <v>1051</v>
      </c>
      <c r="E131" s="17" t="s">
        <v>196</v>
      </c>
      <c r="F131" s="17" t="s">
        <v>192</v>
      </c>
      <c r="G131" s="4" t="s">
        <v>51</v>
      </c>
      <c r="H131" s="4" t="s">
        <v>46</v>
      </c>
      <c r="I131" s="17">
        <v>13</v>
      </c>
      <c r="J131" s="15">
        <v>25</v>
      </c>
      <c r="K131" s="16">
        <f t="shared" si="6"/>
        <v>325</v>
      </c>
      <c r="L131" s="40">
        <v>45625</v>
      </c>
      <c r="M131" s="9" t="str">
        <f t="shared" ca="1" si="7"/>
        <v>ATRASO</v>
      </c>
      <c r="N131" s="5">
        <v>45622</v>
      </c>
      <c r="O131" s="4" t="s">
        <v>28</v>
      </c>
      <c r="P131" s="4" t="s">
        <v>28</v>
      </c>
      <c r="Q131" s="4" t="s">
        <v>28</v>
      </c>
      <c r="R131" s="4" t="s">
        <v>28</v>
      </c>
      <c r="S131" s="4" t="s">
        <v>28</v>
      </c>
      <c r="T131" s="4" t="s">
        <v>28</v>
      </c>
      <c r="U131" s="43" t="s">
        <v>29</v>
      </c>
    </row>
    <row r="132" spans="1:22" hidden="1" x14ac:dyDescent="0.3">
      <c r="A132" s="4" t="s">
        <v>21</v>
      </c>
      <c r="B132" s="40">
        <v>45602</v>
      </c>
      <c r="C132" s="5" t="s">
        <v>68</v>
      </c>
      <c r="D132" s="17">
        <v>1051</v>
      </c>
      <c r="E132" s="17" t="s">
        <v>196</v>
      </c>
      <c r="F132" s="17" t="s">
        <v>180</v>
      </c>
      <c r="G132" s="4" t="s">
        <v>179</v>
      </c>
      <c r="H132" s="4" t="s">
        <v>46</v>
      </c>
      <c r="I132" s="17">
        <v>4</v>
      </c>
      <c r="J132" s="15">
        <v>36.75</v>
      </c>
      <c r="K132" s="16">
        <f t="shared" ref="K132:K163" si="8">I132*J132</f>
        <v>147</v>
      </c>
      <c r="L132" s="40">
        <v>45625</v>
      </c>
      <c r="M132" s="9" t="str">
        <f t="shared" ref="M132:M163" ca="1" si="9">IF(L132&lt;TODAY(),"ATRASO","EM PRODUÇÃO")</f>
        <v>ATRASO</v>
      </c>
      <c r="N132" s="5">
        <v>45622</v>
      </c>
      <c r="O132" s="4" t="s">
        <v>28</v>
      </c>
      <c r="P132" s="4" t="s">
        <v>28</v>
      </c>
      <c r="Q132" s="4" t="s">
        <v>28</v>
      </c>
      <c r="R132" s="4" t="s">
        <v>28</v>
      </c>
      <c r="S132" s="4" t="s">
        <v>28</v>
      </c>
      <c r="T132" s="4" t="s">
        <v>28</v>
      </c>
      <c r="U132" s="43" t="s">
        <v>29</v>
      </c>
    </row>
    <row r="133" spans="1:22" hidden="1" x14ac:dyDescent="0.3">
      <c r="A133" s="4" t="s">
        <v>21</v>
      </c>
      <c r="B133" s="40">
        <v>45602</v>
      </c>
      <c r="C133" s="5" t="s">
        <v>68</v>
      </c>
      <c r="D133" s="17">
        <v>1051</v>
      </c>
      <c r="E133" s="17" t="s">
        <v>196</v>
      </c>
      <c r="F133" s="17" t="s">
        <v>181</v>
      </c>
      <c r="G133" s="4" t="s">
        <v>179</v>
      </c>
      <c r="H133" s="4" t="s">
        <v>46</v>
      </c>
      <c r="I133" s="17">
        <v>3</v>
      </c>
      <c r="J133" s="15">
        <v>36.75</v>
      </c>
      <c r="K133" s="16">
        <f t="shared" si="8"/>
        <v>110.25</v>
      </c>
      <c r="L133" s="40">
        <v>45625</v>
      </c>
      <c r="M133" s="9" t="str">
        <f t="shared" ca="1" si="9"/>
        <v>ATRASO</v>
      </c>
      <c r="N133" s="5">
        <v>45622</v>
      </c>
      <c r="O133" s="4" t="s">
        <v>28</v>
      </c>
      <c r="P133" s="4" t="s">
        <v>28</v>
      </c>
      <c r="Q133" s="4" t="s">
        <v>28</v>
      </c>
      <c r="R133" s="4" t="s">
        <v>28</v>
      </c>
      <c r="S133" s="4" t="s">
        <v>28</v>
      </c>
      <c r="T133" s="4" t="s">
        <v>28</v>
      </c>
      <c r="U133" s="43" t="s">
        <v>29</v>
      </c>
    </row>
    <row r="134" spans="1:22" hidden="1" x14ac:dyDescent="0.3">
      <c r="A134" s="4" t="s">
        <v>21</v>
      </c>
      <c r="B134" s="40">
        <v>45602</v>
      </c>
      <c r="C134" s="5" t="s">
        <v>68</v>
      </c>
      <c r="D134" s="17">
        <v>1051</v>
      </c>
      <c r="E134" s="17" t="s">
        <v>196</v>
      </c>
      <c r="F134" s="17" t="s">
        <v>182</v>
      </c>
      <c r="G134" s="4" t="s">
        <v>74</v>
      </c>
      <c r="H134" s="4" t="s">
        <v>46</v>
      </c>
      <c r="I134" s="17">
        <v>4</v>
      </c>
      <c r="J134" s="15">
        <v>36.75</v>
      </c>
      <c r="K134" s="16">
        <f t="shared" si="8"/>
        <v>147</v>
      </c>
      <c r="L134" s="40">
        <v>45625</v>
      </c>
      <c r="M134" s="9" t="str">
        <f t="shared" ca="1" si="9"/>
        <v>ATRASO</v>
      </c>
      <c r="N134" s="5">
        <v>45622</v>
      </c>
      <c r="O134" s="4" t="s">
        <v>28</v>
      </c>
      <c r="P134" s="4" t="s">
        <v>28</v>
      </c>
      <c r="Q134" s="4" t="s">
        <v>28</v>
      </c>
      <c r="R134" s="4" t="s">
        <v>28</v>
      </c>
      <c r="S134" s="4" t="s">
        <v>28</v>
      </c>
      <c r="T134" s="4" t="s">
        <v>28</v>
      </c>
      <c r="U134" s="43" t="s">
        <v>29</v>
      </c>
    </row>
    <row r="135" spans="1:22" hidden="1" x14ac:dyDescent="0.3">
      <c r="A135" s="4" t="s">
        <v>21</v>
      </c>
      <c r="B135" s="40">
        <v>45602</v>
      </c>
      <c r="C135" s="5" t="s">
        <v>68</v>
      </c>
      <c r="D135" s="17">
        <v>1051</v>
      </c>
      <c r="E135" s="17" t="s">
        <v>196</v>
      </c>
      <c r="F135" s="17" t="s">
        <v>195</v>
      </c>
      <c r="G135" s="4" t="s">
        <v>74</v>
      </c>
      <c r="H135" s="4" t="s">
        <v>46</v>
      </c>
      <c r="I135" s="17">
        <v>2</v>
      </c>
      <c r="J135" s="15">
        <v>36.75</v>
      </c>
      <c r="K135" s="16">
        <f t="shared" si="8"/>
        <v>73.5</v>
      </c>
      <c r="L135" s="40">
        <v>45625</v>
      </c>
      <c r="M135" s="9" t="str">
        <f t="shared" ca="1" si="9"/>
        <v>ATRASO</v>
      </c>
      <c r="N135" s="5">
        <v>45622</v>
      </c>
      <c r="O135" s="4" t="s">
        <v>28</v>
      </c>
      <c r="P135" s="4" t="s">
        <v>28</v>
      </c>
      <c r="Q135" s="4" t="s">
        <v>28</v>
      </c>
      <c r="R135" s="4" t="s">
        <v>28</v>
      </c>
      <c r="S135" s="4" t="s">
        <v>28</v>
      </c>
      <c r="T135" s="4" t="s">
        <v>28</v>
      </c>
      <c r="U135" s="43" t="s">
        <v>29</v>
      </c>
    </row>
    <row r="136" spans="1:22" hidden="1" x14ac:dyDescent="0.3">
      <c r="A136" s="4" t="s">
        <v>21</v>
      </c>
      <c r="B136" s="40">
        <v>45617</v>
      </c>
      <c r="C136" s="5" t="s">
        <v>68</v>
      </c>
      <c r="D136" s="17">
        <v>1068</v>
      </c>
      <c r="E136" s="17" t="s">
        <v>197</v>
      </c>
      <c r="F136" s="17" t="s">
        <v>192</v>
      </c>
      <c r="G136" s="4" t="s">
        <v>51</v>
      </c>
      <c r="H136" s="4" t="s">
        <v>46</v>
      </c>
      <c r="I136" s="17">
        <v>10</v>
      </c>
      <c r="J136" s="15">
        <v>25</v>
      </c>
      <c r="K136" s="16">
        <f t="shared" si="8"/>
        <v>250</v>
      </c>
      <c r="L136" s="40">
        <v>45638</v>
      </c>
      <c r="M136" s="9" t="str">
        <f t="shared" ca="1" si="9"/>
        <v>ATRASO</v>
      </c>
      <c r="N136" s="5">
        <v>45639</v>
      </c>
      <c r="O136" s="4" t="s">
        <v>28</v>
      </c>
      <c r="P136" s="4" t="s">
        <v>28</v>
      </c>
      <c r="Q136" s="4" t="s">
        <v>28</v>
      </c>
      <c r="R136" s="4" t="s">
        <v>28</v>
      </c>
      <c r="S136" s="4" t="s">
        <v>28</v>
      </c>
      <c r="T136" s="4">
        <v>1256</v>
      </c>
      <c r="U136" s="4" t="s">
        <v>29</v>
      </c>
      <c r="V136" s="17"/>
    </row>
    <row r="137" spans="1:22" hidden="1" x14ac:dyDescent="0.3">
      <c r="A137" s="4" t="s">
        <v>21</v>
      </c>
      <c r="B137" s="40">
        <v>45617</v>
      </c>
      <c r="C137" s="5" t="s">
        <v>68</v>
      </c>
      <c r="D137" s="17">
        <v>1068</v>
      </c>
      <c r="E137" s="17" t="s">
        <v>197</v>
      </c>
      <c r="F137" s="17" t="s">
        <v>198</v>
      </c>
      <c r="G137" s="4" t="s">
        <v>190</v>
      </c>
      <c r="H137" s="4" t="s">
        <v>46</v>
      </c>
      <c r="I137" s="17">
        <v>6</v>
      </c>
      <c r="J137" s="15">
        <v>75</v>
      </c>
      <c r="K137" s="16">
        <f t="shared" si="8"/>
        <v>450</v>
      </c>
      <c r="L137" s="40">
        <v>45638</v>
      </c>
      <c r="M137" s="9" t="str">
        <f t="shared" ca="1" si="9"/>
        <v>ATRASO</v>
      </c>
      <c r="N137" s="5">
        <v>45639</v>
      </c>
      <c r="O137" s="4" t="s">
        <v>28</v>
      </c>
      <c r="P137" s="4" t="s">
        <v>28</v>
      </c>
      <c r="Q137" s="4" t="s">
        <v>28</v>
      </c>
      <c r="R137" s="4" t="s">
        <v>28</v>
      </c>
      <c r="S137" s="4" t="s">
        <v>28</v>
      </c>
      <c r="T137" s="4">
        <v>1256</v>
      </c>
      <c r="U137" s="4" t="s">
        <v>29</v>
      </c>
      <c r="V137" s="17"/>
    </row>
    <row r="138" spans="1:22" hidden="1" x14ac:dyDescent="0.3">
      <c r="A138" s="4" t="s">
        <v>21</v>
      </c>
      <c r="B138" s="40">
        <v>45617</v>
      </c>
      <c r="C138" s="5" t="s">
        <v>68</v>
      </c>
      <c r="D138" s="17">
        <v>1068</v>
      </c>
      <c r="E138" s="17" t="s">
        <v>197</v>
      </c>
      <c r="F138" s="17" t="s">
        <v>199</v>
      </c>
      <c r="G138" s="4" t="s">
        <v>190</v>
      </c>
      <c r="H138" s="4" t="s">
        <v>46</v>
      </c>
      <c r="I138" s="17">
        <v>10</v>
      </c>
      <c r="J138" s="15">
        <v>65</v>
      </c>
      <c r="K138" s="16">
        <f t="shared" si="8"/>
        <v>650</v>
      </c>
      <c r="L138" s="40">
        <v>45638</v>
      </c>
      <c r="M138" s="9" t="str">
        <f t="shared" ca="1" si="9"/>
        <v>ATRASO</v>
      </c>
      <c r="N138" s="5">
        <v>45639</v>
      </c>
      <c r="O138" s="4" t="s">
        <v>28</v>
      </c>
      <c r="P138" s="4" t="s">
        <v>28</v>
      </c>
      <c r="Q138" s="4" t="s">
        <v>28</v>
      </c>
      <c r="R138" s="4" t="s">
        <v>28</v>
      </c>
      <c r="S138" s="4" t="s">
        <v>28</v>
      </c>
      <c r="T138" s="4">
        <v>1256</v>
      </c>
      <c r="U138" s="4" t="s">
        <v>29</v>
      </c>
      <c r="V138" s="17"/>
    </row>
    <row r="139" spans="1:22" hidden="1" x14ac:dyDescent="0.3">
      <c r="A139" s="4" t="s">
        <v>21</v>
      </c>
      <c r="B139" s="40">
        <v>45617</v>
      </c>
      <c r="C139" s="5" t="s">
        <v>68</v>
      </c>
      <c r="D139" s="17">
        <v>1068</v>
      </c>
      <c r="E139" s="17" t="s">
        <v>197</v>
      </c>
      <c r="F139" s="17" t="s">
        <v>178</v>
      </c>
      <c r="G139" s="4" t="s">
        <v>179</v>
      </c>
      <c r="H139" s="4" t="s">
        <v>46</v>
      </c>
      <c r="I139" s="17">
        <v>4</v>
      </c>
      <c r="J139" s="15">
        <v>36.75</v>
      </c>
      <c r="K139" s="16">
        <f t="shared" si="8"/>
        <v>147</v>
      </c>
      <c r="L139" s="40">
        <v>45638</v>
      </c>
      <c r="M139" s="9" t="str">
        <f t="shared" ca="1" si="9"/>
        <v>ATRASO</v>
      </c>
      <c r="N139" s="5">
        <v>45639</v>
      </c>
      <c r="O139" s="4" t="s">
        <v>28</v>
      </c>
      <c r="P139" s="4" t="s">
        <v>28</v>
      </c>
      <c r="Q139" s="4" t="s">
        <v>28</v>
      </c>
      <c r="R139" s="4" t="s">
        <v>28</v>
      </c>
      <c r="S139" s="4" t="s">
        <v>28</v>
      </c>
      <c r="T139" s="4">
        <v>1256</v>
      </c>
      <c r="U139" s="4" t="s">
        <v>29</v>
      </c>
      <c r="V139" s="17"/>
    </row>
    <row r="140" spans="1:22" hidden="1" x14ac:dyDescent="0.3">
      <c r="A140" s="4" t="s">
        <v>21</v>
      </c>
      <c r="B140" s="40">
        <v>45617</v>
      </c>
      <c r="C140" s="5" t="s">
        <v>68</v>
      </c>
      <c r="D140" s="17">
        <v>1068</v>
      </c>
      <c r="E140" s="17" t="s">
        <v>197</v>
      </c>
      <c r="F140" s="17" t="s">
        <v>180</v>
      </c>
      <c r="G140" s="4" t="s">
        <v>179</v>
      </c>
      <c r="H140" s="4" t="s">
        <v>46</v>
      </c>
      <c r="I140" s="17">
        <v>10</v>
      </c>
      <c r="J140" s="15">
        <v>36.75</v>
      </c>
      <c r="K140" s="16">
        <f t="shared" si="8"/>
        <v>367.5</v>
      </c>
      <c r="L140" s="40">
        <v>45638</v>
      </c>
      <c r="M140" s="9" t="str">
        <f t="shared" ca="1" si="9"/>
        <v>ATRASO</v>
      </c>
      <c r="N140" s="5">
        <v>45639</v>
      </c>
      <c r="O140" s="4" t="s">
        <v>28</v>
      </c>
      <c r="P140" s="4" t="s">
        <v>28</v>
      </c>
      <c r="Q140" s="4" t="s">
        <v>28</v>
      </c>
      <c r="R140" s="4" t="s">
        <v>28</v>
      </c>
      <c r="S140" s="4" t="s">
        <v>28</v>
      </c>
      <c r="T140" s="4">
        <v>1256</v>
      </c>
      <c r="U140" s="4" t="s">
        <v>29</v>
      </c>
      <c r="V140" s="17"/>
    </row>
    <row r="141" spans="1:22" hidden="1" x14ac:dyDescent="0.3">
      <c r="A141" s="4" t="s">
        <v>21</v>
      </c>
      <c r="B141" s="40">
        <v>45617</v>
      </c>
      <c r="C141" s="5" t="s">
        <v>68</v>
      </c>
      <c r="D141" s="17">
        <v>1068</v>
      </c>
      <c r="E141" s="17" t="s">
        <v>197</v>
      </c>
      <c r="F141" s="17" t="s">
        <v>182</v>
      </c>
      <c r="G141" s="4" t="s">
        <v>74</v>
      </c>
      <c r="H141" s="4" t="s">
        <v>46</v>
      </c>
      <c r="I141" s="17">
        <v>8</v>
      </c>
      <c r="J141" s="15">
        <v>36.75</v>
      </c>
      <c r="K141" s="16">
        <f t="shared" si="8"/>
        <v>294</v>
      </c>
      <c r="L141" s="40">
        <v>45638</v>
      </c>
      <c r="M141" s="9" t="str">
        <f t="shared" ca="1" si="9"/>
        <v>ATRASO</v>
      </c>
      <c r="N141" s="5">
        <v>45639</v>
      </c>
      <c r="O141" s="4" t="s">
        <v>28</v>
      </c>
      <c r="P141" s="4" t="s">
        <v>28</v>
      </c>
      <c r="Q141" s="4" t="s">
        <v>28</v>
      </c>
      <c r="R141" s="4" t="s">
        <v>28</v>
      </c>
      <c r="S141" s="4" t="s">
        <v>28</v>
      </c>
      <c r="T141" s="4">
        <v>1256</v>
      </c>
      <c r="U141" s="4" t="s">
        <v>29</v>
      </c>
      <c r="V141" s="17"/>
    </row>
    <row r="142" spans="1:22" hidden="1" x14ac:dyDescent="0.3">
      <c r="A142" s="4" t="s">
        <v>21</v>
      </c>
      <c r="B142" s="40">
        <v>45617</v>
      </c>
      <c r="C142" s="5" t="s">
        <v>68</v>
      </c>
      <c r="D142" s="17">
        <v>1068</v>
      </c>
      <c r="E142" s="17" t="s">
        <v>197</v>
      </c>
      <c r="F142" s="17" t="s">
        <v>195</v>
      </c>
      <c r="G142" s="4" t="s">
        <v>74</v>
      </c>
      <c r="H142" s="4" t="s">
        <v>46</v>
      </c>
      <c r="I142" s="17">
        <v>4</v>
      </c>
      <c r="J142" s="15">
        <v>36.75</v>
      </c>
      <c r="K142" s="16">
        <f t="shared" si="8"/>
        <v>147</v>
      </c>
      <c r="L142" s="40">
        <v>45638</v>
      </c>
      <c r="M142" s="9" t="str">
        <f t="shared" ca="1" si="9"/>
        <v>ATRASO</v>
      </c>
      <c r="N142" s="5">
        <v>45639</v>
      </c>
      <c r="O142" s="4" t="s">
        <v>28</v>
      </c>
      <c r="P142" s="4" t="s">
        <v>28</v>
      </c>
      <c r="Q142" s="4" t="s">
        <v>28</v>
      </c>
      <c r="R142" s="4" t="s">
        <v>28</v>
      </c>
      <c r="S142" s="4" t="s">
        <v>28</v>
      </c>
      <c r="T142" s="4">
        <v>1256</v>
      </c>
      <c r="U142" s="4" t="s">
        <v>29</v>
      </c>
      <c r="V142" s="17"/>
    </row>
    <row r="143" spans="1:22" hidden="1" x14ac:dyDescent="0.3">
      <c r="A143" s="4" t="s">
        <v>21</v>
      </c>
      <c r="B143" s="40">
        <v>45617</v>
      </c>
      <c r="C143" s="5" t="s">
        <v>68</v>
      </c>
      <c r="D143" s="17">
        <v>1068</v>
      </c>
      <c r="E143" s="17" t="s">
        <v>197</v>
      </c>
      <c r="F143" s="17" t="s">
        <v>191</v>
      </c>
      <c r="G143" s="4" t="s">
        <v>80</v>
      </c>
      <c r="H143" s="4" t="s">
        <v>46</v>
      </c>
      <c r="I143" s="17">
        <v>7</v>
      </c>
      <c r="J143" s="15">
        <v>21</v>
      </c>
      <c r="K143" s="16">
        <f t="shared" si="8"/>
        <v>147</v>
      </c>
      <c r="L143" s="40">
        <v>45638</v>
      </c>
      <c r="M143" s="9" t="str">
        <f t="shared" ca="1" si="9"/>
        <v>ATRASO</v>
      </c>
      <c r="N143" s="5">
        <v>45639</v>
      </c>
      <c r="O143" s="4" t="s">
        <v>28</v>
      </c>
      <c r="P143" s="4" t="s">
        <v>28</v>
      </c>
      <c r="Q143" s="4" t="s">
        <v>28</v>
      </c>
      <c r="R143" s="4" t="s">
        <v>28</v>
      </c>
      <c r="S143" s="4" t="s">
        <v>28</v>
      </c>
      <c r="T143" s="4">
        <v>1256</v>
      </c>
      <c r="U143" s="4" t="s">
        <v>29</v>
      </c>
      <c r="V143" s="17"/>
    </row>
    <row r="144" spans="1:22" hidden="1" x14ac:dyDescent="0.3">
      <c r="A144" s="4" t="s">
        <v>21</v>
      </c>
      <c r="B144" s="40">
        <v>45617</v>
      </c>
      <c r="C144" s="5" t="s">
        <v>68</v>
      </c>
      <c r="D144" s="17">
        <v>1067</v>
      </c>
      <c r="E144" s="17" t="s">
        <v>200</v>
      </c>
      <c r="F144" s="17" t="s">
        <v>182</v>
      </c>
      <c r="G144" s="4" t="s">
        <v>74</v>
      </c>
      <c r="H144" s="4" t="s">
        <v>46</v>
      </c>
      <c r="I144" s="17">
        <v>4</v>
      </c>
      <c r="J144" s="15">
        <v>36.75</v>
      </c>
      <c r="K144" s="16">
        <f t="shared" si="8"/>
        <v>147</v>
      </c>
      <c r="L144" s="40">
        <v>45645</v>
      </c>
      <c r="M144" s="9" t="str">
        <f t="shared" ca="1" si="9"/>
        <v>ATRASO</v>
      </c>
      <c r="N144" s="5">
        <v>45645</v>
      </c>
      <c r="O144" s="4" t="s">
        <v>28</v>
      </c>
      <c r="P144" s="4" t="s">
        <v>28</v>
      </c>
      <c r="Q144" s="4" t="s">
        <v>28</v>
      </c>
      <c r="R144" s="4" t="s">
        <v>28</v>
      </c>
      <c r="S144" s="4" t="s">
        <v>28</v>
      </c>
      <c r="T144" s="4" t="s">
        <v>28</v>
      </c>
      <c r="U144" s="43" t="s">
        <v>29</v>
      </c>
    </row>
    <row r="145" spans="1:21" hidden="1" x14ac:dyDescent="0.3">
      <c r="A145" s="4" t="s">
        <v>21</v>
      </c>
      <c r="B145" s="40">
        <v>45617</v>
      </c>
      <c r="C145" s="5" t="s">
        <v>68</v>
      </c>
      <c r="D145" s="17">
        <v>1067</v>
      </c>
      <c r="E145" s="17" t="s">
        <v>200</v>
      </c>
      <c r="F145" s="17" t="s">
        <v>195</v>
      </c>
      <c r="G145" s="4" t="s">
        <v>74</v>
      </c>
      <c r="H145" s="4" t="s">
        <v>46</v>
      </c>
      <c r="I145" s="17">
        <v>4</v>
      </c>
      <c r="J145" s="15">
        <v>36.75</v>
      </c>
      <c r="K145" s="16">
        <f t="shared" si="8"/>
        <v>147</v>
      </c>
      <c r="L145" s="40">
        <v>45645</v>
      </c>
      <c r="M145" s="9" t="str">
        <f t="shared" ca="1" si="9"/>
        <v>ATRASO</v>
      </c>
      <c r="N145" s="5">
        <v>45645</v>
      </c>
      <c r="O145" s="4" t="s">
        <v>28</v>
      </c>
      <c r="P145" s="4" t="s">
        <v>28</v>
      </c>
      <c r="Q145" s="4" t="s">
        <v>28</v>
      </c>
      <c r="R145" s="4" t="s">
        <v>28</v>
      </c>
      <c r="S145" s="4" t="s">
        <v>28</v>
      </c>
      <c r="T145" s="4" t="s">
        <v>28</v>
      </c>
      <c r="U145" s="43" t="s">
        <v>29</v>
      </c>
    </row>
    <row r="146" spans="1:21" hidden="1" x14ac:dyDescent="0.3">
      <c r="A146" s="4" t="s">
        <v>21</v>
      </c>
      <c r="B146" s="40">
        <v>45617</v>
      </c>
      <c r="C146" s="5" t="s">
        <v>68</v>
      </c>
      <c r="D146" s="17">
        <v>1067</v>
      </c>
      <c r="E146" s="17" t="s">
        <v>200</v>
      </c>
      <c r="F146" s="17" t="s">
        <v>201</v>
      </c>
      <c r="G146" s="4" t="s">
        <v>190</v>
      </c>
      <c r="H146" s="4" t="s">
        <v>46</v>
      </c>
      <c r="I146" s="17">
        <v>8</v>
      </c>
      <c r="J146" s="15">
        <v>75</v>
      </c>
      <c r="K146" s="16">
        <f t="shared" si="8"/>
        <v>600</v>
      </c>
      <c r="L146" s="40">
        <v>45645</v>
      </c>
      <c r="M146" s="9" t="str">
        <f t="shared" ca="1" si="9"/>
        <v>ATRASO</v>
      </c>
      <c r="N146" s="5">
        <v>45645</v>
      </c>
      <c r="O146" s="4" t="s">
        <v>28</v>
      </c>
      <c r="P146" s="4" t="s">
        <v>28</v>
      </c>
      <c r="Q146" s="4" t="s">
        <v>28</v>
      </c>
      <c r="R146" s="4" t="s">
        <v>28</v>
      </c>
      <c r="S146" s="4" t="s">
        <v>28</v>
      </c>
      <c r="T146" s="4" t="s">
        <v>28</v>
      </c>
      <c r="U146" s="43" t="s">
        <v>29</v>
      </c>
    </row>
    <row r="147" spans="1:21" hidden="1" x14ac:dyDescent="0.3">
      <c r="A147" s="4" t="s">
        <v>21</v>
      </c>
      <c r="B147" s="40">
        <v>45617</v>
      </c>
      <c r="C147" s="5" t="s">
        <v>68</v>
      </c>
      <c r="D147" s="17">
        <v>1067</v>
      </c>
      <c r="E147" s="17" t="s">
        <v>200</v>
      </c>
      <c r="F147" s="17" t="s">
        <v>181</v>
      </c>
      <c r="G147" s="4" t="s">
        <v>179</v>
      </c>
      <c r="H147" s="4" t="s">
        <v>46</v>
      </c>
      <c r="I147" s="17">
        <v>6</v>
      </c>
      <c r="J147" s="15">
        <v>36.75</v>
      </c>
      <c r="K147" s="16">
        <f t="shared" si="8"/>
        <v>220.5</v>
      </c>
      <c r="L147" s="40">
        <v>45645</v>
      </c>
      <c r="M147" s="9" t="str">
        <f t="shared" ca="1" si="9"/>
        <v>ATRASO</v>
      </c>
      <c r="N147" s="5">
        <v>45645</v>
      </c>
      <c r="O147" s="4" t="s">
        <v>28</v>
      </c>
      <c r="P147" s="4" t="s">
        <v>28</v>
      </c>
      <c r="Q147" s="4" t="s">
        <v>28</v>
      </c>
      <c r="R147" s="4" t="s">
        <v>28</v>
      </c>
      <c r="S147" s="4" t="s">
        <v>28</v>
      </c>
      <c r="T147" s="4" t="s">
        <v>28</v>
      </c>
      <c r="U147" s="43" t="s">
        <v>29</v>
      </c>
    </row>
    <row r="148" spans="1:21" hidden="1" x14ac:dyDescent="0.3">
      <c r="A148" s="4" t="s">
        <v>21</v>
      </c>
      <c r="B148" s="40">
        <v>45617</v>
      </c>
      <c r="C148" s="5" t="s">
        <v>68</v>
      </c>
      <c r="D148" s="17">
        <v>1067</v>
      </c>
      <c r="E148" s="17" t="s">
        <v>200</v>
      </c>
      <c r="F148" s="17" t="s">
        <v>180</v>
      </c>
      <c r="G148" s="4" t="s">
        <v>179</v>
      </c>
      <c r="H148" s="4" t="s">
        <v>46</v>
      </c>
      <c r="I148" s="17">
        <v>6</v>
      </c>
      <c r="J148" s="15">
        <v>36.75</v>
      </c>
      <c r="K148" s="16">
        <f t="shared" si="8"/>
        <v>220.5</v>
      </c>
      <c r="L148" s="40">
        <v>45645</v>
      </c>
      <c r="M148" s="9" t="str">
        <f t="shared" ca="1" si="9"/>
        <v>ATRASO</v>
      </c>
      <c r="N148" s="5">
        <v>45645</v>
      </c>
      <c r="O148" s="4" t="s">
        <v>28</v>
      </c>
      <c r="P148" s="4" t="s">
        <v>28</v>
      </c>
      <c r="Q148" s="4" t="s">
        <v>28</v>
      </c>
      <c r="R148" s="4" t="s">
        <v>28</v>
      </c>
      <c r="S148" s="4" t="s">
        <v>28</v>
      </c>
      <c r="T148" s="4" t="s">
        <v>28</v>
      </c>
      <c r="U148" s="43" t="s">
        <v>29</v>
      </c>
    </row>
    <row r="149" spans="1:21" hidden="1" x14ac:dyDescent="0.3">
      <c r="A149" s="4" t="s">
        <v>21</v>
      </c>
      <c r="B149" s="40">
        <v>45617</v>
      </c>
      <c r="C149" s="5" t="s">
        <v>68</v>
      </c>
      <c r="D149" s="17">
        <v>1067</v>
      </c>
      <c r="E149" s="17" t="s">
        <v>200</v>
      </c>
      <c r="F149" s="17" t="s">
        <v>202</v>
      </c>
      <c r="G149" s="4" t="s">
        <v>190</v>
      </c>
      <c r="H149" s="4" t="s">
        <v>46</v>
      </c>
      <c r="I149" s="17">
        <v>12</v>
      </c>
      <c r="J149" s="15">
        <v>65</v>
      </c>
      <c r="K149" s="16">
        <f t="shared" si="8"/>
        <v>780</v>
      </c>
      <c r="L149" s="40">
        <v>45645</v>
      </c>
      <c r="M149" s="9" t="str">
        <f t="shared" ca="1" si="9"/>
        <v>ATRASO</v>
      </c>
      <c r="N149" s="5">
        <v>45645</v>
      </c>
      <c r="O149" s="4" t="s">
        <v>28</v>
      </c>
      <c r="P149" s="4" t="s">
        <v>28</v>
      </c>
      <c r="Q149" s="4" t="s">
        <v>28</v>
      </c>
      <c r="R149" s="4" t="s">
        <v>28</v>
      </c>
      <c r="S149" s="4" t="s">
        <v>28</v>
      </c>
      <c r="T149" s="4" t="s">
        <v>28</v>
      </c>
      <c r="U149" s="43" t="s">
        <v>29</v>
      </c>
    </row>
    <row r="150" spans="1:21" hidden="1" x14ac:dyDescent="0.3">
      <c r="A150" s="4" t="s">
        <v>21</v>
      </c>
      <c r="B150" s="40">
        <v>45617</v>
      </c>
      <c r="C150" s="5" t="s">
        <v>68</v>
      </c>
      <c r="D150" s="17">
        <v>1067</v>
      </c>
      <c r="E150" s="17" t="s">
        <v>200</v>
      </c>
      <c r="F150" s="17" t="s">
        <v>191</v>
      </c>
      <c r="G150" s="4" t="s">
        <v>80</v>
      </c>
      <c r="H150" s="4" t="s">
        <v>46</v>
      </c>
      <c r="I150" s="17">
        <v>8</v>
      </c>
      <c r="J150" s="15">
        <v>21</v>
      </c>
      <c r="K150" s="16">
        <f t="shared" si="8"/>
        <v>168</v>
      </c>
      <c r="L150" s="40">
        <v>45645</v>
      </c>
      <c r="M150" s="9" t="str">
        <f t="shared" ca="1" si="9"/>
        <v>ATRASO</v>
      </c>
      <c r="N150" s="5">
        <v>45645</v>
      </c>
      <c r="O150" s="4" t="s">
        <v>28</v>
      </c>
      <c r="P150" s="4" t="s">
        <v>28</v>
      </c>
      <c r="Q150" s="4" t="s">
        <v>28</v>
      </c>
      <c r="R150" s="4" t="s">
        <v>28</v>
      </c>
      <c r="S150" s="4" t="s">
        <v>28</v>
      </c>
      <c r="T150" s="4" t="s">
        <v>28</v>
      </c>
      <c r="U150" s="43" t="s">
        <v>29</v>
      </c>
    </row>
    <row r="151" spans="1:21" hidden="1" x14ac:dyDescent="0.3">
      <c r="A151" s="4" t="s">
        <v>21</v>
      </c>
      <c r="B151" s="40">
        <v>45617</v>
      </c>
      <c r="C151" s="5" t="s">
        <v>68</v>
      </c>
      <c r="D151" s="17">
        <v>1067</v>
      </c>
      <c r="E151" s="17" t="s">
        <v>200</v>
      </c>
      <c r="F151" s="17" t="s">
        <v>192</v>
      </c>
      <c r="G151" s="4" t="s">
        <v>51</v>
      </c>
      <c r="H151" s="4" t="s">
        <v>46</v>
      </c>
      <c r="I151" s="17">
        <v>12</v>
      </c>
      <c r="J151" s="15">
        <v>25</v>
      </c>
      <c r="K151" s="16">
        <f t="shared" si="8"/>
        <v>300</v>
      </c>
      <c r="L151" s="40">
        <v>45645</v>
      </c>
      <c r="M151" s="9" t="str">
        <f t="shared" ca="1" si="9"/>
        <v>ATRASO</v>
      </c>
      <c r="N151" s="5">
        <v>45645</v>
      </c>
      <c r="O151" s="4" t="s">
        <v>28</v>
      </c>
      <c r="P151" s="4" t="s">
        <v>28</v>
      </c>
      <c r="Q151" s="4" t="s">
        <v>28</v>
      </c>
      <c r="R151" s="4" t="s">
        <v>28</v>
      </c>
      <c r="S151" s="4" t="s">
        <v>28</v>
      </c>
      <c r="T151" s="4" t="s">
        <v>28</v>
      </c>
      <c r="U151" s="43" t="s">
        <v>29</v>
      </c>
    </row>
    <row r="152" spans="1:21" hidden="1" x14ac:dyDescent="0.3">
      <c r="A152" s="4" t="s">
        <v>21</v>
      </c>
      <c r="B152" s="40">
        <v>45617</v>
      </c>
      <c r="C152" s="5" t="s">
        <v>68</v>
      </c>
      <c r="D152" s="17">
        <v>1066</v>
      </c>
      <c r="E152" s="17" t="s">
        <v>203</v>
      </c>
      <c r="F152" s="17" t="s">
        <v>204</v>
      </c>
      <c r="G152" s="4" t="s">
        <v>179</v>
      </c>
      <c r="H152" s="4" t="s">
        <v>46</v>
      </c>
      <c r="I152" s="17">
        <v>2</v>
      </c>
      <c r="J152" s="15">
        <v>36.75</v>
      </c>
      <c r="K152" s="16">
        <f t="shared" si="8"/>
        <v>73.5</v>
      </c>
      <c r="L152" s="40">
        <v>45638</v>
      </c>
      <c r="M152" s="9" t="str">
        <f t="shared" ca="1" si="9"/>
        <v>ATRASO</v>
      </c>
      <c r="N152" s="5">
        <v>45636</v>
      </c>
      <c r="O152" s="4" t="s">
        <v>28</v>
      </c>
      <c r="P152" s="4" t="s">
        <v>28</v>
      </c>
      <c r="Q152" s="4" t="s">
        <v>28</v>
      </c>
      <c r="R152" s="4" t="s">
        <v>28</v>
      </c>
      <c r="S152" s="4" t="s">
        <v>28</v>
      </c>
      <c r="T152" s="4" t="s">
        <v>28</v>
      </c>
      <c r="U152" s="43" t="s">
        <v>29</v>
      </c>
    </row>
    <row r="153" spans="1:21" hidden="1" x14ac:dyDescent="0.3">
      <c r="A153" s="4" t="s">
        <v>21</v>
      </c>
      <c r="B153" s="40">
        <v>45617</v>
      </c>
      <c r="C153" s="5" t="s">
        <v>68</v>
      </c>
      <c r="D153" s="17">
        <v>1066</v>
      </c>
      <c r="E153" s="17" t="s">
        <v>203</v>
      </c>
      <c r="F153" s="17" t="s">
        <v>195</v>
      </c>
      <c r="G153" s="4" t="s">
        <v>74</v>
      </c>
      <c r="H153" s="4" t="s">
        <v>46</v>
      </c>
      <c r="I153" s="17">
        <v>6</v>
      </c>
      <c r="J153" s="15">
        <v>36.75</v>
      </c>
      <c r="K153" s="16">
        <f t="shared" si="8"/>
        <v>220.5</v>
      </c>
      <c r="L153" s="40">
        <v>45638</v>
      </c>
      <c r="M153" s="9" t="str">
        <f t="shared" ca="1" si="9"/>
        <v>ATRASO</v>
      </c>
      <c r="N153" s="5">
        <v>45636</v>
      </c>
      <c r="O153" s="4" t="s">
        <v>28</v>
      </c>
      <c r="P153" s="4" t="s">
        <v>28</v>
      </c>
      <c r="Q153" s="4" t="s">
        <v>28</v>
      </c>
      <c r="R153" s="4" t="s">
        <v>28</v>
      </c>
      <c r="S153" s="4" t="s">
        <v>28</v>
      </c>
      <c r="T153" s="4" t="s">
        <v>28</v>
      </c>
      <c r="U153" s="43" t="s">
        <v>29</v>
      </c>
    </row>
    <row r="154" spans="1:21" hidden="1" x14ac:dyDescent="0.3">
      <c r="A154" s="4" t="s">
        <v>21</v>
      </c>
      <c r="B154" s="40">
        <v>45617</v>
      </c>
      <c r="C154" s="5" t="s">
        <v>68</v>
      </c>
      <c r="D154" s="17">
        <v>1066</v>
      </c>
      <c r="E154" s="17" t="s">
        <v>203</v>
      </c>
      <c r="F154" s="17" t="s">
        <v>184</v>
      </c>
      <c r="G154" s="4" t="s">
        <v>74</v>
      </c>
      <c r="H154" s="4" t="s">
        <v>46</v>
      </c>
      <c r="I154" s="17">
        <v>2</v>
      </c>
      <c r="J154" s="15">
        <v>36.75</v>
      </c>
      <c r="K154" s="16">
        <f t="shared" si="8"/>
        <v>73.5</v>
      </c>
      <c r="L154" s="40">
        <v>45638</v>
      </c>
      <c r="M154" s="9" t="str">
        <f t="shared" ca="1" si="9"/>
        <v>ATRASO</v>
      </c>
      <c r="N154" s="5">
        <v>45636</v>
      </c>
      <c r="O154" s="4" t="s">
        <v>28</v>
      </c>
      <c r="P154" s="4" t="s">
        <v>28</v>
      </c>
      <c r="Q154" s="4" t="s">
        <v>28</v>
      </c>
      <c r="R154" s="4" t="s">
        <v>28</v>
      </c>
      <c r="S154" s="4" t="s">
        <v>28</v>
      </c>
      <c r="T154" s="4" t="s">
        <v>28</v>
      </c>
      <c r="U154" s="43" t="s">
        <v>29</v>
      </c>
    </row>
    <row r="155" spans="1:21" hidden="1" x14ac:dyDescent="0.3">
      <c r="A155" s="4" t="s">
        <v>21</v>
      </c>
      <c r="B155" s="40">
        <v>45617</v>
      </c>
      <c r="C155" s="5" t="s">
        <v>68</v>
      </c>
      <c r="D155" s="17">
        <v>1066</v>
      </c>
      <c r="E155" s="17" t="s">
        <v>203</v>
      </c>
      <c r="F155" s="17" t="s">
        <v>192</v>
      </c>
      <c r="G155" s="4" t="s">
        <v>51</v>
      </c>
      <c r="H155" s="4" t="s">
        <v>46</v>
      </c>
      <c r="I155" s="39">
        <v>10</v>
      </c>
      <c r="J155" s="15">
        <v>25</v>
      </c>
      <c r="K155" s="16">
        <f t="shared" si="8"/>
        <v>250</v>
      </c>
      <c r="L155" s="40">
        <v>45638</v>
      </c>
      <c r="M155" s="9" t="str">
        <f t="shared" ca="1" si="9"/>
        <v>ATRASO</v>
      </c>
      <c r="N155" s="5">
        <v>45636</v>
      </c>
      <c r="O155" s="4" t="s">
        <v>28</v>
      </c>
      <c r="P155" s="4" t="s">
        <v>28</v>
      </c>
      <c r="Q155" s="4" t="s">
        <v>28</v>
      </c>
      <c r="R155" s="4" t="s">
        <v>28</v>
      </c>
      <c r="S155" s="4" t="s">
        <v>28</v>
      </c>
      <c r="T155" s="4" t="s">
        <v>28</v>
      </c>
      <c r="U155" s="43" t="s">
        <v>29</v>
      </c>
    </row>
    <row r="156" spans="1:21" hidden="1" x14ac:dyDescent="0.3">
      <c r="A156" s="4" t="s">
        <v>21</v>
      </c>
      <c r="B156" s="40">
        <v>45617</v>
      </c>
      <c r="C156" s="5" t="s">
        <v>68</v>
      </c>
      <c r="D156" s="17">
        <v>1066</v>
      </c>
      <c r="E156" s="17" t="s">
        <v>203</v>
      </c>
      <c r="F156" s="17" t="s">
        <v>191</v>
      </c>
      <c r="G156" s="4" t="s">
        <v>80</v>
      </c>
      <c r="H156" s="4" t="s">
        <v>46</v>
      </c>
      <c r="I156" s="17">
        <v>10</v>
      </c>
      <c r="J156" s="15">
        <v>21</v>
      </c>
      <c r="K156" s="16">
        <f t="shared" si="8"/>
        <v>210</v>
      </c>
      <c r="L156" s="40">
        <v>45638</v>
      </c>
      <c r="M156" s="9" t="str">
        <f t="shared" ca="1" si="9"/>
        <v>ATRASO</v>
      </c>
      <c r="N156" s="5">
        <v>45636</v>
      </c>
      <c r="O156" s="4" t="s">
        <v>28</v>
      </c>
      <c r="P156" s="4" t="s">
        <v>28</v>
      </c>
      <c r="Q156" s="4" t="s">
        <v>28</v>
      </c>
      <c r="R156" s="4" t="s">
        <v>28</v>
      </c>
      <c r="S156" s="4" t="s">
        <v>28</v>
      </c>
      <c r="T156" s="4" t="s">
        <v>28</v>
      </c>
      <c r="U156" s="43" t="s">
        <v>29</v>
      </c>
    </row>
    <row r="157" spans="1:21" hidden="1" x14ac:dyDescent="0.3">
      <c r="A157" s="4" t="s">
        <v>21</v>
      </c>
      <c r="B157" s="40">
        <v>45617</v>
      </c>
      <c r="C157" s="5" t="s">
        <v>68</v>
      </c>
      <c r="D157" s="17">
        <v>1066</v>
      </c>
      <c r="E157" s="17" t="s">
        <v>203</v>
      </c>
      <c r="F157" s="17" t="s">
        <v>181</v>
      </c>
      <c r="G157" s="4" t="s">
        <v>179</v>
      </c>
      <c r="H157" s="4" t="s">
        <v>46</v>
      </c>
      <c r="I157" s="17">
        <v>16</v>
      </c>
      <c r="J157" s="15">
        <v>36.75</v>
      </c>
      <c r="K157" s="16">
        <f t="shared" si="8"/>
        <v>588</v>
      </c>
      <c r="L157" s="40">
        <v>45638</v>
      </c>
      <c r="M157" s="9" t="str">
        <f t="shared" ca="1" si="9"/>
        <v>ATRASO</v>
      </c>
      <c r="N157" s="5">
        <v>45636</v>
      </c>
      <c r="O157" s="4" t="s">
        <v>28</v>
      </c>
      <c r="P157" s="4" t="s">
        <v>28</v>
      </c>
      <c r="Q157" s="4" t="s">
        <v>28</v>
      </c>
      <c r="R157" s="4" t="s">
        <v>28</v>
      </c>
      <c r="S157" s="4" t="s">
        <v>28</v>
      </c>
      <c r="T157" s="4" t="s">
        <v>28</v>
      </c>
      <c r="U157" s="43" t="s">
        <v>29</v>
      </c>
    </row>
    <row r="158" spans="1:21" hidden="1" x14ac:dyDescent="0.3">
      <c r="A158" s="4" t="s">
        <v>21</v>
      </c>
      <c r="B158" s="40">
        <v>45608</v>
      </c>
      <c r="C158" s="5" t="s">
        <v>68</v>
      </c>
      <c r="D158" s="17">
        <v>1065</v>
      </c>
      <c r="E158" s="17" t="s">
        <v>205</v>
      </c>
      <c r="F158" s="17" t="s">
        <v>182</v>
      </c>
      <c r="G158" s="4" t="s">
        <v>74</v>
      </c>
      <c r="H158" s="4" t="s">
        <v>46</v>
      </c>
      <c r="I158" s="17">
        <v>6</v>
      </c>
      <c r="J158" s="15">
        <v>36.75</v>
      </c>
      <c r="K158" s="16">
        <f t="shared" si="8"/>
        <v>220.5</v>
      </c>
      <c r="L158" s="40">
        <v>45637</v>
      </c>
      <c r="M158" s="9" t="str">
        <f t="shared" ca="1" si="9"/>
        <v>ATRASO</v>
      </c>
      <c r="N158" s="5">
        <v>45636</v>
      </c>
      <c r="O158" s="4" t="s">
        <v>28</v>
      </c>
      <c r="P158" s="4" t="s">
        <v>28</v>
      </c>
      <c r="Q158" s="4" t="s">
        <v>28</v>
      </c>
      <c r="R158" s="4" t="s">
        <v>28</v>
      </c>
      <c r="S158" s="4" t="s">
        <v>28</v>
      </c>
      <c r="T158" s="4" t="s">
        <v>28</v>
      </c>
      <c r="U158" s="43" t="s">
        <v>29</v>
      </c>
    </row>
    <row r="159" spans="1:21" hidden="1" x14ac:dyDescent="0.3">
      <c r="A159" s="4" t="s">
        <v>21</v>
      </c>
      <c r="B159" s="40">
        <v>45608</v>
      </c>
      <c r="C159" s="5" t="s">
        <v>68</v>
      </c>
      <c r="D159" s="17">
        <v>1065</v>
      </c>
      <c r="E159" s="17" t="s">
        <v>205</v>
      </c>
      <c r="F159" s="17" t="s">
        <v>195</v>
      </c>
      <c r="G159" s="4" t="s">
        <v>74</v>
      </c>
      <c r="H159" s="4" t="s">
        <v>46</v>
      </c>
      <c r="I159" s="17">
        <v>4</v>
      </c>
      <c r="J159" s="15">
        <v>36.75</v>
      </c>
      <c r="K159" s="16">
        <f t="shared" si="8"/>
        <v>147</v>
      </c>
      <c r="L159" s="40">
        <v>45637</v>
      </c>
      <c r="M159" s="9" t="str">
        <f t="shared" ca="1" si="9"/>
        <v>ATRASO</v>
      </c>
      <c r="N159" s="5">
        <v>45636</v>
      </c>
      <c r="O159" s="4" t="s">
        <v>28</v>
      </c>
      <c r="P159" s="4" t="s">
        <v>28</v>
      </c>
      <c r="Q159" s="4" t="s">
        <v>28</v>
      </c>
      <c r="R159" s="4" t="s">
        <v>28</v>
      </c>
      <c r="S159" s="4" t="s">
        <v>28</v>
      </c>
      <c r="T159" s="4" t="s">
        <v>28</v>
      </c>
      <c r="U159" s="43" t="s">
        <v>29</v>
      </c>
    </row>
    <row r="160" spans="1:21" hidden="1" x14ac:dyDescent="0.3">
      <c r="A160" s="4" t="s">
        <v>21</v>
      </c>
      <c r="B160" s="40">
        <v>45608</v>
      </c>
      <c r="C160" s="5" t="s">
        <v>68</v>
      </c>
      <c r="D160" s="17">
        <v>1065</v>
      </c>
      <c r="E160" s="17" t="s">
        <v>205</v>
      </c>
      <c r="F160" s="17" t="s">
        <v>206</v>
      </c>
      <c r="G160" s="4" t="s">
        <v>190</v>
      </c>
      <c r="H160" s="4" t="s">
        <v>46</v>
      </c>
      <c r="I160" s="17">
        <v>8</v>
      </c>
      <c r="J160" s="15">
        <v>65</v>
      </c>
      <c r="K160" s="16">
        <f t="shared" si="8"/>
        <v>520</v>
      </c>
      <c r="L160" s="40">
        <v>45637</v>
      </c>
      <c r="M160" s="9" t="str">
        <f t="shared" ca="1" si="9"/>
        <v>ATRASO</v>
      </c>
      <c r="N160" s="5">
        <v>45636</v>
      </c>
      <c r="O160" s="4" t="s">
        <v>28</v>
      </c>
      <c r="P160" s="4" t="s">
        <v>28</v>
      </c>
      <c r="Q160" s="4" t="s">
        <v>28</v>
      </c>
      <c r="R160" s="4" t="s">
        <v>28</v>
      </c>
      <c r="S160" s="4" t="s">
        <v>28</v>
      </c>
      <c r="T160" s="4" t="s">
        <v>28</v>
      </c>
      <c r="U160" s="43" t="s">
        <v>29</v>
      </c>
    </row>
    <row r="161" spans="1:21" hidden="1" x14ac:dyDescent="0.3">
      <c r="A161" s="4" t="s">
        <v>21</v>
      </c>
      <c r="B161" s="40">
        <v>45608</v>
      </c>
      <c r="C161" s="5" t="s">
        <v>68</v>
      </c>
      <c r="D161" s="17">
        <v>1065</v>
      </c>
      <c r="E161" s="17" t="s">
        <v>205</v>
      </c>
      <c r="F161" s="17" t="s">
        <v>192</v>
      </c>
      <c r="G161" s="4" t="s">
        <v>51</v>
      </c>
      <c r="H161" s="4" t="s">
        <v>46</v>
      </c>
      <c r="I161" s="17">
        <v>6</v>
      </c>
      <c r="J161" s="15">
        <v>25</v>
      </c>
      <c r="K161" s="16">
        <f t="shared" si="8"/>
        <v>150</v>
      </c>
      <c r="L161" s="40">
        <v>45637</v>
      </c>
      <c r="M161" s="9" t="str">
        <f t="shared" ca="1" si="9"/>
        <v>ATRASO</v>
      </c>
      <c r="N161" s="5">
        <v>45636</v>
      </c>
      <c r="O161" s="4" t="s">
        <v>28</v>
      </c>
      <c r="P161" s="4" t="s">
        <v>28</v>
      </c>
      <c r="Q161" s="4" t="s">
        <v>28</v>
      </c>
      <c r="R161" s="4" t="s">
        <v>28</v>
      </c>
      <c r="S161" s="4" t="s">
        <v>28</v>
      </c>
      <c r="T161" s="4" t="s">
        <v>28</v>
      </c>
      <c r="U161" s="43" t="s">
        <v>29</v>
      </c>
    </row>
    <row r="162" spans="1:21" hidden="1" x14ac:dyDescent="0.3">
      <c r="A162" s="4" t="s">
        <v>21</v>
      </c>
      <c r="B162" s="40">
        <v>45567</v>
      </c>
      <c r="C162" s="5" t="s">
        <v>22</v>
      </c>
      <c r="D162" s="17">
        <v>611</v>
      </c>
      <c r="E162" s="17" t="s">
        <v>71</v>
      </c>
      <c r="F162" s="17" t="s">
        <v>64</v>
      </c>
      <c r="G162" s="4" t="s">
        <v>60</v>
      </c>
      <c r="H162" s="4" t="s">
        <v>61</v>
      </c>
      <c r="I162" s="17">
        <v>1500</v>
      </c>
      <c r="J162" s="15">
        <v>7.8</v>
      </c>
      <c r="K162" s="16">
        <f t="shared" si="8"/>
        <v>11700</v>
      </c>
      <c r="L162" s="40">
        <v>45583</v>
      </c>
      <c r="M162" s="9" t="str">
        <f t="shared" ca="1" si="9"/>
        <v>ATRASO</v>
      </c>
      <c r="N162" s="5">
        <v>45583</v>
      </c>
      <c r="O162" s="4" t="s">
        <v>28</v>
      </c>
      <c r="P162" s="4" t="s">
        <v>28</v>
      </c>
      <c r="Q162" s="4" t="s">
        <v>28</v>
      </c>
      <c r="R162" s="4" t="s">
        <v>28</v>
      </c>
      <c r="S162" s="4" t="s">
        <v>28</v>
      </c>
      <c r="T162" s="4" t="s">
        <v>28</v>
      </c>
      <c r="U162" s="44" t="s">
        <v>29</v>
      </c>
    </row>
    <row r="163" spans="1:21" hidden="1" x14ac:dyDescent="0.3">
      <c r="A163" s="4" t="s">
        <v>21</v>
      </c>
      <c r="B163" s="40">
        <v>45621</v>
      </c>
      <c r="C163" s="5" t="s">
        <v>98</v>
      </c>
      <c r="D163" s="17">
        <v>635</v>
      </c>
      <c r="E163" s="17" t="s">
        <v>117</v>
      </c>
      <c r="F163" s="17" t="s">
        <v>207</v>
      </c>
      <c r="G163" s="4" t="s">
        <v>60</v>
      </c>
      <c r="H163" s="4" t="s">
        <v>61</v>
      </c>
      <c r="I163" s="17">
        <v>300</v>
      </c>
      <c r="J163" s="15">
        <v>23</v>
      </c>
      <c r="K163" s="16">
        <f t="shared" si="8"/>
        <v>6900</v>
      </c>
      <c r="L163" s="40">
        <v>45635</v>
      </c>
      <c r="M163" s="9" t="str">
        <f t="shared" ca="1" si="9"/>
        <v>ATRASO</v>
      </c>
      <c r="N163" s="5"/>
      <c r="O163" s="4" t="s">
        <v>28</v>
      </c>
      <c r="P163" s="4" t="s">
        <v>28</v>
      </c>
      <c r="Q163" s="4" t="s">
        <v>28</v>
      </c>
      <c r="R163" s="4" t="s">
        <v>28</v>
      </c>
      <c r="S163" s="4" t="s">
        <v>28</v>
      </c>
      <c r="T163" s="4" t="s">
        <v>28</v>
      </c>
      <c r="U163" s="44" t="s">
        <v>29</v>
      </c>
    </row>
    <row r="164" spans="1:21" x14ac:dyDescent="0.3">
      <c r="A164" s="4" t="s">
        <v>21</v>
      </c>
      <c r="B164" s="40">
        <v>45624</v>
      </c>
      <c r="C164" s="5" t="s">
        <v>98</v>
      </c>
      <c r="D164" s="17">
        <v>1074</v>
      </c>
      <c r="E164" s="17" t="s">
        <v>99</v>
      </c>
      <c r="F164" s="17" t="s">
        <v>208</v>
      </c>
      <c r="G164" s="4" t="s">
        <v>154</v>
      </c>
      <c r="H164" s="4" t="s">
        <v>46</v>
      </c>
      <c r="I164" s="4">
        <v>100</v>
      </c>
      <c r="J164" s="15">
        <v>11</v>
      </c>
      <c r="K164" s="16">
        <f t="shared" ref="K164:K181" si="10">I164*J164</f>
        <v>1100</v>
      </c>
      <c r="L164" s="5">
        <v>45643</v>
      </c>
      <c r="M164" s="45" t="str">
        <f t="shared" ref="M164:M181" ca="1" si="11">IF(L164&lt;TODAY(),"ATRASO","EM PRODUÇÃO")</f>
        <v>ATRASO</v>
      </c>
      <c r="N164" s="5"/>
      <c r="O164" s="4" t="s">
        <v>28</v>
      </c>
      <c r="P164" s="4" t="s">
        <v>28</v>
      </c>
      <c r="Q164" s="4" t="s">
        <v>28</v>
      </c>
      <c r="R164" s="4"/>
      <c r="S164" s="4"/>
      <c r="T164" s="4"/>
      <c r="U164" s="4"/>
    </row>
    <row r="165" spans="1:21" hidden="1" x14ac:dyDescent="0.3">
      <c r="A165" s="4" t="s">
        <v>21</v>
      </c>
      <c r="B165" s="5">
        <v>45618</v>
      </c>
      <c r="C165" s="5" t="s">
        <v>22</v>
      </c>
      <c r="D165" s="4">
        <v>220</v>
      </c>
      <c r="E165" s="4" t="s">
        <v>209</v>
      </c>
      <c r="F165" s="4" t="s">
        <v>66</v>
      </c>
      <c r="G165" s="4" t="s">
        <v>51</v>
      </c>
      <c r="H165" s="4" t="s">
        <v>26</v>
      </c>
      <c r="I165" s="4">
        <v>100</v>
      </c>
      <c r="J165" s="6">
        <v>16.899999999999999</v>
      </c>
      <c r="K165" s="6">
        <f t="shared" si="10"/>
        <v>1689.9999999999998</v>
      </c>
      <c r="L165" s="5">
        <v>45646</v>
      </c>
      <c r="M165" s="9" t="str">
        <f t="shared" ca="1" si="11"/>
        <v>ATRASO</v>
      </c>
      <c r="N165" s="5">
        <v>45646</v>
      </c>
      <c r="O165" s="4" t="s">
        <v>28</v>
      </c>
      <c r="P165" s="4" t="s">
        <v>28</v>
      </c>
      <c r="Q165" s="4" t="s">
        <v>28</v>
      </c>
      <c r="R165" s="4" t="s">
        <v>28</v>
      </c>
      <c r="S165" s="4" t="s">
        <v>28</v>
      </c>
      <c r="T165" s="4" t="s">
        <v>28</v>
      </c>
      <c r="U165" s="4" t="s">
        <v>29</v>
      </c>
    </row>
    <row r="166" spans="1:21" x14ac:dyDescent="0.3">
      <c r="A166" s="17" t="s">
        <v>21</v>
      </c>
      <c r="B166" s="40">
        <v>45618</v>
      </c>
      <c r="C166" s="40" t="s">
        <v>22</v>
      </c>
      <c r="D166" s="17">
        <v>219</v>
      </c>
      <c r="E166" s="17" t="s">
        <v>210</v>
      </c>
      <c r="F166" s="17" t="s">
        <v>48</v>
      </c>
      <c r="G166" s="17" t="s">
        <v>36</v>
      </c>
      <c r="H166" s="17" t="s">
        <v>46</v>
      </c>
      <c r="I166" s="4">
        <v>119</v>
      </c>
      <c r="J166" s="15">
        <v>24.5</v>
      </c>
      <c r="K166" s="15">
        <f t="shared" si="10"/>
        <v>2915.5</v>
      </c>
      <c r="L166" s="5">
        <v>45645</v>
      </c>
      <c r="M166" s="46" t="str">
        <f t="shared" ca="1" si="11"/>
        <v>ATRASO</v>
      </c>
      <c r="N166" s="17"/>
      <c r="O166" s="17" t="s">
        <v>28</v>
      </c>
      <c r="P166" s="17" t="s">
        <v>28</v>
      </c>
      <c r="Q166" s="17"/>
      <c r="R166" s="17"/>
      <c r="S166" s="17"/>
      <c r="T166" s="17"/>
      <c r="U166" s="47"/>
    </row>
    <row r="167" spans="1:21" x14ac:dyDescent="0.3">
      <c r="A167" s="4" t="s">
        <v>21</v>
      </c>
      <c r="B167" s="40">
        <v>45623</v>
      </c>
      <c r="C167" s="5" t="s">
        <v>22</v>
      </c>
      <c r="D167" s="17">
        <v>221</v>
      </c>
      <c r="E167" s="4" t="s">
        <v>210</v>
      </c>
      <c r="F167" s="4" t="s">
        <v>211</v>
      </c>
      <c r="G167" s="4" t="s">
        <v>74</v>
      </c>
      <c r="H167" s="4" t="s">
        <v>46</v>
      </c>
      <c r="I167" s="4">
        <v>8</v>
      </c>
      <c r="J167" s="15">
        <v>24.5</v>
      </c>
      <c r="K167" s="16">
        <f t="shared" si="10"/>
        <v>196</v>
      </c>
      <c r="L167" s="5">
        <v>45645</v>
      </c>
      <c r="M167" s="9" t="str">
        <f t="shared" ca="1" si="11"/>
        <v>ATRASO</v>
      </c>
      <c r="N167" s="5"/>
      <c r="O167" s="4" t="s">
        <v>28</v>
      </c>
      <c r="P167" s="4" t="s">
        <v>28</v>
      </c>
      <c r="Q167" s="4"/>
      <c r="R167" s="4"/>
      <c r="S167" s="4"/>
      <c r="T167" s="4"/>
      <c r="U167" s="43"/>
    </row>
    <row r="168" spans="1:21" x14ac:dyDescent="0.3">
      <c r="A168" s="4" t="s">
        <v>21</v>
      </c>
      <c r="B168" s="40">
        <v>45645</v>
      </c>
      <c r="C168" s="5" t="s">
        <v>98</v>
      </c>
      <c r="D168" s="17">
        <v>1079</v>
      </c>
      <c r="E168" s="17" t="s">
        <v>142</v>
      </c>
      <c r="F168" s="17" t="s">
        <v>94</v>
      </c>
      <c r="G168" s="4" t="s">
        <v>95</v>
      </c>
      <c r="H168" s="4" t="s">
        <v>46</v>
      </c>
      <c r="I168" s="4">
        <v>500</v>
      </c>
      <c r="J168" s="15">
        <v>3.15</v>
      </c>
      <c r="K168" s="16">
        <f t="shared" si="10"/>
        <v>1575</v>
      </c>
      <c r="L168" s="5">
        <v>45645</v>
      </c>
      <c r="M168" s="9" t="str">
        <f t="shared" ca="1" si="11"/>
        <v>ATRASO</v>
      </c>
      <c r="N168" s="5"/>
      <c r="O168" s="4"/>
      <c r="P168" s="4"/>
      <c r="Q168" s="4"/>
      <c r="R168" s="4"/>
      <c r="S168" s="4"/>
      <c r="T168" s="4"/>
      <c r="U168" s="43"/>
    </row>
    <row r="169" spans="1:21" x14ac:dyDescent="0.3">
      <c r="A169" s="4" t="s">
        <v>21</v>
      </c>
      <c r="B169" s="40">
        <v>45632</v>
      </c>
      <c r="C169" s="5" t="s">
        <v>68</v>
      </c>
      <c r="D169" s="17">
        <v>1082</v>
      </c>
      <c r="E169" s="17" t="s">
        <v>212</v>
      </c>
      <c r="F169" s="17" t="s">
        <v>213</v>
      </c>
      <c r="G169" s="4" t="s">
        <v>51</v>
      </c>
      <c r="H169" s="4" t="s">
        <v>46</v>
      </c>
      <c r="I169" s="4">
        <v>40</v>
      </c>
      <c r="J169" s="15">
        <v>25</v>
      </c>
      <c r="K169" s="16">
        <f t="shared" si="10"/>
        <v>1000</v>
      </c>
      <c r="L169" s="5">
        <v>45659</v>
      </c>
      <c r="M169" s="9" t="str">
        <f t="shared" ca="1" si="11"/>
        <v>ATRASO</v>
      </c>
      <c r="N169" s="5"/>
      <c r="O169" s="4"/>
      <c r="P169" s="4"/>
      <c r="Q169" s="4"/>
      <c r="R169" s="4"/>
      <c r="S169" s="4"/>
      <c r="T169" s="4"/>
      <c r="U169" s="43"/>
    </row>
    <row r="170" spans="1:21" hidden="1" x14ac:dyDescent="0.3">
      <c r="A170" s="4" t="s">
        <v>21</v>
      </c>
      <c r="B170" s="5">
        <v>45618</v>
      </c>
      <c r="C170" s="5" t="s">
        <v>22</v>
      </c>
      <c r="D170" s="4">
        <v>220</v>
      </c>
      <c r="E170" s="4" t="s">
        <v>209</v>
      </c>
      <c r="F170" s="4" t="s">
        <v>214</v>
      </c>
      <c r="G170" s="4" t="s">
        <v>51</v>
      </c>
      <c r="H170" s="4" t="s">
        <v>61</v>
      </c>
      <c r="I170" s="4">
        <v>10</v>
      </c>
      <c r="J170" s="6">
        <v>100</v>
      </c>
      <c r="K170" s="6">
        <f t="shared" si="10"/>
        <v>1000</v>
      </c>
      <c r="L170" s="5">
        <v>45646</v>
      </c>
      <c r="M170" s="9" t="str">
        <f t="shared" ca="1" si="11"/>
        <v>ATRASO</v>
      </c>
      <c r="N170" s="5">
        <v>45646</v>
      </c>
      <c r="O170" s="4" t="s">
        <v>28</v>
      </c>
      <c r="P170" s="4" t="s">
        <v>28</v>
      </c>
      <c r="Q170" s="4" t="s">
        <v>28</v>
      </c>
      <c r="R170" s="4" t="s">
        <v>28</v>
      </c>
      <c r="S170" s="4" t="s">
        <v>28</v>
      </c>
      <c r="T170" s="4" t="s">
        <v>28</v>
      </c>
      <c r="U170" s="4" t="s">
        <v>29</v>
      </c>
    </row>
    <row r="171" spans="1:21" x14ac:dyDescent="0.3">
      <c r="A171" s="4" t="s">
        <v>21</v>
      </c>
      <c r="B171" s="40">
        <v>45633</v>
      </c>
      <c r="C171" s="5" t="s">
        <v>68</v>
      </c>
      <c r="D171" s="17">
        <v>1082</v>
      </c>
      <c r="E171" s="17" t="s">
        <v>212</v>
      </c>
      <c r="F171" s="17" t="s">
        <v>215</v>
      </c>
      <c r="G171" s="4" t="s">
        <v>74</v>
      </c>
      <c r="H171" s="4" t="s">
        <v>46</v>
      </c>
      <c r="I171" s="4">
        <f>10+25+25+15</f>
        <v>75</v>
      </c>
      <c r="J171" s="15">
        <v>36.75</v>
      </c>
      <c r="K171" s="16">
        <f t="shared" si="10"/>
        <v>2756.25</v>
      </c>
      <c r="L171" s="5">
        <v>45659</v>
      </c>
      <c r="M171" s="9" t="str">
        <f t="shared" ca="1" si="11"/>
        <v>ATRASO</v>
      </c>
      <c r="N171" s="5"/>
      <c r="O171" s="4"/>
      <c r="P171" s="4"/>
      <c r="Q171" s="4"/>
      <c r="R171" s="4"/>
      <c r="S171" s="4"/>
      <c r="T171" s="4"/>
      <c r="U171" s="43"/>
    </row>
    <row r="172" spans="1:21" x14ac:dyDescent="0.3">
      <c r="A172" s="4" t="s">
        <v>21</v>
      </c>
      <c r="B172" s="40">
        <v>45631</v>
      </c>
      <c r="C172" s="5" t="s">
        <v>216</v>
      </c>
      <c r="D172" s="17">
        <v>649</v>
      </c>
      <c r="E172" s="17" t="s">
        <v>217</v>
      </c>
      <c r="F172" s="17" t="s">
        <v>218</v>
      </c>
      <c r="G172" s="4" t="s">
        <v>74</v>
      </c>
      <c r="H172" s="4" t="s">
        <v>46</v>
      </c>
      <c r="I172" s="4">
        <v>105</v>
      </c>
      <c r="J172" s="15">
        <v>26.5</v>
      </c>
      <c r="K172" s="16">
        <f t="shared" si="10"/>
        <v>2782.5</v>
      </c>
      <c r="L172" s="5">
        <v>45664</v>
      </c>
      <c r="M172" s="9" t="str">
        <f t="shared" ca="1" si="11"/>
        <v>ATRASO</v>
      </c>
      <c r="N172" s="5"/>
      <c r="O172" s="4" t="s">
        <v>28</v>
      </c>
      <c r="P172" s="4" t="s">
        <v>28</v>
      </c>
      <c r="Q172" s="4" t="s">
        <v>28</v>
      </c>
      <c r="R172" s="4"/>
      <c r="S172" s="4"/>
      <c r="T172" s="4"/>
      <c r="U172" s="43"/>
    </row>
    <row r="173" spans="1:21" x14ac:dyDescent="0.3">
      <c r="A173" s="4" t="s">
        <v>21</v>
      </c>
      <c r="B173" s="40">
        <v>45632</v>
      </c>
      <c r="C173" s="5" t="s">
        <v>22</v>
      </c>
      <c r="D173" s="17">
        <v>650</v>
      </c>
      <c r="E173" s="17" t="s">
        <v>219</v>
      </c>
      <c r="F173" s="17" t="s">
        <v>103</v>
      </c>
      <c r="G173" s="4" t="s">
        <v>25</v>
      </c>
      <c r="H173" s="4" t="s">
        <v>46</v>
      </c>
      <c r="I173" s="4">
        <v>50</v>
      </c>
      <c r="J173" s="15">
        <v>26</v>
      </c>
      <c r="K173" s="16">
        <f t="shared" si="10"/>
        <v>1300</v>
      </c>
      <c r="L173" s="5">
        <v>45665</v>
      </c>
      <c r="M173" s="9" t="str">
        <f t="shared" ca="1" si="11"/>
        <v>ATRASO</v>
      </c>
      <c r="N173" s="5"/>
      <c r="O173" s="4" t="s">
        <v>28</v>
      </c>
      <c r="P173" s="4" t="s">
        <v>28</v>
      </c>
      <c r="Q173" s="4" t="s">
        <v>28</v>
      </c>
      <c r="R173" s="4" t="s">
        <v>28</v>
      </c>
      <c r="S173" s="4" t="s">
        <v>28</v>
      </c>
      <c r="T173" s="4"/>
      <c r="U173" s="43"/>
    </row>
    <row r="174" spans="1:21" x14ac:dyDescent="0.3">
      <c r="A174" s="4" t="s">
        <v>21</v>
      </c>
      <c r="B174" s="40">
        <v>45632</v>
      </c>
      <c r="C174" s="5" t="s">
        <v>22</v>
      </c>
      <c r="D174" s="17">
        <v>650</v>
      </c>
      <c r="E174" s="17" t="s">
        <v>219</v>
      </c>
      <c r="F174" s="17" t="s">
        <v>161</v>
      </c>
      <c r="G174" s="4" t="s">
        <v>51</v>
      </c>
      <c r="H174" s="4" t="s">
        <v>46</v>
      </c>
      <c r="I174" s="4">
        <v>50</v>
      </c>
      <c r="J174" s="15">
        <v>18</v>
      </c>
      <c r="K174" s="16">
        <f t="shared" si="10"/>
        <v>900</v>
      </c>
      <c r="L174" s="5">
        <v>45665</v>
      </c>
      <c r="M174" s="9" t="str">
        <f t="shared" ca="1" si="11"/>
        <v>ATRASO</v>
      </c>
      <c r="N174" s="5"/>
      <c r="O174" s="4" t="s">
        <v>28</v>
      </c>
      <c r="P174" s="4" t="s">
        <v>28</v>
      </c>
      <c r="Q174" s="4" t="s">
        <v>28</v>
      </c>
      <c r="R174" s="4" t="s">
        <v>28</v>
      </c>
      <c r="S174" s="4" t="s">
        <v>28</v>
      </c>
      <c r="T174" s="4"/>
      <c r="U174" s="43"/>
    </row>
    <row r="175" spans="1:21" x14ac:dyDescent="0.3">
      <c r="A175" s="4" t="s">
        <v>21</v>
      </c>
      <c r="B175" s="40">
        <v>45301</v>
      </c>
      <c r="C175" s="5" t="s">
        <v>98</v>
      </c>
      <c r="D175" s="17">
        <v>651</v>
      </c>
      <c r="E175" s="17" t="s">
        <v>220</v>
      </c>
      <c r="F175" s="17" t="s">
        <v>221</v>
      </c>
      <c r="G175" s="4" t="s">
        <v>60</v>
      </c>
      <c r="H175" s="4" t="s">
        <v>61</v>
      </c>
      <c r="I175" s="4">
        <v>2000</v>
      </c>
      <c r="J175" s="15">
        <v>12.65</v>
      </c>
      <c r="K175" s="16">
        <f t="shared" si="10"/>
        <v>25300</v>
      </c>
      <c r="L175" s="5">
        <v>45667</v>
      </c>
      <c r="M175" s="9" t="str">
        <f t="shared" ca="1" si="11"/>
        <v>ATRASO</v>
      </c>
      <c r="N175" s="5"/>
      <c r="O175" s="4"/>
      <c r="P175" s="4"/>
      <c r="Q175" s="4"/>
      <c r="R175" s="4"/>
      <c r="S175" s="4"/>
      <c r="T175" s="4"/>
      <c r="U175" s="43"/>
    </row>
    <row r="176" spans="1:21" x14ac:dyDescent="0.3">
      <c r="A176" s="4" t="s">
        <v>21</v>
      </c>
      <c r="B176" s="40">
        <v>45301</v>
      </c>
      <c r="C176" s="5" t="s">
        <v>98</v>
      </c>
      <c r="D176" s="17">
        <v>651</v>
      </c>
      <c r="E176" s="17" t="s">
        <v>220</v>
      </c>
      <c r="F176" s="17" t="s">
        <v>222</v>
      </c>
      <c r="G176" s="4" t="s">
        <v>60</v>
      </c>
      <c r="H176" s="4" t="s">
        <v>61</v>
      </c>
      <c r="I176" s="4">
        <v>2000</v>
      </c>
      <c r="J176" s="15">
        <v>12.65</v>
      </c>
      <c r="K176" s="16">
        <f t="shared" si="10"/>
        <v>25300</v>
      </c>
      <c r="L176" s="5">
        <v>45667</v>
      </c>
      <c r="M176" s="9" t="str">
        <f t="shared" ca="1" si="11"/>
        <v>ATRASO</v>
      </c>
      <c r="N176" s="5"/>
      <c r="O176" s="4"/>
      <c r="P176" s="4"/>
      <c r="Q176" s="4"/>
      <c r="R176" s="4"/>
      <c r="S176" s="4"/>
      <c r="T176" s="4"/>
      <c r="U176" s="43"/>
    </row>
    <row r="177" spans="1:21" x14ac:dyDescent="0.3">
      <c r="A177" s="4" t="s">
        <v>21</v>
      </c>
      <c r="B177" s="40">
        <v>45637</v>
      </c>
      <c r="C177" s="5" t="s">
        <v>98</v>
      </c>
      <c r="D177" s="17">
        <v>654</v>
      </c>
      <c r="E177" s="4" t="s">
        <v>146</v>
      </c>
      <c r="F177" s="17" t="s">
        <v>223</v>
      </c>
      <c r="G177" s="4" t="s">
        <v>95</v>
      </c>
      <c r="H177" s="4" t="s">
        <v>46</v>
      </c>
      <c r="I177" s="4">
        <v>200</v>
      </c>
      <c r="J177" s="15">
        <v>15.5</v>
      </c>
      <c r="K177" s="16">
        <f t="shared" si="10"/>
        <v>3100</v>
      </c>
      <c r="L177" s="5">
        <v>45671</v>
      </c>
      <c r="M177" s="9" t="str">
        <f t="shared" ca="1" si="11"/>
        <v>ATRASO</v>
      </c>
      <c r="N177" s="5"/>
      <c r="O177" s="4" t="s">
        <v>28</v>
      </c>
      <c r="P177" s="4" t="s">
        <v>28</v>
      </c>
      <c r="Q177" s="4" t="s">
        <v>28</v>
      </c>
      <c r="R177" s="4"/>
      <c r="S177" s="4"/>
      <c r="T177" s="4"/>
      <c r="U177" s="43"/>
    </row>
    <row r="178" spans="1:21" x14ac:dyDescent="0.3">
      <c r="A178" s="4" t="s">
        <v>21</v>
      </c>
      <c r="B178" s="40">
        <v>45305</v>
      </c>
      <c r="C178" s="5" t="s">
        <v>33</v>
      </c>
      <c r="D178" s="17">
        <v>653</v>
      </c>
      <c r="E178" s="17" t="s">
        <v>129</v>
      </c>
      <c r="F178" s="41" t="s">
        <v>224</v>
      </c>
      <c r="G178" s="4" t="s">
        <v>51</v>
      </c>
      <c r="H178" s="4" t="s">
        <v>46</v>
      </c>
      <c r="I178" s="4">
        <v>200</v>
      </c>
      <c r="J178" s="15">
        <v>21.5</v>
      </c>
      <c r="K178" s="16">
        <f t="shared" si="10"/>
        <v>4300</v>
      </c>
      <c r="L178" s="5">
        <v>45671</v>
      </c>
      <c r="M178" s="9" t="str">
        <f t="shared" ca="1" si="11"/>
        <v>ATRASO</v>
      </c>
      <c r="N178" s="5"/>
      <c r="O178" s="4"/>
      <c r="P178" s="4"/>
      <c r="Q178" s="4"/>
      <c r="R178" s="4"/>
      <c r="S178" s="4"/>
      <c r="T178" s="4"/>
      <c r="U178" s="43"/>
    </row>
    <row r="179" spans="1:21" x14ac:dyDescent="0.3">
      <c r="A179" s="4" t="s">
        <v>21</v>
      </c>
      <c r="B179" s="40">
        <v>45641</v>
      </c>
      <c r="C179" s="5" t="s">
        <v>33</v>
      </c>
      <c r="D179" s="17">
        <v>1080</v>
      </c>
      <c r="E179" s="17" t="s">
        <v>91</v>
      </c>
      <c r="F179" s="41" t="s">
        <v>225</v>
      </c>
      <c r="G179" s="4" t="s">
        <v>51</v>
      </c>
      <c r="H179" s="4" t="s">
        <v>46</v>
      </c>
      <c r="I179" s="4">
        <v>2500</v>
      </c>
      <c r="J179" s="15">
        <v>23.5</v>
      </c>
      <c r="K179" s="16">
        <f t="shared" si="10"/>
        <v>58750</v>
      </c>
      <c r="L179" s="5">
        <v>45672</v>
      </c>
      <c r="M179" s="9" t="str">
        <f t="shared" ca="1" si="11"/>
        <v>ATRASO</v>
      </c>
      <c r="N179" s="5"/>
      <c r="O179" s="4"/>
      <c r="P179" s="4"/>
      <c r="Q179" s="4"/>
      <c r="R179" s="4"/>
      <c r="S179" s="4"/>
      <c r="T179" s="4"/>
      <c r="U179" s="43"/>
    </row>
    <row r="180" spans="1:21" x14ac:dyDescent="0.3">
      <c r="A180" s="4" t="s">
        <v>21</v>
      </c>
      <c r="B180" s="40">
        <v>45637</v>
      </c>
      <c r="C180" s="5" t="s">
        <v>98</v>
      </c>
      <c r="D180" s="17">
        <v>655</v>
      </c>
      <c r="E180" s="17" t="s">
        <v>117</v>
      </c>
      <c r="F180" s="17" t="s">
        <v>207</v>
      </c>
      <c r="G180" s="4" t="s">
        <v>60</v>
      </c>
      <c r="H180" s="4" t="s">
        <v>61</v>
      </c>
      <c r="I180" s="4">
        <v>300</v>
      </c>
      <c r="J180" s="15">
        <v>23</v>
      </c>
      <c r="K180" s="16">
        <f t="shared" si="10"/>
        <v>6900</v>
      </c>
      <c r="L180" s="5">
        <v>45672</v>
      </c>
      <c r="M180" s="9" t="str">
        <f t="shared" ca="1" si="11"/>
        <v>ATRASO</v>
      </c>
      <c r="N180" s="5"/>
      <c r="O180" s="4"/>
      <c r="P180" s="4"/>
      <c r="Q180" s="4"/>
      <c r="R180" s="4"/>
      <c r="S180" s="4"/>
      <c r="T180" s="4"/>
      <c r="U180" s="43"/>
    </row>
    <row r="181" spans="1:21" hidden="1" x14ac:dyDescent="0.3">
      <c r="A181" s="4" t="s">
        <v>21</v>
      </c>
      <c r="B181" s="40">
        <v>45608</v>
      </c>
      <c r="C181" s="5" t="s">
        <v>68</v>
      </c>
      <c r="D181" s="17">
        <v>1065</v>
      </c>
      <c r="E181" s="17" t="s">
        <v>205</v>
      </c>
      <c r="F181" s="17" t="s">
        <v>191</v>
      </c>
      <c r="G181" s="4" t="s">
        <v>80</v>
      </c>
      <c r="H181" s="4" t="s">
        <v>46</v>
      </c>
      <c r="I181" s="17">
        <v>8</v>
      </c>
      <c r="J181" s="15">
        <v>21</v>
      </c>
      <c r="K181" s="16">
        <f t="shared" si="10"/>
        <v>168</v>
      </c>
      <c r="L181" s="40">
        <v>45637</v>
      </c>
      <c r="M181" s="9" t="str">
        <f t="shared" ca="1" si="11"/>
        <v>ATRASO</v>
      </c>
      <c r="N181" s="5">
        <v>45636</v>
      </c>
      <c r="O181" s="4" t="s">
        <v>28</v>
      </c>
      <c r="P181" s="4" t="s">
        <v>28</v>
      </c>
      <c r="Q181" s="4" t="s">
        <v>28</v>
      </c>
      <c r="R181" s="4" t="s">
        <v>28</v>
      </c>
      <c r="S181" s="4" t="s">
        <v>28</v>
      </c>
      <c r="T181" s="4" t="s">
        <v>28</v>
      </c>
      <c r="U181" s="43" t="s">
        <v>29</v>
      </c>
    </row>
    <row r="182" spans="1:21" ht="23.4" x14ac:dyDescent="0.45">
      <c r="I182" s="37">
        <f>SUBTOTAL(9,I68:I181)</f>
        <v>8497</v>
      </c>
      <c r="K182" s="38">
        <f>SUBTOTAL(9,K68:K181)</f>
        <v>144125.25</v>
      </c>
    </row>
  </sheetData>
  <autoFilter ref="A1:U181" xr:uid="{A98513D7-6626-4929-9C76-080B3AF06F3B}">
    <filterColumn colId="20">
      <filters blank="1"/>
    </filterColumn>
    <sortState xmlns:xlrd2="http://schemas.microsoft.com/office/spreadsheetml/2017/richdata2" ref="A68:U108">
      <sortCondition descending="1" ref="D68:D108"/>
    </sortState>
  </autoFilter>
  <sortState xmlns:xlrd2="http://schemas.microsoft.com/office/spreadsheetml/2017/richdata2" ref="A68:U182">
    <sortCondition ref="L68:L182"/>
  </sortState>
  <pageMargins left="0.511811024" right="0.511811024" top="0.78740157499999996" bottom="0.78740157499999996" header="0.31496062000000002" footer="0.31496062000000002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4FD3-5979-48CE-9F09-56CBA5E18814}">
  <dimension ref="A1:Q54"/>
  <sheetViews>
    <sheetView topLeftCell="G1" workbookViewId="0">
      <selection activeCell="M1" sqref="M1:P1"/>
    </sheetView>
  </sheetViews>
  <sheetFormatPr defaultRowHeight="14.4" x14ac:dyDescent="0.3"/>
  <cols>
    <col min="1" max="1" width="0" hidden="1" customWidth="1"/>
    <col min="2" max="2" width="18.6640625" hidden="1" customWidth="1"/>
    <col min="3" max="3" width="19" hidden="1" customWidth="1"/>
    <col min="5" max="5" width="44" bestFit="1" customWidth="1"/>
    <col min="6" max="6" width="57.33203125" bestFit="1" customWidth="1"/>
    <col min="7" max="7" width="12.44140625" bestFit="1" customWidth="1"/>
    <col min="8" max="8" width="8.33203125" bestFit="1" customWidth="1"/>
    <col min="9" max="9" width="13.6640625" bestFit="1" customWidth="1"/>
    <col min="10" max="10" width="18.33203125" style="1" bestFit="1" customWidth="1"/>
    <col min="11" max="11" width="14.109375" style="1" bestFit="1" customWidth="1"/>
    <col min="12" max="12" width="18.109375" bestFit="1" customWidth="1"/>
    <col min="13" max="13" width="16.109375" bestFit="1" customWidth="1"/>
    <col min="14" max="15" width="17.6640625" bestFit="1" customWidth="1"/>
    <col min="16" max="16" width="14.109375" bestFit="1" customWidth="1"/>
    <col min="17" max="17" width="19.33203125" customWidth="1"/>
  </cols>
  <sheetData>
    <row r="1" spans="1:1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10" t="s">
        <v>226</v>
      </c>
      <c r="N1" s="11" t="s">
        <v>227</v>
      </c>
      <c r="O1" s="12" t="s">
        <v>228</v>
      </c>
      <c r="P1" s="13" t="s">
        <v>229</v>
      </c>
      <c r="Q1" s="14" t="s">
        <v>230</v>
      </c>
    </row>
    <row r="2" spans="1:17" ht="15.6" x14ac:dyDescent="0.3">
      <c r="A2" s="4" t="s">
        <v>21</v>
      </c>
      <c r="B2" s="5">
        <v>45552</v>
      </c>
      <c r="C2" s="4" t="s">
        <v>33</v>
      </c>
      <c r="D2" s="4">
        <v>176</v>
      </c>
      <c r="E2" s="4" t="s">
        <v>34</v>
      </c>
      <c r="F2" s="4" t="s">
        <v>35</v>
      </c>
      <c r="G2" s="4" t="s">
        <v>36</v>
      </c>
      <c r="H2" s="4" t="s">
        <v>26</v>
      </c>
      <c r="I2" s="4">
        <v>10</v>
      </c>
      <c r="J2" s="6">
        <v>75</v>
      </c>
      <c r="K2" s="6">
        <v>750</v>
      </c>
      <c r="L2" s="5">
        <v>45580</v>
      </c>
      <c r="M2" s="15">
        <f>I2*0.25</f>
        <v>2.5</v>
      </c>
      <c r="O2" s="1">
        <f>I2*7</f>
        <v>70</v>
      </c>
      <c r="P2" s="15">
        <f>I2*0.5</f>
        <v>5</v>
      </c>
      <c r="Q2" s="16">
        <f>M2+N2+O2+P2</f>
        <v>77.5</v>
      </c>
    </row>
    <row r="3" spans="1:17" ht="15.6" x14ac:dyDescent="0.3">
      <c r="A3" s="4" t="s">
        <v>21</v>
      </c>
      <c r="B3" s="5">
        <v>45552</v>
      </c>
      <c r="C3" s="4" t="s">
        <v>33</v>
      </c>
      <c r="D3" s="4">
        <v>177</v>
      </c>
      <c r="E3" s="4" t="s">
        <v>34</v>
      </c>
      <c r="F3" s="4" t="s">
        <v>37</v>
      </c>
      <c r="G3" s="4" t="s">
        <v>38</v>
      </c>
      <c r="H3" s="4" t="s">
        <v>26</v>
      </c>
      <c r="I3" s="4">
        <v>210</v>
      </c>
      <c r="J3" s="6">
        <v>55</v>
      </c>
      <c r="K3" s="6">
        <v>11550</v>
      </c>
      <c r="L3" s="5">
        <v>45580</v>
      </c>
      <c r="M3" s="15">
        <f>I3*0.25</f>
        <v>52.5</v>
      </c>
      <c r="N3" s="15">
        <f>I3*2</f>
        <v>420</v>
      </c>
      <c r="O3" s="15">
        <f>I3*10</f>
        <v>2100</v>
      </c>
      <c r="P3" s="15">
        <f>I3*0.5</f>
        <v>105</v>
      </c>
      <c r="Q3" s="16">
        <f>M3+N3+O3+P3</f>
        <v>2677.5</v>
      </c>
    </row>
    <row r="4" spans="1:17" ht="15.6" x14ac:dyDescent="0.3">
      <c r="A4" s="4" t="s">
        <v>21</v>
      </c>
      <c r="B4" s="5">
        <v>45553</v>
      </c>
      <c r="C4" s="4" t="s">
        <v>33</v>
      </c>
      <c r="D4" s="4">
        <v>181</v>
      </c>
      <c r="E4" s="4" t="s">
        <v>44</v>
      </c>
      <c r="F4" s="4" t="s">
        <v>45</v>
      </c>
      <c r="G4" s="4" t="s">
        <v>38</v>
      </c>
      <c r="H4" s="4" t="s">
        <v>46</v>
      </c>
      <c r="I4" s="4">
        <v>200</v>
      </c>
      <c r="J4" s="6">
        <v>55</v>
      </c>
      <c r="K4" s="6">
        <v>11000</v>
      </c>
      <c r="L4" s="5">
        <v>45581</v>
      </c>
      <c r="M4" s="15">
        <f>I4*0.25</f>
        <v>50</v>
      </c>
      <c r="N4" s="15">
        <f>I4*2</f>
        <v>400</v>
      </c>
      <c r="O4" s="15">
        <f>I4*10</f>
        <v>2000</v>
      </c>
      <c r="P4" s="15">
        <f>I4*0.5</f>
        <v>100</v>
      </c>
      <c r="Q4" s="16">
        <f>M4+N4+O4+P4</f>
        <v>2550</v>
      </c>
    </row>
    <row r="5" spans="1:17" ht="15.6" x14ac:dyDescent="0.3">
      <c r="A5" s="4" t="s">
        <v>21</v>
      </c>
      <c r="B5" s="5">
        <v>45560</v>
      </c>
      <c r="C5" s="4" t="s">
        <v>22</v>
      </c>
      <c r="D5" s="4">
        <v>187</v>
      </c>
      <c r="E5" s="4" t="s">
        <v>49</v>
      </c>
      <c r="F5" s="4" t="s">
        <v>50</v>
      </c>
      <c r="G5" s="4" t="s">
        <v>51</v>
      </c>
      <c r="H5" s="4" t="s">
        <v>46</v>
      </c>
      <c r="I5" s="4">
        <v>500</v>
      </c>
      <c r="J5" s="6">
        <v>19.5</v>
      </c>
      <c r="K5" s="6">
        <v>9750</v>
      </c>
      <c r="L5" s="5">
        <v>45588</v>
      </c>
      <c r="M5" s="15">
        <f t="shared" ref="M5:M52" si="0">I5*0.25</f>
        <v>125</v>
      </c>
      <c r="N5" s="15">
        <f>I5*0.7</f>
        <v>350</v>
      </c>
      <c r="O5" s="15">
        <f>I5*1.2</f>
        <v>600</v>
      </c>
      <c r="P5" s="15">
        <f t="shared" ref="P5:P52" si="1">I5*0.5</f>
        <v>250</v>
      </c>
      <c r="Q5" s="16">
        <f t="shared" ref="Q5:Q52" si="2">M5+N5+O5+P5</f>
        <v>1325</v>
      </c>
    </row>
    <row r="6" spans="1:17" ht="15.6" x14ac:dyDescent="0.3">
      <c r="A6" s="4" t="s">
        <v>21</v>
      </c>
      <c r="B6" s="5">
        <v>45572</v>
      </c>
      <c r="C6" s="4" t="s">
        <v>22</v>
      </c>
      <c r="D6" s="4">
        <v>616</v>
      </c>
      <c r="E6" s="4" t="s">
        <v>47</v>
      </c>
      <c r="F6" s="4" t="s">
        <v>48</v>
      </c>
      <c r="G6" s="4" t="s">
        <v>36</v>
      </c>
      <c r="H6" s="4" t="s">
        <v>46</v>
      </c>
      <c r="I6" s="4">
        <v>112</v>
      </c>
      <c r="J6" s="6">
        <v>26.5</v>
      </c>
      <c r="K6" s="6">
        <v>2968</v>
      </c>
      <c r="L6" s="5">
        <v>45586</v>
      </c>
      <c r="M6" s="15">
        <f t="shared" si="0"/>
        <v>28</v>
      </c>
      <c r="N6" s="15">
        <f>I6*1.5</f>
        <v>168</v>
      </c>
      <c r="O6" s="15">
        <f>I6*1.5</f>
        <v>168</v>
      </c>
      <c r="P6" s="15">
        <f t="shared" si="1"/>
        <v>56</v>
      </c>
      <c r="Q6" s="16">
        <f t="shared" si="2"/>
        <v>420</v>
      </c>
    </row>
    <row r="7" spans="1:17" ht="15.6" x14ac:dyDescent="0.3">
      <c r="A7" s="4" t="s">
        <v>21</v>
      </c>
      <c r="B7" s="5">
        <v>45581</v>
      </c>
      <c r="C7" s="4" t="s">
        <v>22</v>
      </c>
      <c r="D7" s="4">
        <v>198</v>
      </c>
      <c r="E7" s="4" t="s">
        <v>49</v>
      </c>
      <c r="F7" s="4" t="s">
        <v>109</v>
      </c>
      <c r="G7" s="4" t="s">
        <v>51</v>
      </c>
      <c r="H7" s="4" t="s">
        <v>46</v>
      </c>
      <c r="I7" s="4">
        <v>300</v>
      </c>
      <c r="J7" s="6">
        <v>19.2</v>
      </c>
      <c r="K7" s="6">
        <v>5760</v>
      </c>
      <c r="L7" s="5">
        <v>45609</v>
      </c>
      <c r="M7" s="15">
        <f t="shared" si="0"/>
        <v>75</v>
      </c>
      <c r="N7" s="15">
        <f>I7*0.7</f>
        <v>210</v>
      </c>
      <c r="O7" s="15">
        <f>I7*1.3</f>
        <v>390</v>
      </c>
      <c r="P7" s="15">
        <f t="shared" si="1"/>
        <v>150</v>
      </c>
      <c r="Q7" s="16">
        <f t="shared" si="2"/>
        <v>825</v>
      </c>
    </row>
    <row r="8" spans="1:17" ht="15.6" x14ac:dyDescent="0.3">
      <c r="A8" s="4" t="s">
        <v>21</v>
      </c>
      <c r="B8" s="5">
        <v>45574</v>
      </c>
      <c r="C8" s="4" t="s">
        <v>22</v>
      </c>
      <c r="D8" s="4">
        <v>619</v>
      </c>
      <c r="E8" s="4" t="s">
        <v>52</v>
      </c>
      <c r="F8" s="4" t="s">
        <v>53</v>
      </c>
      <c r="G8" s="4" t="s">
        <v>36</v>
      </c>
      <c r="H8" s="4" t="s">
        <v>26</v>
      </c>
      <c r="I8" s="4">
        <v>34</v>
      </c>
      <c r="J8" s="6">
        <v>24.5</v>
      </c>
      <c r="K8" s="6">
        <v>833</v>
      </c>
      <c r="L8" s="5">
        <v>45590</v>
      </c>
      <c r="M8" s="15">
        <f t="shared" si="0"/>
        <v>8.5</v>
      </c>
      <c r="N8" s="15">
        <f>I8*1.5</f>
        <v>51</v>
      </c>
      <c r="O8" s="15">
        <f>I8*1.5</f>
        <v>51</v>
      </c>
      <c r="P8" s="15">
        <f t="shared" si="1"/>
        <v>17</v>
      </c>
      <c r="Q8" s="16">
        <f t="shared" si="2"/>
        <v>127.5</v>
      </c>
    </row>
    <row r="9" spans="1:17" ht="15.6" x14ac:dyDescent="0.3">
      <c r="A9" s="4" t="s">
        <v>21</v>
      </c>
      <c r="B9" s="5">
        <v>45572</v>
      </c>
      <c r="C9" s="4" t="s">
        <v>33</v>
      </c>
      <c r="D9" s="4">
        <v>1029</v>
      </c>
      <c r="E9" s="4" t="s">
        <v>91</v>
      </c>
      <c r="F9" s="4" t="s">
        <v>92</v>
      </c>
      <c r="G9" s="4" t="s">
        <v>51</v>
      </c>
      <c r="H9" s="4" t="s">
        <v>46</v>
      </c>
      <c r="I9" s="4">
        <v>2500</v>
      </c>
      <c r="J9" s="6">
        <v>23.5</v>
      </c>
      <c r="K9" s="6">
        <v>58750</v>
      </c>
      <c r="L9" s="5">
        <v>45601</v>
      </c>
      <c r="M9" s="15">
        <f t="shared" si="0"/>
        <v>625</v>
      </c>
      <c r="N9" s="15">
        <f>I9*1</f>
        <v>2500</v>
      </c>
      <c r="O9" s="15">
        <f>I9*1.65</f>
        <v>4125</v>
      </c>
      <c r="P9" s="15">
        <f t="shared" si="1"/>
        <v>1250</v>
      </c>
      <c r="Q9" s="16">
        <f t="shared" si="2"/>
        <v>8500</v>
      </c>
    </row>
    <row r="10" spans="1:17" ht="15.6" x14ac:dyDescent="0.3">
      <c r="A10" s="4" t="s">
        <v>62</v>
      </c>
      <c r="B10" s="5">
        <v>45579</v>
      </c>
      <c r="C10" s="4" t="s">
        <v>68</v>
      </c>
      <c r="D10" s="4">
        <v>1033</v>
      </c>
      <c r="E10" s="4" t="s">
        <v>75</v>
      </c>
      <c r="F10" s="4" t="s">
        <v>76</v>
      </c>
      <c r="G10" s="4" t="s">
        <v>36</v>
      </c>
      <c r="H10" s="4" t="s">
        <v>46</v>
      </c>
      <c r="I10" s="4">
        <v>11</v>
      </c>
      <c r="J10" s="6">
        <v>36.75</v>
      </c>
      <c r="K10" s="6">
        <v>404.25</v>
      </c>
      <c r="L10" s="5">
        <v>45593</v>
      </c>
      <c r="M10" s="15">
        <f t="shared" si="0"/>
        <v>2.75</v>
      </c>
      <c r="N10" s="15">
        <f>I10*1.5</f>
        <v>16.5</v>
      </c>
      <c r="O10" s="15">
        <f>I10*1.5</f>
        <v>16.5</v>
      </c>
      <c r="P10" s="15">
        <f t="shared" si="1"/>
        <v>5.5</v>
      </c>
      <c r="Q10" s="16">
        <f t="shared" si="2"/>
        <v>41.25</v>
      </c>
    </row>
    <row r="11" spans="1:17" ht="15.6" x14ac:dyDescent="0.3">
      <c r="A11" s="4" t="s">
        <v>21</v>
      </c>
      <c r="B11" s="5">
        <v>45572</v>
      </c>
      <c r="C11" s="4" t="s">
        <v>33</v>
      </c>
      <c r="D11" s="4">
        <v>615</v>
      </c>
      <c r="E11" s="4" t="s">
        <v>89</v>
      </c>
      <c r="F11" s="4" t="s">
        <v>90</v>
      </c>
      <c r="G11" s="4" t="s">
        <v>51</v>
      </c>
      <c r="H11" s="4" t="s">
        <v>26</v>
      </c>
      <c r="I11" s="4">
        <v>150</v>
      </c>
      <c r="J11" s="6">
        <v>23</v>
      </c>
      <c r="K11" s="6">
        <v>3450</v>
      </c>
      <c r="L11" s="5">
        <v>45600</v>
      </c>
      <c r="M11" s="15">
        <f t="shared" si="0"/>
        <v>37.5</v>
      </c>
      <c r="N11" s="15">
        <f>I11*1</f>
        <v>150</v>
      </c>
      <c r="O11" s="15">
        <f>I11*1</f>
        <v>150</v>
      </c>
      <c r="P11" s="15">
        <f t="shared" si="1"/>
        <v>75</v>
      </c>
      <c r="Q11" s="16">
        <f t="shared" si="2"/>
        <v>412.5</v>
      </c>
    </row>
    <row r="12" spans="1:17" ht="15.6" x14ac:dyDescent="0.3">
      <c r="A12" s="4" t="s">
        <v>62</v>
      </c>
      <c r="B12" s="5">
        <v>45589</v>
      </c>
      <c r="C12" s="4" t="s">
        <v>68</v>
      </c>
      <c r="D12" s="4">
        <v>1022</v>
      </c>
      <c r="E12" s="4" t="s">
        <v>86</v>
      </c>
      <c r="F12" s="4" t="s">
        <v>88</v>
      </c>
      <c r="G12" s="4" t="s">
        <v>74</v>
      </c>
      <c r="H12" s="4" t="s">
        <v>46</v>
      </c>
      <c r="I12" s="4">
        <v>11</v>
      </c>
      <c r="J12" s="6">
        <v>36.75</v>
      </c>
      <c r="K12" s="6">
        <v>404.25</v>
      </c>
      <c r="L12" s="5">
        <v>45593</v>
      </c>
      <c r="M12" s="15">
        <f t="shared" si="0"/>
        <v>2.75</v>
      </c>
      <c r="N12" s="15">
        <f>I12*1.5</f>
        <v>16.5</v>
      </c>
      <c r="O12" s="15">
        <f>I12*1.5</f>
        <v>16.5</v>
      </c>
      <c r="P12" s="15">
        <f t="shared" si="1"/>
        <v>5.5</v>
      </c>
      <c r="Q12" s="16">
        <f t="shared" si="2"/>
        <v>41.25</v>
      </c>
    </row>
    <row r="13" spans="1:17" ht="15.6" x14ac:dyDescent="0.3">
      <c r="A13" s="4" t="s">
        <v>62</v>
      </c>
      <c r="B13" s="5">
        <v>45579</v>
      </c>
      <c r="C13" s="4" t="s">
        <v>68</v>
      </c>
      <c r="D13" s="4">
        <v>1033</v>
      </c>
      <c r="E13" s="4" t="s">
        <v>75</v>
      </c>
      <c r="F13" s="4" t="s">
        <v>77</v>
      </c>
      <c r="G13" s="4" t="s">
        <v>78</v>
      </c>
      <c r="H13" s="4" t="s">
        <v>26</v>
      </c>
      <c r="I13" s="4">
        <v>12</v>
      </c>
      <c r="J13" s="6">
        <v>65</v>
      </c>
      <c r="K13" s="6">
        <v>780</v>
      </c>
      <c r="L13" s="5">
        <v>45593</v>
      </c>
      <c r="M13" s="15">
        <f t="shared" si="0"/>
        <v>3</v>
      </c>
      <c r="N13" s="15"/>
      <c r="O13" s="15">
        <f>I13*3</f>
        <v>36</v>
      </c>
      <c r="P13" s="15">
        <f t="shared" si="1"/>
        <v>6</v>
      </c>
      <c r="Q13" s="16">
        <f t="shared" si="2"/>
        <v>45</v>
      </c>
    </row>
    <row r="14" spans="1:17" ht="15.6" x14ac:dyDescent="0.3">
      <c r="A14" s="4" t="s">
        <v>62</v>
      </c>
      <c r="B14" s="5">
        <v>45566</v>
      </c>
      <c r="C14" s="4" t="s">
        <v>22</v>
      </c>
      <c r="D14" s="4">
        <v>190</v>
      </c>
      <c r="E14" s="4" t="s">
        <v>63</v>
      </c>
      <c r="F14" s="4" t="s">
        <v>67</v>
      </c>
      <c r="G14" s="4" t="s">
        <v>51</v>
      </c>
      <c r="H14" s="4" t="s">
        <v>46</v>
      </c>
      <c r="I14" s="4">
        <v>100</v>
      </c>
      <c r="J14" s="6">
        <v>17</v>
      </c>
      <c r="K14" s="6">
        <v>1700</v>
      </c>
      <c r="L14" s="5">
        <v>45594</v>
      </c>
      <c r="M14" s="15">
        <f t="shared" si="0"/>
        <v>25</v>
      </c>
      <c r="N14" s="15">
        <f>I14*0.7</f>
        <v>70</v>
      </c>
      <c r="O14" s="15">
        <f>I14*1.5</f>
        <v>150</v>
      </c>
      <c r="P14" s="15">
        <f t="shared" si="1"/>
        <v>50</v>
      </c>
      <c r="Q14" s="16">
        <f t="shared" si="2"/>
        <v>295</v>
      </c>
    </row>
    <row r="15" spans="1:17" ht="15.6" x14ac:dyDescent="0.3">
      <c r="A15" s="4" t="s">
        <v>21</v>
      </c>
      <c r="B15" s="5">
        <v>45579</v>
      </c>
      <c r="C15" s="4" t="s">
        <v>98</v>
      </c>
      <c r="D15" s="4">
        <v>1041</v>
      </c>
      <c r="E15" s="4" t="s">
        <v>105</v>
      </c>
      <c r="F15" s="4" t="s">
        <v>106</v>
      </c>
      <c r="G15" s="4" t="s">
        <v>107</v>
      </c>
      <c r="H15" s="4" t="s">
        <v>46</v>
      </c>
      <c r="I15" s="4">
        <v>500</v>
      </c>
      <c r="J15" s="6">
        <v>2.5</v>
      </c>
      <c r="K15" s="6">
        <v>1250</v>
      </c>
      <c r="L15" s="5">
        <v>45607</v>
      </c>
      <c r="M15" s="15">
        <f t="shared" si="0"/>
        <v>125</v>
      </c>
      <c r="N15" s="15">
        <f>I15*0.3</f>
        <v>150</v>
      </c>
      <c r="O15" s="15">
        <f>I15*0.15</f>
        <v>75</v>
      </c>
      <c r="P15" s="15">
        <f t="shared" si="1"/>
        <v>250</v>
      </c>
      <c r="Q15" s="16">
        <f t="shared" si="2"/>
        <v>600</v>
      </c>
    </row>
    <row r="16" spans="1:17" ht="15.6" x14ac:dyDescent="0.3">
      <c r="A16" s="4" t="s">
        <v>21</v>
      </c>
      <c r="B16" s="5">
        <v>45569</v>
      </c>
      <c r="C16" s="4" t="s">
        <v>22</v>
      </c>
      <c r="D16" s="4">
        <v>613</v>
      </c>
      <c r="E16" s="4" t="s">
        <v>96</v>
      </c>
      <c r="F16" s="4" t="s">
        <v>53</v>
      </c>
      <c r="G16" s="4" t="s">
        <v>36</v>
      </c>
      <c r="H16" s="4" t="s">
        <v>46</v>
      </c>
      <c r="I16" s="4">
        <v>100</v>
      </c>
      <c r="J16" s="6">
        <v>16.5</v>
      </c>
      <c r="K16" s="6">
        <v>1650</v>
      </c>
      <c r="L16" s="5">
        <v>45595</v>
      </c>
      <c r="M16" s="15">
        <f t="shared" si="0"/>
        <v>25</v>
      </c>
      <c r="N16" s="15">
        <f>I16*1.5</f>
        <v>150</v>
      </c>
      <c r="O16" s="15">
        <f>I16*1.5</f>
        <v>150</v>
      </c>
      <c r="P16" s="15">
        <f t="shared" si="1"/>
        <v>50</v>
      </c>
      <c r="Q16" s="16">
        <f t="shared" si="2"/>
        <v>375</v>
      </c>
    </row>
    <row r="17" spans="1:17" ht="15.6" x14ac:dyDescent="0.3">
      <c r="A17" s="4" t="s">
        <v>21</v>
      </c>
      <c r="B17" s="5">
        <v>45573</v>
      </c>
      <c r="C17" s="4" t="s">
        <v>22</v>
      </c>
      <c r="D17" s="4">
        <v>617</v>
      </c>
      <c r="E17" s="4" t="s">
        <v>52</v>
      </c>
      <c r="F17" s="4" t="s">
        <v>67</v>
      </c>
      <c r="G17" s="4" t="s">
        <v>51</v>
      </c>
      <c r="H17" s="4" t="s">
        <v>46</v>
      </c>
      <c r="I17" s="4">
        <v>700</v>
      </c>
      <c r="J17" s="6">
        <v>14</v>
      </c>
      <c r="K17" s="6">
        <v>9800</v>
      </c>
      <c r="L17" s="5">
        <v>45595</v>
      </c>
      <c r="M17" s="15">
        <f t="shared" si="0"/>
        <v>175</v>
      </c>
      <c r="N17" s="15">
        <f>I17*0.7</f>
        <v>489.99999999999994</v>
      </c>
      <c r="O17" s="15">
        <f>I17*1.5</f>
        <v>1050</v>
      </c>
      <c r="P17" s="15">
        <f t="shared" si="1"/>
        <v>350</v>
      </c>
      <c r="Q17" s="16">
        <f t="shared" si="2"/>
        <v>2065</v>
      </c>
    </row>
    <row r="18" spans="1:17" ht="15.6" x14ac:dyDescent="0.3">
      <c r="A18" s="4" t="s">
        <v>21</v>
      </c>
      <c r="B18" s="5">
        <v>45582</v>
      </c>
      <c r="C18" s="4" t="s">
        <v>22</v>
      </c>
      <c r="D18" s="4">
        <v>623</v>
      </c>
      <c r="E18" s="4" t="s">
        <v>111</v>
      </c>
      <c r="F18" s="4" t="s">
        <v>67</v>
      </c>
      <c r="G18" s="4" t="s">
        <v>51</v>
      </c>
      <c r="H18" s="4" t="s">
        <v>46</v>
      </c>
      <c r="I18" s="4">
        <v>100</v>
      </c>
      <c r="J18" s="6">
        <v>17.5</v>
      </c>
      <c r="K18" s="6">
        <v>1750</v>
      </c>
      <c r="L18" s="5">
        <v>45610</v>
      </c>
      <c r="M18" s="15">
        <f t="shared" si="0"/>
        <v>25</v>
      </c>
      <c r="N18" s="15">
        <f>I18*0.7</f>
        <v>70</v>
      </c>
      <c r="O18" s="15">
        <f>I18*1.5</f>
        <v>150</v>
      </c>
      <c r="P18" s="15">
        <f t="shared" si="1"/>
        <v>50</v>
      </c>
      <c r="Q18" s="16">
        <f t="shared" si="2"/>
        <v>295</v>
      </c>
    </row>
    <row r="19" spans="1:17" ht="15.6" x14ac:dyDescent="0.3">
      <c r="A19" s="4" t="s">
        <v>62</v>
      </c>
      <c r="B19" s="5">
        <v>45579</v>
      </c>
      <c r="C19" s="4" t="s">
        <v>68</v>
      </c>
      <c r="D19" s="4">
        <v>1033</v>
      </c>
      <c r="E19" s="4" t="s">
        <v>75</v>
      </c>
      <c r="F19" s="4" t="s">
        <v>79</v>
      </c>
      <c r="G19" s="4" t="s">
        <v>80</v>
      </c>
      <c r="H19" s="4" t="s">
        <v>46</v>
      </c>
      <c r="I19" s="4">
        <v>10</v>
      </c>
      <c r="J19" s="6">
        <v>21</v>
      </c>
      <c r="K19" s="6">
        <v>210</v>
      </c>
      <c r="L19" s="5">
        <v>45593</v>
      </c>
      <c r="M19" s="15">
        <f t="shared" si="0"/>
        <v>2.5</v>
      </c>
      <c r="N19" s="15">
        <f>I19*0.5</f>
        <v>5</v>
      </c>
      <c r="O19" s="15">
        <f>I19*0.75</f>
        <v>7.5</v>
      </c>
      <c r="P19" s="15">
        <f t="shared" si="1"/>
        <v>5</v>
      </c>
      <c r="Q19" s="16">
        <f t="shared" si="2"/>
        <v>20</v>
      </c>
    </row>
    <row r="20" spans="1:17" ht="15.6" x14ac:dyDescent="0.3">
      <c r="A20" s="4" t="s">
        <v>21</v>
      </c>
      <c r="B20" s="5">
        <v>45574</v>
      </c>
      <c r="C20" s="4" t="s">
        <v>22</v>
      </c>
      <c r="D20" s="4">
        <v>620</v>
      </c>
      <c r="E20" s="4" t="s">
        <v>97</v>
      </c>
      <c r="F20" s="4" t="s">
        <v>53</v>
      </c>
      <c r="G20" s="4" t="s">
        <v>36</v>
      </c>
      <c r="H20" s="4" t="s">
        <v>46</v>
      </c>
      <c r="I20" s="4">
        <v>160</v>
      </c>
      <c r="J20" s="6">
        <v>35</v>
      </c>
      <c r="K20" s="6">
        <v>5600</v>
      </c>
      <c r="L20" s="5">
        <v>45602</v>
      </c>
      <c r="M20" s="15">
        <f t="shared" si="0"/>
        <v>40</v>
      </c>
      <c r="N20" s="15">
        <f>I20*1.5</f>
        <v>240</v>
      </c>
      <c r="O20" s="15">
        <f>I20*1.5</f>
        <v>240</v>
      </c>
      <c r="P20" s="15">
        <f t="shared" si="1"/>
        <v>80</v>
      </c>
      <c r="Q20" s="16">
        <f t="shared" si="2"/>
        <v>600</v>
      </c>
    </row>
    <row r="21" spans="1:17" ht="15.6" x14ac:dyDescent="0.3">
      <c r="A21" s="4" t="s">
        <v>21</v>
      </c>
      <c r="B21" s="5">
        <v>45574</v>
      </c>
      <c r="C21" s="4" t="s">
        <v>98</v>
      </c>
      <c r="D21" s="4">
        <v>192</v>
      </c>
      <c r="E21" s="4" t="s">
        <v>99</v>
      </c>
      <c r="F21" s="4" t="s">
        <v>53</v>
      </c>
      <c r="G21" s="4" t="s">
        <v>36</v>
      </c>
      <c r="H21" s="4" t="s">
        <v>46</v>
      </c>
      <c r="I21" s="4">
        <v>80</v>
      </c>
      <c r="J21" s="6">
        <v>26.5</v>
      </c>
      <c r="K21" s="6">
        <v>2120</v>
      </c>
      <c r="L21" s="5">
        <v>45602</v>
      </c>
      <c r="M21" s="15">
        <f t="shared" si="0"/>
        <v>20</v>
      </c>
      <c r="N21" s="15">
        <f>I21*1.5</f>
        <v>120</v>
      </c>
      <c r="O21" s="15">
        <f>I21*1.5</f>
        <v>120</v>
      </c>
      <c r="P21" s="15">
        <f t="shared" si="1"/>
        <v>40</v>
      </c>
      <c r="Q21" s="16">
        <f t="shared" si="2"/>
        <v>300</v>
      </c>
    </row>
    <row r="22" spans="1:17" ht="15.6" x14ac:dyDescent="0.3">
      <c r="A22" s="4" t="s">
        <v>21</v>
      </c>
      <c r="B22" s="5">
        <v>45574</v>
      </c>
      <c r="C22" s="4" t="s">
        <v>98</v>
      </c>
      <c r="D22" s="4">
        <v>193</v>
      </c>
      <c r="E22" s="4" t="s">
        <v>99</v>
      </c>
      <c r="F22" s="4" t="s">
        <v>53</v>
      </c>
      <c r="G22" s="4" t="s">
        <v>36</v>
      </c>
      <c r="H22" s="4" t="s">
        <v>46</v>
      </c>
      <c r="I22" s="4">
        <v>80</v>
      </c>
      <c r="J22" s="6">
        <v>26.5</v>
      </c>
      <c r="K22" s="6">
        <v>2120</v>
      </c>
      <c r="L22" s="5">
        <v>45603</v>
      </c>
      <c r="M22" s="15">
        <f t="shared" si="0"/>
        <v>20</v>
      </c>
      <c r="N22" s="15">
        <f>I22*1.5</f>
        <v>120</v>
      </c>
      <c r="O22" s="15">
        <f>I22*1.5</f>
        <v>120</v>
      </c>
      <c r="P22" s="15">
        <f t="shared" si="1"/>
        <v>40</v>
      </c>
      <c r="Q22" s="16">
        <f t="shared" si="2"/>
        <v>300</v>
      </c>
    </row>
    <row r="23" spans="1:17" ht="15.6" x14ac:dyDescent="0.3">
      <c r="A23" s="4" t="s">
        <v>62</v>
      </c>
      <c r="B23" s="5">
        <v>45579</v>
      </c>
      <c r="C23" s="4" t="s">
        <v>68</v>
      </c>
      <c r="D23" s="4">
        <v>1033</v>
      </c>
      <c r="E23" s="4" t="s">
        <v>75</v>
      </c>
      <c r="F23" s="4" t="s">
        <v>67</v>
      </c>
      <c r="G23" s="4" t="s">
        <v>51</v>
      </c>
      <c r="H23" s="4" t="s">
        <v>46</v>
      </c>
      <c r="I23" s="4">
        <v>10</v>
      </c>
      <c r="J23" s="6">
        <v>21</v>
      </c>
      <c r="K23" s="6">
        <v>210</v>
      </c>
      <c r="L23" s="5">
        <v>45593</v>
      </c>
      <c r="M23" s="15">
        <f t="shared" si="0"/>
        <v>2.5</v>
      </c>
      <c r="N23" s="15">
        <f>I23*0.7</f>
        <v>7</v>
      </c>
      <c r="O23" s="15">
        <f>I23*1.5</f>
        <v>15</v>
      </c>
      <c r="P23" s="15">
        <f t="shared" si="1"/>
        <v>5</v>
      </c>
      <c r="Q23" s="16">
        <f t="shared" si="2"/>
        <v>29.5</v>
      </c>
    </row>
    <row r="24" spans="1:17" ht="15.6" x14ac:dyDescent="0.3">
      <c r="A24" s="4" t="s">
        <v>21</v>
      </c>
      <c r="B24" s="5">
        <v>45579</v>
      </c>
      <c r="C24" s="4" t="s">
        <v>101</v>
      </c>
      <c r="D24" s="4">
        <v>197</v>
      </c>
      <c r="E24" s="4" t="s">
        <v>102</v>
      </c>
      <c r="F24" s="4" t="s">
        <v>103</v>
      </c>
      <c r="G24" s="4" t="s">
        <v>25</v>
      </c>
      <c r="H24" s="4" t="s">
        <v>46</v>
      </c>
      <c r="I24" s="4">
        <v>20</v>
      </c>
      <c r="J24" s="6">
        <v>80</v>
      </c>
      <c r="K24" s="6">
        <v>1600</v>
      </c>
      <c r="L24" s="5">
        <v>45604</v>
      </c>
      <c r="M24" s="15">
        <f t="shared" si="0"/>
        <v>5</v>
      </c>
      <c r="N24" s="15">
        <f>I24*1.5</f>
        <v>30</v>
      </c>
      <c r="O24" s="15">
        <f>I24*2</f>
        <v>40</v>
      </c>
      <c r="P24" s="15">
        <f t="shared" si="1"/>
        <v>10</v>
      </c>
      <c r="Q24" s="16">
        <f t="shared" si="2"/>
        <v>85</v>
      </c>
    </row>
    <row r="25" spans="1:17" ht="15.6" x14ac:dyDescent="0.3">
      <c r="A25" s="4" t="s">
        <v>21</v>
      </c>
      <c r="B25" s="5">
        <v>45555</v>
      </c>
      <c r="C25" s="4" t="s">
        <v>68</v>
      </c>
      <c r="D25" s="4">
        <v>1015</v>
      </c>
      <c r="E25" s="4" t="s">
        <v>69</v>
      </c>
      <c r="F25" s="4" t="s">
        <v>79</v>
      </c>
      <c r="G25" s="4" t="s">
        <v>80</v>
      </c>
      <c r="H25" s="4" t="s">
        <v>46</v>
      </c>
      <c r="I25" s="4">
        <v>10</v>
      </c>
      <c r="J25" s="6">
        <v>21</v>
      </c>
      <c r="K25" s="6">
        <v>210</v>
      </c>
      <c r="L25" s="5">
        <v>45593</v>
      </c>
      <c r="M25" s="15">
        <f t="shared" si="0"/>
        <v>2.5</v>
      </c>
      <c r="N25" s="15">
        <f>I25*0.5</f>
        <v>5</v>
      </c>
      <c r="O25" s="15">
        <f>I25*0.75</f>
        <v>7.5</v>
      </c>
      <c r="P25" s="15">
        <f t="shared" si="1"/>
        <v>5</v>
      </c>
      <c r="Q25" s="16">
        <f t="shared" si="2"/>
        <v>20</v>
      </c>
    </row>
    <row r="26" spans="1:17" ht="15.6" x14ac:dyDescent="0.3">
      <c r="A26" s="4" t="s">
        <v>21</v>
      </c>
      <c r="B26" s="5">
        <v>45580</v>
      </c>
      <c r="C26" s="4" t="s">
        <v>98</v>
      </c>
      <c r="D26" s="4">
        <v>1034</v>
      </c>
      <c r="E26" s="4" t="s">
        <v>108</v>
      </c>
      <c r="F26" s="4" t="s">
        <v>87</v>
      </c>
      <c r="G26" s="4" t="s">
        <v>36</v>
      </c>
      <c r="H26" s="4" t="s">
        <v>46</v>
      </c>
      <c r="I26" s="4">
        <v>200</v>
      </c>
      <c r="J26" s="6">
        <v>26.19</v>
      </c>
      <c r="K26" s="6">
        <v>5238</v>
      </c>
      <c r="L26" s="5">
        <v>45608</v>
      </c>
      <c r="M26" s="15">
        <f t="shared" si="0"/>
        <v>50</v>
      </c>
      <c r="N26" s="15">
        <f>I26*1.5</f>
        <v>300</v>
      </c>
      <c r="O26" s="15">
        <f>I26*1.5</f>
        <v>300</v>
      </c>
      <c r="P26" s="15">
        <f t="shared" si="1"/>
        <v>100</v>
      </c>
      <c r="Q26" s="16">
        <f t="shared" si="2"/>
        <v>750</v>
      </c>
    </row>
    <row r="27" spans="1:17" ht="15.6" x14ac:dyDescent="0.3">
      <c r="A27" s="4" t="s">
        <v>21</v>
      </c>
      <c r="B27" s="5">
        <v>45555</v>
      </c>
      <c r="C27" s="4" t="s">
        <v>68</v>
      </c>
      <c r="D27" s="4">
        <v>1015</v>
      </c>
      <c r="E27" s="4" t="s">
        <v>69</v>
      </c>
      <c r="F27" s="4" t="s">
        <v>67</v>
      </c>
      <c r="G27" s="4" t="s">
        <v>51</v>
      </c>
      <c r="H27" s="4" t="s">
        <v>26</v>
      </c>
      <c r="I27" s="4">
        <v>10</v>
      </c>
      <c r="J27" s="6">
        <v>21</v>
      </c>
      <c r="K27" s="6">
        <v>210</v>
      </c>
      <c r="L27" s="5">
        <v>45593</v>
      </c>
      <c r="M27" s="15">
        <f t="shared" si="0"/>
        <v>2.5</v>
      </c>
      <c r="N27" s="15">
        <f>I27*0.7</f>
        <v>7</v>
      </c>
      <c r="O27" s="15">
        <f>I27*1.5</f>
        <v>15</v>
      </c>
      <c r="P27" s="15">
        <f t="shared" si="1"/>
        <v>5</v>
      </c>
      <c r="Q27" s="16">
        <f t="shared" si="2"/>
        <v>29.5</v>
      </c>
    </row>
    <row r="28" spans="1:17" ht="15.6" x14ac:dyDescent="0.3">
      <c r="A28" s="4" t="s">
        <v>62</v>
      </c>
      <c r="B28" s="5">
        <v>45569</v>
      </c>
      <c r="C28" s="4" t="s">
        <v>68</v>
      </c>
      <c r="D28" s="4">
        <v>1028</v>
      </c>
      <c r="E28" s="4" t="s">
        <v>84</v>
      </c>
      <c r="F28" s="4" t="s">
        <v>67</v>
      </c>
      <c r="G28" s="4" t="s">
        <v>51</v>
      </c>
      <c r="H28" s="4" t="s">
        <v>46</v>
      </c>
      <c r="I28" s="4">
        <v>7</v>
      </c>
      <c r="J28" s="6">
        <v>21</v>
      </c>
      <c r="K28" s="6">
        <v>147</v>
      </c>
      <c r="L28" s="5">
        <v>45593</v>
      </c>
      <c r="M28" s="15">
        <f t="shared" si="0"/>
        <v>1.75</v>
      </c>
      <c r="N28" s="15">
        <f>I28*0.7</f>
        <v>4.8999999999999995</v>
      </c>
      <c r="O28" s="15">
        <f>I28*1.5</f>
        <v>10.5</v>
      </c>
      <c r="P28" s="15">
        <f t="shared" si="1"/>
        <v>3.5</v>
      </c>
      <c r="Q28" s="16">
        <f t="shared" si="2"/>
        <v>20.65</v>
      </c>
    </row>
    <row r="29" spans="1:17" ht="15.6" x14ac:dyDescent="0.3">
      <c r="A29" s="4" t="s">
        <v>21</v>
      </c>
      <c r="B29" s="5">
        <v>45582</v>
      </c>
      <c r="C29" s="4" t="s">
        <v>22</v>
      </c>
      <c r="D29" s="4">
        <v>623</v>
      </c>
      <c r="E29" s="4" t="s">
        <v>111</v>
      </c>
      <c r="F29" s="4" t="s">
        <v>112</v>
      </c>
      <c r="G29" s="4" t="s">
        <v>25</v>
      </c>
      <c r="H29" s="4" t="s">
        <v>26</v>
      </c>
      <c r="I29" s="4">
        <v>100</v>
      </c>
      <c r="J29" s="6">
        <v>18.5</v>
      </c>
      <c r="K29" s="6">
        <v>1850</v>
      </c>
      <c r="L29" s="5">
        <v>45610</v>
      </c>
      <c r="M29" s="15">
        <f t="shared" si="0"/>
        <v>25</v>
      </c>
      <c r="N29" s="15">
        <f>I29*1.5</f>
        <v>150</v>
      </c>
      <c r="O29" s="15">
        <f>I29*2</f>
        <v>200</v>
      </c>
      <c r="P29" s="15">
        <f t="shared" si="1"/>
        <v>50</v>
      </c>
      <c r="Q29" s="16">
        <f t="shared" si="2"/>
        <v>425</v>
      </c>
    </row>
    <row r="30" spans="1:17" ht="15.6" x14ac:dyDescent="0.3">
      <c r="A30" s="4" t="s">
        <v>21</v>
      </c>
      <c r="B30" s="5">
        <v>45555</v>
      </c>
      <c r="C30" s="4" t="s">
        <v>68</v>
      </c>
      <c r="D30" s="4">
        <v>1015</v>
      </c>
      <c r="E30" s="4" t="s">
        <v>69</v>
      </c>
      <c r="F30" s="4" t="s">
        <v>70</v>
      </c>
      <c r="G30" s="4" t="s">
        <v>36</v>
      </c>
      <c r="H30" s="4" t="s">
        <v>26</v>
      </c>
      <c r="I30" s="4">
        <v>45</v>
      </c>
      <c r="J30" s="6">
        <v>36.75</v>
      </c>
      <c r="K30" s="6">
        <v>1653.75</v>
      </c>
      <c r="L30" s="5">
        <v>45593</v>
      </c>
      <c r="M30" s="15">
        <f t="shared" si="0"/>
        <v>11.25</v>
      </c>
      <c r="N30" s="15">
        <f>I30*1.5</f>
        <v>67.5</v>
      </c>
      <c r="O30" s="15">
        <f>I30*1.5</f>
        <v>67.5</v>
      </c>
      <c r="P30" s="15">
        <f t="shared" si="1"/>
        <v>22.5</v>
      </c>
      <c r="Q30" s="16">
        <f t="shared" si="2"/>
        <v>168.75</v>
      </c>
    </row>
    <row r="31" spans="1:17" ht="15.6" x14ac:dyDescent="0.3">
      <c r="A31" s="4" t="s">
        <v>21</v>
      </c>
      <c r="B31" s="5">
        <v>45555</v>
      </c>
      <c r="C31" s="4" t="s">
        <v>68</v>
      </c>
      <c r="D31" s="4">
        <v>1015</v>
      </c>
      <c r="E31" s="4" t="s">
        <v>69</v>
      </c>
      <c r="F31" s="4" t="s">
        <v>73</v>
      </c>
      <c r="G31" s="4" t="s">
        <v>74</v>
      </c>
      <c r="H31" s="4" t="s">
        <v>26</v>
      </c>
      <c r="I31" s="4">
        <v>45</v>
      </c>
      <c r="J31" s="6">
        <v>45</v>
      </c>
      <c r="K31" s="6">
        <v>2025</v>
      </c>
      <c r="L31" s="5">
        <v>45593</v>
      </c>
      <c r="M31" s="15">
        <f t="shared" si="0"/>
        <v>11.25</v>
      </c>
      <c r="N31" s="15">
        <f>I31*1.5</f>
        <v>67.5</v>
      </c>
      <c r="O31" s="15">
        <f>I31*1.5</f>
        <v>67.5</v>
      </c>
      <c r="P31" s="15">
        <f t="shared" si="1"/>
        <v>22.5</v>
      </c>
      <c r="Q31" s="16">
        <f t="shared" si="2"/>
        <v>168.75</v>
      </c>
    </row>
    <row r="32" spans="1:17" ht="15.6" x14ac:dyDescent="0.3">
      <c r="A32" s="4" t="s">
        <v>62</v>
      </c>
      <c r="B32" s="5">
        <v>45569</v>
      </c>
      <c r="C32" s="4" t="s">
        <v>68</v>
      </c>
      <c r="D32" s="4">
        <v>1028</v>
      </c>
      <c r="E32" s="4" t="s">
        <v>84</v>
      </c>
      <c r="F32" s="4" t="s">
        <v>79</v>
      </c>
      <c r="G32" s="4" t="s">
        <v>80</v>
      </c>
      <c r="H32" s="4" t="s">
        <v>26</v>
      </c>
      <c r="I32" s="4">
        <v>6</v>
      </c>
      <c r="J32" s="6">
        <v>21</v>
      </c>
      <c r="K32" s="6">
        <v>126</v>
      </c>
      <c r="L32" s="5">
        <v>45593</v>
      </c>
      <c r="M32" s="15">
        <f t="shared" si="0"/>
        <v>1.5</v>
      </c>
      <c r="N32" s="15">
        <f>I32*0.5</f>
        <v>3</v>
      </c>
      <c r="O32" s="15">
        <f>I32*0.75</f>
        <v>4.5</v>
      </c>
      <c r="P32" s="15">
        <f t="shared" si="1"/>
        <v>3</v>
      </c>
      <c r="Q32" s="16">
        <f t="shared" si="2"/>
        <v>12</v>
      </c>
    </row>
    <row r="33" spans="1:17" ht="15.6" x14ac:dyDescent="0.3">
      <c r="A33" s="4" t="s">
        <v>62</v>
      </c>
      <c r="B33" s="5">
        <v>45579</v>
      </c>
      <c r="C33" s="4" t="s">
        <v>68</v>
      </c>
      <c r="D33" s="4">
        <v>1033</v>
      </c>
      <c r="E33" s="4" t="s">
        <v>75</v>
      </c>
      <c r="F33" s="4" t="s">
        <v>73</v>
      </c>
      <c r="G33" s="4" t="s">
        <v>74</v>
      </c>
      <c r="H33" s="4" t="s">
        <v>26</v>
      </c>
      <c r="I33" s="4">
        <v>8</v>
      </c>
      <c r="J33" s="6">
        <v>47.5</v>
      </c>
      <c r="K33" s="6">
        <v>380</v>
      </c>
      <c r="L33" s="5">
        <v>45593</v>
      </c>
      <c r="M33" s="15">
        <f t="shared" si="0"/>
        <v>2</v>
      </c>
      <c r="N33" s="15">
        <f>I33*1.5</f>
        <v>12</v>
      </c>
      <c r="O33" s="15">
        <f>I33*1.5</f>
        <v>12</v>
      </c>
      <c r="P33" s="15">
        <f t="shared" si="1"/>
        <v>4</v>
      </c>
      <c r="Q33" s="16">
        <f t="shared" si="2"/>
        <v>30</v>
      </c>
    </row>
    <row r="34" spans="1:17" ht="15.6" x14ac:dyDescent="0.3">
      <c r="A34" s="4" t="s">
        <v>62</v>
      </c>
      <c r="B34" s="5">
        <v>45579</v>
      </c>
      <c r="C34" s="4" t="s">
        <v>68</v>
      </c>
      <c r="D34" s="4">
        <v>1033</v>
      </c>
      <c r="E34" s="4" t="s">
        <v>75</v>
      </c>
      <c r="F34" s="4" t="s">
        <v>70</v>
      </c>
      <c r="G34" s="4" t="s">
        <v>36</v>
      </c>
      <c r="H34" s="4" t="s">
        <v>26</v>
      </c>
      <c r="I34" s="4">
        <v>3</v>
      </c>
      <c r="J34" s="6">
        <v>36.75</v>
      </c>
      <c r="K34" s="6">
        <v>110.25</v>
      </c>
      <c r="L34" s="5">
        <v>45593</v>
      </c>
      <c r="M34" s="15">
        <f t="shared" si="0"/>
        <v>0.75</v>
      </c>
      <c r="N34" s="15">
        <f>I34*1.5</f>
        <v>4.5</v>
      </c>
      <c r="O34" s="15">
        <f>I34*1.5</f>
        <v>4.5</v>
      </c>
      <c r="P34" s="15">
        <f t="shared" si="1"/>
        <v>1.5</v>
      </c>
      <c r="Q34" s="16">
        <f t="shared" si="2"/>
        <v>11.25</v>
      </c>
    </row>
    <row r="35" spans="1:17" ht="15.6" x14ac:dyDescent="0.3">
      <c r="A35" s="4" t="s">
        <v>62</v>
      </c>
      <c r="B35" s="5">
        <v>45589</v>
      </c>
      <c r="C35" s="4" t="s">
        <v>68</v>
      </c>
      <c r="D35" s="4">
        <v>1022</v>
      </c>
      <c r="E35" s="4" t="s">
        <v>86</v>
      </c>
      <c r="F35" s="4" t="s">
        <v>79</v>
      </c>
      <c r="G35" s="4" t="s">
        <v>80</v>
      </c>
      <c r="H35" s="4" t="s">
        <v>46</v>
      </c>
      <c r="I35" s="4">
        <v>12</v>
      </c>
      <c r="J35" s="6">
        <v>21</v>
      </c>
      <c r="K35" s="6">
        <v>252</v>
      </c>
      <c r="L35" s="5">
        <v>45593</v>
      </c>
      <c r="M35" s="15">
        <f t="shared" si="0"/>
        <v>3</v>
      </c>
      <c r="N35" s="15">
        <f>I35*0.5</f>
        <v>6</v>
      </c>
      <c r="O35" s="15">
        <f>I35*0.75</f>
        <v>9</v>
      </c>
      <c r="P35" s="15">
        <f t="shared" si="1"/>
        <v>6</v>
      </c>
      <c r="Q35" s="16">
        <f t="shared" si="2"/>
        <v>24</v>
      </c>
    </row>
    <row r="36" spans="1:17" ht="15.6" x14ac:dyDescent="0.3">
      <c r="A36" s="4" t="s">
        <v>21</v>
      </c>
      <c r="B36" s="5">
        <v>45573</v>
      </c>
      <c r="C36" s="4" t="s">
        <v>22</v>
      </c>
      <c r="D36" s="4">
        <v>617</v>
      </c>
      <c r="E36" s="4" t="s">
        <v>52</v>
      </c>
      <c r="F36" s="4" t="s">
        <v>31</v>
      </c>
      <c r="G36" s="4" t="s">
        <v>32</v>
      </c>
      <c r="H36" s="4" t="s">
        <v>46</v>
      </c>
      <c r="I36" s="4">
        <v>400</v>
      </c>
      <c r="J36" s="6">
        <v>24.5</v>
      </c>
      <c r="K36" s="6">
        <v>9800</v>
      </c>
      <c r="L36" s="5">
        <v>45595</v>
      </c>
      <c r="M36" s="15">
        <f t="shared" si="0"/>
        <v>100</v>
      </c>
      <c r="N36" s="15">
        <f>I36*1.5</f>
        <v>600</v>
      </c>
      <c r="O36" s="15">
        <f>I36*10</f>
        <v>4000</v>
      </c>
      <c r="P36" s="15">
        <f t="shared" si="1"/>
        <v>200</v>
      </c>
      <c r="Q36" s="16">
        <f t="shared" si="2"/>
        <v>4900</v>
      </c>
    </row>
    <row r="37" spans="1:17" ht="15.6" x14ac:dyDescent="0.3">
      <c r="A37" s="4" t="s">
        <v>62</v>
      </c>
      <c r="B37" s="5">
        <v>45589</v>
      </c>
      <c r="C37" s="4" t="s">
        <v>68</v>
      </c>
      <c r="D37" s="4">
        <v>1022</v>
      </c>
      <c r="E37" s="4" t="s">
        <v>86</v>
      </c>
      <c r="F37" s="4" t="s">
        <v>67</v>
      </c>
      <c r="G37" s="4" t="s">
        <v>51</v>
      </c>
      <c r="H37" s="4" t="s">
        <v>26</v>
      </c>
      <c r="I37" s="4">
        <v>13</v>
      </c>
      <c r="J37" s="6">
        <v>21</v>
      </c>
      <c r="K37" s="6">
        <v>273</v>
      </c>
      <c r="L37" s="5">
        <v>45593</v>
      </c>
      <c r="M37" s="15">
        <f t="shared" si="0"/>
        <v>3.25</v>
      </c>
      <c r="N37" s="15">
        <f>I37*0.7</f>
        <v>9.1</v>
      </c>
      <c r="O37" s="15">
        <f>I37*1.5</f>
        <v>19.5</v>
      </c>
      <c r="P37" s="15">
        <f t="shared" si="1"/>
        <v>6.5</v>
      </c>
      <c r="Q37" s="16">
        <f t="shared" si="2"/>
        <v>38.35</v>
      </c>
    </row>
    <row r="38" spans="1:17" ht="15.6" x14ac:dyDescent="0.3">
      <c r="A38" s="4" t="s">
        <v>21</v>
      </c>
      <c r="B38" s="5">
        <v>45555</v>
      </c>
      <c r="C38" s="4" t="s">
        <v>68</v>
      </c>
      <c r="D38" s="4">
        <v>1015</v>
      </c>
      <c r="E38" s="4" t="s">
        <v>69</v>
      </c>
      <c r="F38" s="4" t="s">
        <v>81</v>
      </c>
      <c r="G38" s="4" t="s">
        <v>74</v>
      </c>
      <c r="H38" s="4" t="s">
        <v>26</v>
      </c>
      <c r="I38" s="4">
        <v>25</v>
      </c>
      <c r="J38" s="6">
        <v>45</v>
      </c>
      <c r="K38" s="6">
        <v>1125</v>
      </c>
      <c r="L38" s="5">
        <v>45593</v>
      </c>
      <c r="M38" s="15">
        <f t="shared" si="0"/>
        <v>6.25</v>
      </c>
      <c r="N38" s="15">
        <f>I38*1.5</f>
        <v>37.5</v>
      </c>
      <c r="O38" s="15">
        <f>I38*1.5</f>
        <v>37.5</v>
      </c>
      <c r="P38" s="15">
        <f t="shared" si="1"/>
        <v>12.5</v>
      </c>
      <c r="Q38" s="16">
        <f t="shared" si="2"/>
        <v>93.75</v>
      </c>
    </row>
    <row r="39" spans="1:17" ht="15.6" x14ac:dyDescent="0.3">
      <c r="A39" s="4" t="s">
        <v>62</v>
      </c>
      <c r="B39" s="5">
        <v>45566</v>
      </c>
      <c r="C39" s="4" t="s">
        <v>22</v>
      </c>
      <c r="D39" s="4">
        <v>190</v>
      </c>
      <c r="E39" s="4" t="s">
        <v>63</v>
      </c>
      <c r="F39" s="4" t="s">
        <v>64</v>
      </c>
      <c r="G39" s="4" t="s">
        <v>60</v>
      </c>
      <c r="H39" s="4" t="s">
        <v>61</v>
      </c>
      <c r="I39" s="4">
        <v>100</v>
      </c>
      <c r="J39" s="6">
        <v>12</v>
      </c>
      <c r="K39" s="6">
        <v>1200</v>
      </c>
      <c r="L39" s="5">
        <v>45594</v>
      </c>
      <c r="M39" s="15">
        <f t="shared" si="0"/>
        <v>25</v>
      </c>
      <c r="N39" s="15">
        <f>I39*0.5</f>
        <v>50</v>
      </c>
      <c r="O39" s="15">
        <f>I39*1.8</f>
        <v>180</v>
      </c>
      <c r="P39" s="15">
        <f t="shared" si="1"/>
        <v>50</v>
      </c>
      <c r="Q39" s="16">
        <f t="shared" si="2"/>
        <v>305</v>
      </c>
    </row>
    <row r="40" spans="1:17" ht="15.6" x14ac:dyDescent="0.3">
      <c r="A40" s="4" t="s">
        <v>62</v>
      </c>
      <c r="B40" s="5">
        <v>45540</v>
      </c>
      <c r="C40" s="4" t="s">
        <v>33</v>
      </c>
      <c r="D40" s="4">
        <v>194</v>
      </c>
      <c r="E40" s="4" t="s">
        <v>100</v>
      </c>
      <c r="F40" s="4" t="s">
        <v>83</v>
      </c>
      <c r="G40" s="4" t="s">
        <v>51</v>
      </c>
      <c r="H40" s="4" t="s">
        <v>46</v>
      </c>
      <c r="I40" s="4">
        <v>100</v>
      </c>
      <c r="J40" s="6">
        <v>27</v>
      </c>
      <c r="K40" s="6">
        <v>2700</v>
      </c>
      <c r="L40" s="5">
        <v>45603</v>
      </c>
      <c r="M40" s="15">
        <f t="shared" si="0"/>
        <v>25</v>
      </c>
      <c r="N40" s="15">
        <f>I40*0.7</f>
        <v>70</v>
      </c>
      <c r="O40" s="15">
        <f>I40*1.5</f>
        <v>150</v>
      </c>
      <c r="P40" s="15">
        <f t="shared" si="1"/>
        <v>50</v>
      </c>
      <c r="Q40" s="16">
        <f t="shared" si="2"/>
        <v>295</v>
      </c>
    </row>
    <row r="41" spans="1:17" ht="15.6" x14ac:dyDescent="0.3">
      <c r="A41" s="4" t="s">
        <v>21</v>
      </c>
      <c r="B41" s="5">
        <v>45582</v>
      </c>
      <c r="C41" s="4" t="s">
        <v>33</v>
      </c>
      <c r="D41" s="4">
        <v>622</v>
      </c>
      <c r="E41" s="4" t="s">
        <v>110</v>
      </c>
      <c r="F41" s="4" t="s">
        <v>83</v>
      </c>
      <c r="G41" s="4" t="s">
        <v>51</v>
      </c>
      <c r="H41" s="4" t="s">
        <v>46</v>
      </c>
      <c r="I41" s="4">
        <v>250</v>
      </c>
      <c r="J41" s="6">
        <v>21.5</v>
      </c>
      <c r="K41" s="6">
        <v>5375</v>
      </c>
      <c r="L41" s="5">
        <v>45609</v>
      </c>
      <c r="M41" s="15">
        <f t="shared" si="0"/>
        <v>62.5</v>
      </c>
      <c r="N41" s="15">
        <f>I41*1</f>
        <v>250</v>
      </c>
      <c r="O41" s="15">
        <f>I37*1.84</f>
        <v>23.92</v>
      </c>
      <c r="P41" s="15">
        <f t="shared" si="1"/>
        <v>125</v>
      </c>
      <c r="Q41" s="16">
        <f t="shared" si="2"/>
        <v>461.42</v>
      </c>
    </row>
    <row r="42" spans="1:17" ht="15.6" x14ac:dyDescent="0.3">
      <c r="A42" s="4" t="s">
        <v>62</v>
      </c>
      <c r="B42" s="5">
        <v>45569</v>
      </c>
      <c r="C42" s="4" t="s">
        <v>68</v>
      </c>
      <c r="D42" s="4">
        <v>1028</v>
      </c>
      <c r="E42" s="4" t="s">
        <v>84</v>
      </c>
      <c r="F42" s="4" t="s">
        <v>70</v>
      </c>
      <c r="G42" s="4" t="s">
        <v>36</v>
      </c>
      <c r="H42" s="4" t="s">
        <v>26</v>
      </c>
      <c r="I42" s="4">
        <v>6</v>
      </c>
      <c r="J42" s="6">
        <v>41.75</v>
      </c>
      <c r="K42" s="6">
        <v>250.5</v>
      </c>
      <c r="L42" s="5">
        <v>45593</v>
      </c>
      <c r="M42" s="15">
        <f t="shared" si="0"/>
        <v>1.5</v>
      </c>
      <c r="N42" s="15">
        <f>I42*1.5</f>
        <v>9</v>
      </c>
      <c r="O42" s="15">
        <f>I42*1.5</f>
        <v>9</v>
      </c>
      <c r="P42" s="15">
        <f t="shared" si="1"/>
        <v>3</v>
      </c>
      <c r="Q42" s="16">
        <f t="shared" si="2"/>
        <v>22.5</v>
      </c>
    </row>
    <row r="43" spans="1:17" ht="15.6" x14ac:dyDescent="0.3">
      <c r="A43" s="4" t="s">
        <v>62</v>
      </c>
      <c r="B43" s="5">
        <v>45569</v>
      </c>
      <c r="C43" s="4" t="s">
        <v>68</v>
      </c>
      <c r="D43" s="4">
        <v>1028</v>
      </c>
      <c r="E43" s="4" t="s">
        <v>84</v>
      </c>
      <c r="F43" s="4" t="s">
        <v>85</v>
      </c>
      <c r="G43" s="4" t="s">
        <v>36</v>
      </c>
      <c r="H43" s="4" t="s">
        <v>26</v>
      </c>
      <c r="I43" s="4">
        <v>4</v>
      </c>
      <c r="J43" s="6">
        <v>36.75</v>
      </c>
      <c r="K43" s="6">
        <v>147</v>
      </c>
      <c r="L43" s="5">
        <v>45593</v>
      </c>
      <c r="M43" s="15">
        <f t="shared" si="0"/>
        <v>1</v>
      </c>
      <c r="N43" s="15">
        <f>I43*1.5</f>
        <v>6</v>
      </c>
      <c r="O43" s="15">
        <f>I43*1.5</f>
        <v>6</v>
      </c>
      <c r="P43" s="15">
        <f t="shared" si="1"/>
        <v>2</v>
      </c>
      <c r="Q43" s="16">
        <f t="shared" si="2"/>
        <v>15</v>
      </c>
    </row>
    <row r="44" spans="1:17" ht="15.6" x14ac:dyDescent="0.3">
      <c r="A44" s="4" t="s">
        <v>21</v>
      </c>
      <c r="B44" s="5">
        <v>45586</v>
      </c>
      <c r="C44" s="5" t="s">
        <v>98</v>
      </c>
      <c r="D44" s="4">
        <v>624</v>
      </c>
      <c r="E44" s="4" t="s">
        <v>117</v>
      </c>
      <c r="F44" s="4" t="s">
        <v>119</v>
      </c>
      <c r="G44" s="4" t="s">
        <v>60</v>
      </c>
      <c r="H44" s="4" t="s">
        <v>61</v>
      </c>
      <c r="I44" s="4">
        <v>200</v>
      </c>
      <c r="J44" s="6">
        <v>23</v>
      </c>
      <c r="K44" s="6">
        <v>4600</v>
      </c>
      <c r="L44" s="5">
        <v>45614</v>
      </c>
      <c r="M44" s="15">
        <f t="shared" si="0"/>
        <v>50</v>
      </c>
      <c r="N44" s="15">
        <f>I44*0.6</f>
        <v>120</v>
      </c>
      <c r="O44" s="15">
        <f>I44*5</f>
        <v>1000</v>
      </c>
      <c r="P44" s="15">
        <f t="shared" si="1"/>
        <v>100</v>
      </c>
      <c r="Q44" s="16">
        <f t="shared" si="2"/>
        <v>1270</v>
      </c>
    </row>
    <row r="45" spans="1:17" ht="15.6" x14ac:dyDescent="0.3">
      <c r="A45" s="4" t="s">
        <v>21</v>
      </c>
      <c r="B45" s="5">
        <v>45586</v>
      </c>
      <c r="C45" s="5" t="s">
        <v>98</v>
      </c>
      <c r="D45" s="4">
        <v>624</v>
      </c>
      <c r="E45" s="4" t="s">
        <v>117</v>
      </c>
      <c r="F45" s="4" t="s">
        <v>118</v>
      </c>
      <c r="G45" s="4" t="s">
        <v>60</v>
      </c>
      <c r="H45" s="4" t="s">
        <v>61</v>
      </c>
      <c r="I45" s="4">
        <v>500</v>
      </c>
      <c r="J45" s="6">
        <v>23</v>
      </c>
      <c r="K45" s="6">
        <v>11500</v>
      </c>
      <c r="L45" s="5">
        <v>45614</v>
      </c>
      <c r="M45" s="15">
        <f t="shared" si="0"/>
        <v>125</v>
      </c>
      <c r="N45" s="15">
        <f>I45*0.6</f>
        <v>300</v>
      </c>
      <c r="O45" s="15">
        <f>I45*5</f>
        <v>2500</v>
      </c>
      <c r="P45" s="15">
        <f t="shared" si="1"/>
        <v>250</v>
      </c>
      <c r="Q45" s="16">
        <f t="shared" si="2"/>
        <v>3175</v>
      </c>
    </row>
    <row r="46" spans="1:17" ht="15.6" x14ac:dyDescent="0.3">
      <c r="A46" s="4" t="s">
        <v>62</v>
      </c>
      <c r="B46" s="5">
        <v>45589</v>
      </c>
      <c r="C46" s="4" t="s">
        <v>68</v>
      </c>
      <c r="D46" s="4">
        <v>1022</v>
      </c>
      <c r="E46" s="4" t="s">
        <v>86</v>
      </c>
      <c r="F46" s="4" t="s">
        <v>73</v>
      </c>
      <c r="G46" s="4" t="s">
        <v>36</v>
      </c>
      <c r="H46" s="4" t="s">
        <v>46</v>
      </c>
      <c r="I46" s="4">
        <v>10</v>
      </c>
      <c r="J46" s="6">
        <v>47.5</v>
      </c>
      <c r="K46" s="6">
        <v>475</v>
      </c>
      <c r="L46" s="5">
        <v>45593</v>
      </c>
      <c r="M46" s="15">
        <f t="shared" si="0"/>
        <v>2.5</v>
      </c>
      <c r="N46" s="15">
        <f>I46*1.5</f>
        <v>15</v>
      </c>
      <c r="O46" s="15">
        <f>I46*1.5</f>
        <v>15</v>
      </c>
      <c r="P46" s="15">
        <f t="shared" si="1"/>
        <v>5</v>
      </c>
      <c r="Q46" s="16">
        <f t="shared" si="2"/>
        <v>37.5</v>
      </c>
    </row>
    <row r="47" spans="1:17" ht="15.6" x14ac:dyDescent="0.3">
      <c r="A47" s="4" t="s">
        <v>62</v>
      </c>
      <c r="B47" s="5">
        <v>45589</v>
      </c>
      <c r="C47" s="4" t="s">
        <v>68</v>
      </c>
      <c r="D47" s="4">
        <v>1022</v>
      </c>
      <c r="E47" s="4" t="s">
        <v>86</v>
      </c>
      <c r="F47" s="4" t="s">
        <v>87</v>
      </c>
      <c r="G47" s="4" t="s">
        <v>74</v>
      </c>
      <c r="H47" s="4" t="s">
        <v>26</v>
      </c>
      <c r="I47" s="4">
        <v>6</v>
      </c>
      <c r="J47" s="6">
        <v>36.75</v>
      </c>
      <c r="K47" s="6">
        <v>220.5</v>
      </c>
      <c r="L47" s="5">
        <v>45593</v>
      </c>
      <c r="M47" s="15">
        <f t="shared" si="0"/>
        <v>1.5</v>
      </c>
      <c r="N47" s="15">
        <f>I47*1.5</f>
        <v>9</v>
      </c>
      <c r="O47" s="15">
        <f>I47*1.5</f>
        <v>9</v>
      </c>
      <c r="P47" s="15">
        <f t="shared" si="1"/>
        <v>3</v>
      </c>
      <c r="Q47" s="16">
        <f t="shared" si="2"/>
        <v>22.5</v>
      </c>
    </row>
    <row r="48" spans="1:17" ht="15.6" x14ac:dyDescent="0.3">
      <c r="A48" s="4" t="s">
        <v>21</v>
      </c>
      <c r="B48" s="5">
        <v>45574</v>
      </c>
      <c r="C48" s="4" t="s">
        <v>22</v>
      </c>
      <c r="D48" s="4">
        <v>621</v>
      </c>
      <c r="E48" s="4" t="s">
        <v>71</v>
      </c>
      <c r="F48" s="4" t="s">
        <v>72</v>
      </c>
      <c r="G48" s="4" t="s">
        <v>60</v>
      </c>
      <c r="H48" s="4" t="s">
        <v>61</v>
      </c>
      <c r="I48" s="4">
        <v>500</v>
      </c>
      <c r="J48" s="6">
        <v>7.8</v>
      </c>
      <c r="K48" s="6">
        <v>3900</v>
      </c>
      <c r="L48" s="5">
        <v>45595</v>
      </c>
      <c r="M48" s="15">
        <f t="shared" si="0"/>
        <v>125</v>
      </c>
      <c r="N48" s="15">
        <f>I48*0.5</f>
        <v>250</v>
      </c>
      <c r="O48" s="15">
        <f>I48*1.5</f>
        <v>750</v>
      </c>
      <c r="P48" s="15">
        <f t="shared" si="1"/>
        <v>250</v>
      </c>
      <c r="Q48" s="16">
        <f t="shared" si="2"/>
        <v>1375</v>
      </c>
    </row>
    <row r="49" spans="1:17" ht="15.6" x14ac:dyDescent="0.3">
      <c r="A49" s="4" t="s">
        <v>21</v>
      </c>
      <c r="B49" s="5">
        <v>45565</v>
      </c>
      <c r="C49" s="4" t="s">
        <v>33</v>
      </c>
      <c r="D49" s="4">
        <v>189</v>
      </c>
      <c r="E49" s="4" t="s">
        <v>65</v>
      </c>
      <c r="F49" s="4" t="s">
        <v>66</v>
      </c>
      <c r="G49" s="4" t="s">
        <v>51</v>
      </c>
      <c r="H49" s="4" t="s">
        <v>46</v>
      </c>
      <c r="I49" s="4">
        <v>100</v>
      </c>
      <c r="J49" s="6">
        <v>19.7</v>
      </c>
      <c r="K49" s="6">
        <v>1970</v>
      </c>
      <c r="L49" s="5">
        <v>45593</v>
      </c>
      <c r="M49" s="15">
        <f t="shared" si="0"/>
        <v>25</v>
      </c>
      <c r="N49" s="15">
        <f>I49*0.7</f>
        <v>70</v>
      </c>
      <c r="O49" s="15">
        <f>I49*1.84</f>
        <v>184</v>
      </c>
      <c r="P49" s="15">
        <f t="shared" si="1"/>
        <v>50</v>
      </c>
      <c r="Q49" s="16">
        <f t="shared" si="2"/>
        <v>329</v>
      </c>
    </row>
    <row r="50" spans="1:17" ht="15.6" x14ac:dyDescent="0.3">
      <c r="A50" s="4" t="s">
        <v>21</v>
      </c>
      <c r="B50" s="5">
        <v>45576</v>
      </c>
      <c r="C50" s="4" t="s">
        <v>22</v>
      </c>
      <c r="D50" s="4">
        <v>195</v>
      </c>
      <c r="E50" s="4" t="s">
        <v>104</v>
      </c>
      <c r="F50" s="4" t="s">
        <v>66</v>
      </c>
      <c r="G50" s="4" t="s">
        <v>51</v>
      </c>
      <c r="H50" s="4" t="s">
        <v>46</v>
      </c>
      <c r="I50" s="4">
        <v>100</v>
      </c>
      <c r="J50" s="6">
        <v>19.5</v>
      </c>
      <c r="K50" s="6">
        <v>1950</v>
      </c>
      <c r="L50" s="5">
        <v>45604</v>
      </c>
      <c r="M50" s="15">
        <f t="shared" si="0"/>
        <v>25</v>
      </c>
      <c r="N50" s="15">
        <f>I50*0.7</f>
        <v>70</v>
      </c>
      <c r="O50" s="15">
        <f>I50*1.84</f>
        <v>184</v>
      </c>
      <c r="P50" s="15">
        <f t="shared" si="1"/>
        <v>50</v>
      </c>
      <c r="Q50" s="16">
        <f t="shared" si="2"/>
        <v>329</v>
      </c>
    </row>
    <row r="51" spans="1:17" ht="15.6" x14ac:dyDescent="0.3">
      <c r="A51" s="4" t="s">
        <v>21</v>
      </c>
      <c r="B51" s="5">
        <v>45565</v>
      </c>
      <c r="C51" s="4" t="s">
        <v>55</v>
      </c>
      <c r="D51" s="4">
        <v>1023</v>
      </c>
      <c r="E51" s="4" t="s">
        <v>56</v>
      </c>
      <c r="F51" s="4" t="s">
        <v>57</v>
      </c>
      <c r="G51" s="4" t="s">
        <v>42</v>
      </c>
      <c r="H51" s="4" t="s">
        <v>26</v>
      </c>
      <c r="I51" s="4">
        <v>400</v>
      </c>
      <c r="J51" s="6">
        <v>10.5</v>
      </c>
      <c r="K51" s="6">
        <v>4200</v>
      </c>
      <c r="L51" s="5">
        <v>45593</v>
      </c>
      <c r="M51" s="15">
        <f t="shared" si="0"/>
        <v>100</v>
      </c>
      <c r="N51" s="15">
        <f>I51*1.5</f>
        <v>600</v>
      </c>
      <c r="O51" s="15">
        <f>I51*0.6</f>
        <v>240</v>
      </c>
      <c r="P51" s="15">
        <f t="shared" si="1"/>
        <v>200</v>
      </c>
      <c r="Q51" s="16">
        <f t="shared" si="2"/>
        <v>1140</v>
      </c>
    </row>
    <row r="52" spans="1:17" ht="15.6" x14ac:dyDescent="0.3">
      <c r="A52" s="4" t="s">
        <v>21</v>
      </c>
      <c r="B52" s="5">
        <v>45573</v>
      </c>
      <c r="C52" s="4" t="s">
        <v>55</v>
      </c>
      <c r="D52" s="4">
        <v>191</v>
      </c>
      <c r="E52" s="4" t="s">
        <v>93</v>
      </c>
      <c r="F52" s="4" t="s">
        <v>94</v>
      </c>
      <c r="G52" s="4" t="s">
        <v>95</v>
      </c>
      <c r="H52" s="4" t="s">
        <v>46</v>
      </c>
      <c r="I52" s="4">
        <v>4000</v>
      </c>
      <c r="J52" s="6">
        <v>5.3</v>
      </c>
      <c r="K52" s="6">
        <v>21200</v>
      </c>
      <c r="L52" s="5">
        <v>45601</v>
      </c>
      <c r="M52" s="15">
        <f t="shared" si="0"/>
        <v>1000</v>
      </c>
      <c r="N52" s="15">
        <f>I52*0.5</f>
        <v>2000</v>
      </c>
      <c r="O52" s="15">
        <f>I52*0.6</f>
        <v>2400</v>
      </c>
      <c r="P52" s="15">
        <f t="shared" si="1"/>
        <v>2000</v>
      </c>
      <c r="Q52" s="16">
        <f t="shared" si="2"/>
        <v>7400</v>
      </c>
    </row>
    <row r="53" spans="1:17" x14ac:dyDescent="0.3">
      <c r="M53" s="17"/>
      <c r="N53" s="17"/>
      <c r="O53" s="17"/>
      <c r="P53" s="17"/>
      <c r="Q53" s="16"/>
    </row>
    <row r="54" spans="1:17" ht="18" x14ac:dyDescent="0.35">
      <c r="M54" s="18">
        <f>SUM(M2:M52)</f>
        <v>3267.5</v>
      </c>
      <c r="N54" s="19">
        <f>SUM(N3:N52)</f>
        <v>10827</v>
      </c>
      <c r="O54" s="20">
        <f>SUM(O3:O52)</f>
        <v>24176.42</v>
      </c>
      <c r="P54" s="21">
        <f>SUM(P2:P52)</f>
        <v>6535</v>
      </c>
      <c r="Q54" s="22">
        <f>SUM(Q2:Q52)</f>
        <v>44875.92</v>
      </c>
    </row>
  </sheetData>
  <autoFilter ref="A1:Q52" xr:uid="{E7094FD3-5979-48CE-9F09-56CBA5E18814}">
    <sortState xmlns:xlrd2="http://schemas.microsoft.com/office/spreadsheetml/2017/richdata2" ref="A5:Q50">
      <sortCondition ref="F5:F52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9A06-8134-4C2C-B6DC-8A3ECDE00D4A}">
  <dimension ref="B1:M23"/>
  <sheetViews>
    <sheetView showGridLines="0" zoomScaleNormal="100" workbookViewId="0">
      <selection activeCell="G17" sqref="G17"/>
    </sheetView>
  </sheetViews>
  <sheetFormatPr defaultRowHeight="14.4" x14ac:dyDescent="0.3"/>
  <cols>
    <col min="1" max="1" width="0.33203125" customWidth="1"/>
    <col min="2" max="2" width="7.6640625" customWidth="1"/>
    <col min="3" max="4" width="13.6640625" customWidth="1"/>
    <col min="5" max="5" width="1.44140625" customWidth="1"/>
    <col min="6" max="6" width="13.109375" style="53" customWidth="1"/>
    <col min="7" max="7" width="9.6640625" style="53" customWidth="1"/>
    <col min="8" max="8" width="16.109375" style="53" customWidth="1"/>
    <col min="9" max="9" width="16.109375" customWidth="1"/>
    <col min="10" max="10" width="33.33203125" customWidth="1"/>
    <col min="11" max="11" width="9.33203125" customWidth="1"/>
    <col min="12" max="12" width="15.6640625" bestFit="1" customWidth="1"/>
    <col min="13" max="13" width="18.6640625" customWidth="1"/>
  </cols>
  <sheetData>
    <row r="1" spans="2:13" ht="7.95" customHeight="1" thickBot="1" x14ac:dyDescent="0.35"/>
    <row r="2" spans="2:13" s="54" customFormat="1" ht="15" thickTop="1" x14ac:dyDescent="0.3">
      <c r="B2" s="261" t="s">
        <v>231</v>
      </c>
      <c r="C2" s="261"/>
      <c r="D2" s="261"/>
      <c r="F2" s="255" t="s">
        <v>232</v>
      </c>
      <c r="G2" s="256"/>
      <c r="H2" s="257"/>
      <c r="I2" s="258"/>
      <c r="L2" s="255" t="s">
        <v>233</v>
      </c>
      <c r="M2" s="258"/>
    </row>
    <row r="3" spans="2:13" x14ac:dyDescent="0.3">
      <c r="B3" s="70" t="s">
        <v>234</v>
      </c>
      <c r="C3" s="70" t="s">
        <v>235</v>
      </c>
      <c r="D3" s="70" t="s">
        <v>236</v>
      </c>
      <c r="F3" s="229" t="s">
        <v>6</v>
      </c>
      <c r="G3" s="57" t="s">
        <v>237</v>
      </c>
      <c r="H3" s="68" t="s">
        <v>235</v>
      </c>
      <c r="I3" s="230" t="s">
        <v>236</v>
      </c>
      <c r="L3" s="259" t="s">
        <v>238</v>
      </c>
      <c r="M3" s="260"/>
    </row>
    <row r="4" spans="2:13" x14ac:dyDescent="0.3">
      <c r="B4" s="55">
        <f>'PCP + MO '!J1629</f>
        <v>24489</v>
      </c>
      <c r="C4" s="56">
        <f>'PCP + MO '!L1629</f>
        <v>419654.5</v>
      </c>
      <c r="D4" s="56">
        <f>'PCP + MO '!M1629</f>
        <v>246959.5</v>
      </c>
      <c r="F4" s="62" t="s">
        <v>239</v>
      </c>
      <c r="G4" s="65">
        <v>5160</v>
      </c>
      <c r="H4" s="71">
        <v>114359</v>
      </c>
      <c r="I4" s="63">
        <v>93172.5</v>
      </c>
      <c r="L4" s="58" t="s">
        <v>15</v>
      </c>
      <c r="M4" s="59">
        <f>'PCP + MO '!R1629</f>
        <v>0</v>
      </c>
    </row>
    <row r="5" spans="2:13" x14ac:dyDescent="0.3">
      <c r="F5" s="62" t="s">
        <v>240</v>
      </c>
      <c r="G5" s="65">
        <v>1863</v>
      </c>
      <c r="H5" s="69">
        <v>47509.5</v>
      </c>
      <c r="I5" s="63">
        <v>29076.62</v>
      </c>
      <c r="L5" s="58" t="s">
        <v>16</v>
      </c>
      <c r="M5" s="59">
        <f>'PCP + MO '!S1629</f>
        <v>0</v>
      </c>
    </row>
    <row r="6" spans="2:13" x14ac:dyDescent="0.3">
      <c r="F6" s="62" t="s">
        <v>241</v>
      </c>
      <c r="G6" s="65">
        <v>2000</v>
      </c>
      <c r="H6" s="69">
        <v>18620</v>
      </c>
      <c r="I6" s="63">
        <v>10810</v>
      </c>
      <c r="L6" s="58" t="s">
        <v>17</v>
      </c>
      <c r="M6" s="59">
        <f>'PCP + MO '!T1629</f>
        <v>0</v>
      </c>
    </row>
    <row r="7" spans="2:13" x14ac:dyDescent="0.3">
      <c r="F7" s="62" t="s">
        <v>242</v>
      </c>
      <c r="G7" s="65">
        <v>1500</v>
      </c>
      <c r="H7" s="69">
        <v>24000</v>
      </c>
      <c r="I7" s="63">
        <v>24000</v>
      </c>
      <c r="L7" s="101" t="s">
        <v>18</v>
      </c>
      <c r="M7" s="59">
        <f>'PCP + MO '!U1629</f>
        <v>0</v>
      </c>
    </row>
    <row r="8" spans="2:13" ht="15" thickBot="1" x14ac:dyDescent="0.35">
      <c r="F8" s="62" t="s">
        <v>243</v>
      </c>
      <c r="G8" s="65">
        <v>1190</v>
      </c>
      <c r="H8" s="69">
        <v>30075</v>
      </c>
      <c r="I8" s="63">
        <v>27400</v>
      </c>
      <c r="L8" s="60" t="s">
        <v>244</v>
      </c>
      <c r="M8" s="61">
        <f>SUM(M4:M7)</f>
        <v>0</v>
      </c>
    </row>
    <row r="9" spans="2:13" ht="15" thickTop="1" x14ac:dyDescent="0.3">
      <c r="F9" s="62" t="s">
        <v>245</v>
      </c>
      <c r="G9" s="65">
        <v>865</v>
      </c>
      <c r="H9" s="69">
        <v>19575</v>
      </c>
      <c r="I9" s="63">
        <v>16262.5</v>
      </c>
    </row>
    <row r="10" spans="2:13" x14ac:dyDescent="0.3">
      <c r="F10" s="62" t="s">
        <v>246</v>
      </c>
      <c r="G10" s="65">
        <v>400</v>
      </c>
      <c r="H10" s="71">
        <v>9800</v>
      </c>
      <c r="I10" s="63">
        <v>9800</v>
      </c>
    </row>
    <row r="11" spans="2:13" x14ac:dyDescent="0.3">
      <c r="F11" s="62" t="s">
        <v>247</v>
      </c>
      <c r="G11" s="65">
        <v>170</v>
      </c>
      <c r="H11" s="71">
        <v>8280</v>
      </c>
      <c r="I11" s="63">
        <v>270</v>
      </c>
    </row>
    <row r="12" spans="2:13" x14ac:dyDescent="0.3">
      <c r="F12" s="62" t="s">
        <v>248</v>
      </c>
      <c r="G12" s="65">
        <v>100</v>
      </c>
      <c r="H12" s="71">
        <v>3500</v>
      </c>
      <c r="I12" s="63">
        <v>0</v>
      </c>
    </row>
    <row r="13" spans="2:13" x14ac:dyDescent="0.3">
      <c r="F13" s="62" t="s">
        <v>249</v>
      </c>
      <c r="G13" s="65">
        <v>100</v>
      </c>
      <c r="H13" s="71">
        <v>1100</v>
      </c>
      <c r="I13" s="63">
        <v>1100</v>
      </c>
    </row>
    <row r="14" spans="2:13" x14ac:dyDescent="0.3">
      <c r="F14" s="62" t="s">
        <v>250</v>
      </c>
      <c r="G14" s="65">
        <v>500</v>
      </c>
      <c r="H14" s="71">
        <v>1250</v>
      </c>
      <c r="I14" s="63">
        <v>1250</v>
      </c>
    </row>
    <row r="15" spans="2:13" x14ac:dyDescent="0.3">
      <c r="F15" s="62" t="s">
        <v>251</v>
      </c>
      <c r="G15" s="65">
        <v>25</v>
      </c>
      <c r="H15" s="71">
        <v>1875</v>
      </c>
      <c r="I15" s="63">
        <v>1875</v>
      </c>
    </row>
    <row r="16" spans="2:13" x14ac:dyDescent="0.3">
      <c r="F16" s="62" t="s">
        <v>252</v>
      </c>
      <c r="G16" s="65">
        <v>44</v>
      </c>
      <c r="H16" s="71">
        <v>1044</v>
      </c>
      <c r="I16" s="63">
        <v>960</v>
      </c>
    </row>
    <row r="17" spans="3:9" x14ac:dyDescent="0.3">
      <c r="F17" s="62" t="s">
        <v>253</v>
      </c>
      <c r="G17" s="65">
        <v>7</v>
      </c>
      <c r="H17" s="71">
        <v>595</v>
      </c>
      <c r="I17" s="63">
        <v>0</v>
      </c>
    </row>
    <row r="18" spans="3:9" x14ac:dyDescent="0.3">
      <c r="F18" s="62" t="s">
        <v>254</v>
      </c>
      <c r="G18" s="65">
        <v>1</v>
      </c>
      <c r="H18" s="71">
        <v>65</v>
      </c>
      <c r="I18" s="63">
        <v>32.5</v>
      </c>
    </row>
    <row r="19" spans="3:9" ht="15" thickBot="1" x14ac:dyDescent="0.35">
      <c r="F19" s="77" t="s">
        <v>244</v>
      </c>
      <c r="G19" s="66">
        <f>SUM(G4:G18)</f>
        <v>13925</v>
      </c>
      <c r="H19" s="67">
        <f>SUM(H4:H18)</f>
        <v>281647.5</v>
      </c>
      <c r="I19" s="67">
        <f>SUM(I4:I18)</f>
        <v>216009.12</v>
      </c>
    </row>
    <row r="20" spans="3:9" x14ac:dyDescent="0.3">
      <c r="F20" s="262" t="s">
        <v>255</v>
      </c>
      <c r="G20" s="263"/>
      <c r="H20" s="264"/>
      <c r="I20" s="78">
        <f>H19/G19</f>
        <v>20.226032315978458</v>
      </c>
    </row>
    <row r="21" spans="3:9" ht="15" thickBot="1" x14ac:dyDescent="0.35">
      <c r="F21" s="265" t="s">
        <v>256</v>
      </c>
      <c r="G21" s="266"/>
      <c r="H21" s="267"/>
      <c r="I21" s="79">
        <f>100%-I19/H19</f>
        <v>0.23305152717492617</v>
      </c>
    </row>
    <row r="22" spans="3:9" x14ac:dyDescent="0.3">
      <c r="C22" s="254"/>
      <c r="D22" s="254"/>
      <c r="E22" s="254"/>
      <c r="F22" s="254"/>
      <c r="G22" s="254"/>
      <c r="H22" s="254"/>
      <c r="I22" s="254"/>
    </row>
    <row r="23" spans="3:9" x14ac:dyDescent="0.3">
      <c r="C23" s="254"/>
      <c r="D23" s="254"/>
      <c r="E23" s="254"/>
      <c r="F23" s="254"/>
      <c r="G23" s="254"/>
      <c r="H23" s="254"/>
      <c r="I23" s="254"/>
    </row>
  </sheetData>
  <sortState xmlns:xlrd2="http://schemas.microsoft.com/office/spreadsheetml/2017/richdata2" ref="F4:I18">
    <sortCondition descending="1" ref="H4:H18"/>
  </sortState>
  <mergeCells count="8">
    <mergeCell ref="C23:I23"/>
    <mergeCell ref="C22:I22"/>
    <mergeCell ref="F2:I2"/>
    <mergeCell ref="L2:M2"/>
    <mergeCell ref="L3:M3"/>
    <mergeCell ref="B2:D2"/>
    <mergeCell ref="F20:H20"/>
    <mergeCell ref="F21:H2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5EB4-7E18-4E92-A81B-480E3B3646B1}">
  <dimension ref="B1:O74"/>
  <sheetViews>
    <sheetView showGridLines="0" zoomScaleNormal="100" workbookViewId="0">
      <selection activeCell="D23" sqref="D23"/>
    </sheetView>
  </sheetViews>
  <sheetFormatPr defaultColWidth="8.6640625" defaultRowHeight="13.8" x14ac:dyDescent="0.3"/>
  <cols>
    <col min="1" max="1" width="1.6640625" style="48" customWidth="1"/>
    <col min="2" max="2" width="11.6640625" style="48" customWidth="1"/>
    <col min="3" max="3" width="11" style="50" bestFit="1" customWidth="1"/>
    <col min="4" max="4" width="14.109375" style="72" bestFit="1" customWidth="1"/>
    <col min="5" max="5" width="15" style="73" customWidth="1"/>
    <col min="6" max="6" width="13.44140625" style="74" customWidth="1"/>
    <col min="7" max="7" width="12" style="48" customWidth="1"/>
    <col min="8" max="9" width="14.33203125" style="48" customWidth="1"/>
    <col min="10" max="10" width="11" style="48" customWidth="1"/>
    <col min="11" max="11" width="16.5546875" style="48" customWidth="1"/>
    <col min="12" max="14" width="15" style="48" customWidth="1"/>
    <col min="15" max="15" width="12" style="48" customWidth="1"/>
    <col min="16" max="16384" width="8.6640625" style="48"/>
  </cols>
  <sheetData>
    <row r="1" spans="2:5" ht="4.2" customHeight="1" x14ac:dyDescent="0.3"/>
    <row r="2" spans="2:5" x14ac:dyDescent="0.3">
      <c r="B2" s="270" t="s">
        <v>231</v>
      </c>
      <c r="C2" s="270"/>
      <c r="D2" s="270"/>
    </row>
    <row r="3" spans="2:5" x14ac:dyDescent="0.3">
      <c r="B3" s="86" t="s">
        <v>257</v>
      </c>
      <c r="C3" s="272"/>
      <c r="D3" s="272"/>
    </row>
    <row r="4" spans="2:5" x14ac:dyDescent="0.3">
      <c r="B4" s="86" t="s">
        <v>258</v>
      </c>
      <c r="C4" s="271"/>
      <c r="D4" s="271"/>
    </row>
    <row r="5" spans="2:5" ht="4.2" customHeight="1" x14ac:dyDescent="0.3"/>
    <row r="6" spans="2:5" s="75" customFormat="1" ht="14.7" customHeight="1" x14ac:dyDescent="0.3">
      <c r="B6" s="273" t="s">
        <v>259</v>
      </c>
      <c r="C6" s="273"/>
      <c r="D6" s="273"/>
      <c r="E6" s="274"/>
    </row>
    <row r="7" spans="2:5" s="50" customFormat="1" x14ac:dyDescent="0.3">
      <c r="B7" s="87" t="s">
        <v>260</v>
      </c>
      <c r="C7" s="87" t="s">
        <v>261</v>
      </c>
      <c r="D7" s="88" t="s">
        <v>262</v>
      </c>
      <c r="E7" s="89" t="s">
        <v>263</v>
      </c>
    </row>
    <row r="8" spans="2:5" x14ac:dyDescent="0.3">
      <c r="B8" s="64" t="s">
        <v>264</v>
      </c>
      <c r="C8" s="49">
        <v>42</v>
      </c>
      <c r="D8" s="76">
        <v>19516</v>
      </c>
      <c r="E8" s="231">
        <v>397092.25</v>
      </c>
    </row>
    <row r="9" spans="2:5" x14ac:dyDescent="0.3">
      <c r="B9" s="64" t="s">
        <v>265</v>
      </c>
      <c r="C9" s="49">
        <v>40</v>
      </c>
      <c r="D9" s="76">
        <v>31359</v>
      </c>
      <c r="E9" s="231">
        <v>575422.5</v>
      </c>
    </row>
    <row r="10" spans="2:5" x14ac:dyDescent="0.3">
      <c r="B10" s="64" t="s">
        <v>266</v>
      </c>
      <c r="C10" s="49">
        <v>51</v>
      </c>
      <c r="D10" s="76">
        <v>12014</v>
      </c>
      <c r="E10" s="231">
        <v>283366.5</v>
      </c>
    </row>
    <row r="11" spans="2:5" x14ac:dyDescent="0.3">
      <c r="B11" s="64" t="s">
        <v>267</v>
      </c>
      <c r="C11" s="49">
        <v>42</v>
      </c>
      <c r="D11" s="76">
        <v>10970</v>
      </c>
      <c r="E11" s="231">
        <v>221481.5</v>
      </c>
    </row>
    <row r="12" spans="2:5" x14ac:dyDescent="0.3">
      <c r="B12" s="64" t="s">
        <v>268</v>
      </c>
      <c r="C12" s="49">
        <f t="shared" ref="C12:E13" si="0">C26</f>
        <v>49</v>
      </c>
      <c r="D12" s="76">
        <f t="shared" si="0"/>
        <v>17849</v>
      </c>
      <c r="E12" s="231">
        <f t="shared" si="0"/>
        <v>244599.75</v>
      </c>
    </row>
    <row r="13" spans="2:5" x14ac:dyDescent="0.3">
      <c r="B13" s="64" t="s">
        <v>269</v>
      </c>
      <c r="C13" s="49">
        <f t="shared" si="0"/>
        <v>43</v>
      </c>
      <c r="D13" s="76">
        <f t="shared" si="0"/>
        <v>13011</v>
      </c>
      <c r="E13" s="231">
        <f t="shared" si="0"/>
        <v>279023.5</v>
      </c>
    </row>
    <row r="14" spans="2:5" x14ac:dyDescent="0.3">
      <c r="B14" s="64" t="s">
        <v>270</v>
      </c>
      <c r="C14" s="49">
        <v>62</v>
      </c>
      <c r="D14" s="76">
        <v>18150</v>
      </c>
      <c r="E14" s="51">
        <v>370963</v>
      </c>
    </row>
    <row r="15" spans="2:5" x14ac:dyDescent="0.3">
      <c r="B15" s="64" t="s">
        <v>271</v>
      </c>
      <c r="C15" s="49">
        <v>48</v>
      </c>
      <c r="D15" s="76">
        <v>15392</v>
      </c>
      <c r="E15" s="231">
        <v>255680.25</v>
      </c>
    </row>
    <row r="16" spans="2:5" x14ac:dyDescent="0.3">
      <c r="B16" s="64" t="s">
        <v>272</v>
      </c>
      <c r="C16" s="49">
        <v>19</v>
      </c>
      <c r="D16" s="76">
        <v>7394</v>
      </c>
      <c r="E16" s="231">
        <v>151501.5</v>
      </c>
    </row>
    <row r="17" spans="2:15" x14ac:dyDescent="0.3">
      <c r="B17" s="90" t="s">
        <v>244</v>
      </c>
      <c r="C17" s="91">
        <f>SUM(C8:C16)</f>
        <v>396</v>
      </c>
      <c r="D17" s="92">
        <f t="shared" ref="D17:E17" si="1">SUM(D8:D16)</f>
        <v>145655</v>
      </c>
      <c r="E17" s="93">
        <f t="shared" si="1"/>
        <v>2779130.75</v>
      </c>
    </row>
    <row r="18" spans="2:15" ht="15.45" customHeight="1" x14ac:dyDescent="0.3"/>
    <row r="19" spans="2:15" ht="15.45" customHeight="1" x14ac:dyDescent="0.3">
      <c r="B19" s="276" t="s">
        <v>273</v>
      </c>
      <c r="C19" s="276"/>
      <c r="D19" s="276"/>
      <c r="E19" s="276"/>
      <c r="F19" s="275" t="s">
        <v>274</v>
      </c>
      <c r="G19" s="275"/>
      <c r="H19" s="275"/>
      <c r="I19" s="275"/>
      <c r="K19" s="87" t="s">
        <v>275</v>
      </c>
      <c r="L19" s="87" t="s">
        <v>276</v>
      </c>
      <c r="M19" s="87" t="s">
        <v>277</v>
      </c>
      <c r="N19" s="87" t="s">
        <v>278</v>
      </c>
    </row>
    <row r="20" spans="2:15" ht="14.7" customHeight="1" x14ac:dyDescent="0.3">
      <c r="B20" s="277" t="s">
        <v>275</v>
      </c>
      <c r="C20" s="279" t="s">
        <v>279</v>
      </c>
      <c r="D20" s="281" t="s">
        <v>280</v>
      </c>
      <c r="E20" s="283" t="s">
        <v>281</v>
      </c>
      <c r="F20" s="287" t="s">
        <v>282</v>
      </c>
      <c r="G20" s="289" t="s">
        <v>283</v>
      </c>
      <c r="H20" s="289" t="s">
        <v>284</v>
      </c>
      <c r="I20" s="268" t="s">
        <v>285</v>
      </c>
      <c r="K20" s="49" t="s">
        <v>264</v>
      </c>
      <c r="L20" s="111">
        <v>397092.25</v>
      </c>
      <c r="M20" s="111">
        <v>255543</v>
      </c>
      <c r="N20" s="111">
        <v>480901.63</v>
      </c>
      <c r="O20" s="112"/>
    </row>
    <row r="21" spans="2:15" x14ac:dyDescent="0.3">
      <c r="B21" s="278"/>
      <c r="C21" s="280"/>
      <c r="D21" s="282"/>
      <c r="E21" s="284"/>
      <c r="F21" s="288"/>
      <c r="G21" s="290"/>
      <c r="H21" s="290"/>
      <c r="I21" s="269"/>
      <c r="K21" s="49" t="s">
        <v>265</v>
      </c>
      <c r="L21" s="111">
        <v>575422.5</v>
      </c>
      <c r="M21" s="111">
        <v>369011</v>
      </c>
      <c r="N21" s="111">
        <v>503604.63</v>
      </c>
      <c r="O21" s="112"/>
    </row>
    <row r="22" spans="2:15" x14ac:dyDescent="0.3">
      <c r="B22" s="80" t="s">
        <v>264</v>
      </c>
      <c r="C22" s="49">
        <v>42</v>
      </c>
      <c r="D22" s="76">
        <v>19516</v>
      </c>
      <c r="E22" s="81">
        <v>397092.25</v>
      </c>
      <c r="F22" s="76">
        <v>20</v>
      </c>
      <c r="G22" s="76">
        <f>C22/F22</f>
        <v>2.1</v>
      </c>
      <c r="H22" s="76">
        <f>D22/F22</f>
        <v>975.8</v>
      </c>
      <c r="I22" s="231">
        <f>E22/F22</f>
        <v>19854.612499999999</v>
      </c>
      <c r="K22" s="49" t="s">
        <v>266</v>
      </c>
      <c r="L22" s="111">
        <v>283366.5</v>
      </c>
      <c r="M22" s="111">
        <v>342831.95</v>
      </c>
      <c r="N22" s="111">
        <v>296535.03999999998</v>
      </c>
      <c r="O22" s="112"/>
    </row>
    <row r="23" spans="2:15" x14ac:dyDescent="0.3">
      <c r="B23" s="80" t="s">
        <v>265</v>
      </c>
      <c r="C23" s="49">
        <v>40</v>
      </c>
      <c r="D23" s="76">
        <v>31359</v>
      </c>
      <c r="E23" s="81">
        <v>575422.5</v>
      </c>
      <c r="F23" s="76">
        <v>21</v>
      </c>
      <c r="G23" s="76">
        <f t="shared" ref="G23:G26" si="2">C23/F23</f>
        <v>1.9047619047619047</v>
      </c>
      <c r="H23" s="76">
        <f t="shared" ref="H23:H26" si="3">D23/F23</f>
        <v>1493.2857142857142</v>
      </c>
      <c r="I23" s="231">
        <f t="shared" ref="I23:I26" si="4">E23/F23</f>
        <v>27401.071428571428</v>
      </c>
      <c r="K23" s="49" t="s">
        <v>267</v>
      </c>
      <c r="L23" s="111">
        <v>221481.5</v>
      </c>
      <c r="M23" s="111">
        <v>576329.75</v>
      </c>
      <c r="N23" s="111">
        <v>401333.98</v>
      </c>
      <c r="O23" s="112"/>
    </row>
    <row r="24" spans="2:15" x14ac:dyDescent="0.3">
      <c r="B24" s="80" t="s">
        <v>266</v>
      </c>
      <c r="C24" s="49">
        <v>51</v>
      </c>
      <c r="D24" s="76">
        <v>12014</v>
      </c>
      <c r="E24" s="81">
        <v>283366.5</v>
      </c>
      <c r="F24" s="76">
        <v>20</v>
      </c>
      <c r="G24" s="76">
        <f t="shared" si="2"/>
        <v>2.5499999999999998</v>
      </c>
      <c r="H24" s="76">
        <f t="shared" si="3"/>
        <v>600.70000000000005</v>
      </c>
      <c r="I24" s="231">
        <f t="shared" si="4"/>
        <v>14168.325000000001</v>
      </c>
      <c r="K24" s="231" t="s">
        <v>268</v>
      </c>
      <c r="L24" s="111">
        <f>E26</f>
        <v>244599.75</v>
      </c>
      <c r="M24" s="111">
        <v>330213.95</v>
      </c>
      <c r="N24" s="111">
        <v>297759.34000000003</v>
      </c>
      <c r="O24" s="112"/>
    </row>
    <row r="25" spans="2:15" x14ac:dyDescent="0.3">
      <c r="B25" s="80" t="s">
        <v>267</v>
      </c>
      <c r="C25" s="49">
        <v>42</v>
      </c>
      <c r="D25" s="76">
        <v>10970</v>
      </c>
      <c r="E25" s="81">
        <v>221481.5</v>
      </c>
      <c r="F25" s="76">
        <v>22</v>
      </c>
      <c r="G25" s="76">
        <f t="shared" si="2"/>
        <v>1.9090909090909092</v>
      </c>
      <c r="H25" s="76">
        <f t="shared" si="3"/>
        <v>498.63636363636363</v>
      </c>
      <c r="I25" s="231">
        <f t="shared" si="4"/>
        <v>10067.34090909091</v>
      </c>
      <c r="K25" s="231" t="s">
        <v>269</v>
      </c>
      <c r="L25" s="111">
        <f>E27</f>
        <v>279023.5</v>
      </c>
      <c r="M25" s="111">
        <v>216774</v>
      </c>
      <c r="N25" s="111">
        <v>183954.49</v>
      </c>
      <c r="O25" s="112"/>
    </row>
    <row r="26" spans="2:15" x14ac:dyDescent="0.3">
      <c r="B26" s="80" t="s">
        <v>268</v>
      </c>
      <c r="C26" s="49">
        <v>49</v>
      </c>
      <c r="D26" s="76">
        <v>17849</v>
      </c>
      <c r="E26" s="81">
        <v>244599.75</v>
      </c>
      <c r="F26" s="76">
        <v>21</v>
      </c>
      <c r="G26" s="76">
        <f t="shared" si="2"/>
        <v>2.3333333333333335</v>
      </c>
      <c r="H26" s="76">
        <f t="shared" si="3"/>
        <v>849.95238095238096</v>
      </c>
      <c r="I26" s="231">
        <f t="shared" si="4"/>
        <v>11647.607142857143</v>
      </c>
      <c r="K26" s="231" t="s">
        <v>270</v>
      </c>
      <c r="L26" s="111">
        <f>E28</f>
        <v>370963</v>
      </c>
      <c r="M26" s="111"/>
      <c r="N26" s="111"/>
      <c r="O26" s="112"/>
    </row>
    <row r="27" spans="2:15" x14ac:dyDescent="0.3">
      <c r="B27" s="80" t="s">
        <v>269</v>
      </c>
      <c r="C27" s="49">
        <v>43</v>
      </c>
      <c r="D27" s="76">
        <v>13011</v>
      </c>
      <c r="E27" s="81">
        <v>279023.5</v>
      </c>
      <c r="F27" s="76">
        <v>21</v>
      </c>
      <c r="G27" s="76">
        <f t="shared" ref="G27" si="5">C27/F27</f>
        <v>2.0476190476190474</v>
      </c>
      <c r="H27" s="76">
        <f t="shared" ref="H27" si="6">D27/F27</f>
        <v>619.57142857142856</v>
      </c>
      <c r="I27" s="231">
        <f t="shared" ref="I27" si="7">E27/F27</f>
        <v>13286.833333333334</v>
      </c>
    </row>
    <row r="28" spans="2:15" x14ac:dyDescent="0.3">
      <c r="B28" s="80" t="s">
        <v>270</v>
      </c>
      <c r="C28" s="49">
        <v>62</v>
      </c>
      <c r="D28" s="76">
        <v>18150</v>
      </c>
      <c r="E28" s="81">
        <v>370963</v>
      </c>
      <c r="F28" s="76">
        <v>23</v>
      </c>
      <c r="G28" s="76">
        <f t="shared" ref="G28:G29" si="8">C28/F28</f>
        <v>2.6956521739130435</v>
      </c>
      <c r="H28" s="76">
        <f t="shared" ref="H28:H29" si="9">D28/F28</f>
        <v>789.13043478260875</v>
      </c>
      <c r="I28" s="231">
        <f t="shared" ref="I28:I29" si="10">E28/F28</f>
        <v>16128.826086956522</v>
      </c>
    </row>
    <row r="29" spans="2:15" x14ac:dyDescent="0.3">
      <c r="B29" s="80" t="s">
        <v>271</v>
      </c>
      <c r="C29" s="49">
        <v>48</v>
      </c>
      <c r="D29" s="76">
        <v>15392</v>
      </c>
      <c r="E29" s="81">
        <v>255680.25</v>
      </c>
      <c r="F29" s="76">
        <v>20</v>
      </c>
      <c r="G29" s="76">
        <f t="shared" si="8"/>
        <v>2.4</v>
      </c>
      <c r="H29" s="76">
        <f t="shared" si="9"/>
        <v>769.6</v>
      </c>
      <c r="I29" s="231">
        <f t="shared" si="10"/>
        <v>12784.012500000001</v>
      </c>
    </row>
    <row r="30" spans="2:15" x14ac:dyDescent="0.3">
      <c r="B30" s="80"/>
      <c r="C30" s="49"/>
      <c r="D30" s="76"/>
      <c r="E30" s="81"/>
      <c r="F30" s="76"/>
      <c r="G30" s="76"/>
      <c r="H30" s="76"/>
      <c r="I30" s="231"/>
    </row>
    <row r="31" spans="2:15" x14ac:dyDescent="0.3">
      <c r="B31" s="82" t="s">
        <v>244</v>
      </c>
      <c r="C31" s="83">
        <f>SUM(C22:C29)</f>
        <v>377</v>
      </c>
      <c r="D31" s="84">
        <f>SUM(D22:D29)</f>
        <v>138261</v>
      </c>
      <c r="E31" s="85">
        <f>SUM(E22:E29)</f>
        <v>2627629.25</v>
      </c>
      <c r="F31" s="99">
        <f>AVERAGE(F22:F28)</f>
        <v>21.142857142857142</v>
      </c>
      <c r="G31" s="99">
        <f>AVERAGE(G22:G27)</f>
        <v>2.1408008658008657</v>
      </c>
      <c r="H31" s="99">
        <f>AVERAGE(H22:H27)</f>
        <v>839.65764790764786</v>
      </c>
      <c r="I31" s="100">
        <f>AVERAGE(I22:I27)</f>
        <v>16070.9650523088</v>
      </c>
    </row>
    <row r="32" spans="2:15" x14ac:dyDescent="0.3">
      <c r="B32" s="90" t="s">
        <v>286</v>
      </c>
      <c r="C32" s="92">
        <f>AVERAGE(C22:C26)</f>
        <v>44.8</v>
      </c>
      <c r="D32" s="92">
        <f>AVERAGE(D22:D26)</f>
        <v>18341.599999999999</v>
      </c>
      <c r="E32" s="94">
        <f>AVERAGE(E22:E26)</f>
        <v>344392.5</v>
      </c>
    </row>
    <row r="34" spans="2:9" ht="33.6" customHeight="1" x14ac:dyDescent="0.3">
      <c r="B34" s="285" t="s">
        <v>287</v>
      </c>
      <c r="C34" s="286"/>
      <c r="G34" s="98"/>
    </row>
    <row r="35" spans="2:9" x14ac:dyDescent="0.3">
      <c r="B35" s="113" t="s">
        <v>264</v>
      </c>
      <c r="C35" s="114">
        <f>E29/E22</f>
        <v>0.6438812391830866</v>
      </c>
      <c r="G35" s="97"/>
    </row>
    <row r="36" spans="2:9" x14ac:dyDescent="0.3">
      <c r="B36" s="113" t="s">
        <v>265</v>
      </c>
      <c r="C36" s="114">
        <f>E29/E23</f>
        <v>0.44433481485343379</v>
      </c>
      <c r="G36" s="97" t="s">
        <v>276</v>
      </c>
    </row>
    <row r="37" spans="2:9" x14ac:dyDescent="0.3">
      <c r="B37" s="113" t="s">
        <v>266</v>
      </c>
      <c r="C37" s="114">
        <f>E29/E24</f>
        <v>0.90229526073124378</v>
      </c>
      <c r="G37" s="97" t="s">
        <v>277</v>
      </c>
    </row>
    <row r="38" spans="2:9" x14ac:dyDescent="0.3">
      <c r="B38" s="113" t="s">
        <v>267</v>
      </c>
      <c r="C38" s="114">
        <f>E29/E25</f>
        <v>1.1544090589958982</v>
      </c>
      <c r="G38" s="97" t="s">
        <v>278</v>
      </c>
    </row>
    <row r="39" spans="2:9" x14ac:dyDescent="0.3">
      <c r="B39" s="113" t="s">
        <v>268</v>
      </c>
      <c r="C39" s="114">
        <f>E29/E26</f>
        <v>1.0453005368975234</v>
      </c>
      <c r="G39" s="97"/>
    </row>
    <row r="40" spans="2:9" x14ac:dyDescent="0.3">
      <c r="B40" s="113" t="s">
        <v>269</v>
      </c>
      <c r="C40" s="114">
        <f>E29/E27</f>
        <v>0.91633948395027653</v>
      </c>
      <c r="G40" s="97"/>
    </row>
    <row r="41" spans="2:9" x14ac:dyDescent="0.3">
      <c r="B41" s="113" t="s">
        <v>270</v>
      </c>
      <c r="C41" s="114"/>
      <c r="G41" s="97"/>
    </row>
    <row r="42" spans="2:9" x14ac:dyDescent="0.3">
      <c r="B42" s="113" t="s">
        <v>271</v>
      </c>
      <c r="C42" s="114"/>
      <c r="G42" s="97"/>
    </row>
    <row r="43" spans="2:9" x14ac:dyDescent="0.3">
      <c r="G43" s="97"/>
      <c r="I43" s="48" t="s">
        <v>288</v>
      </c>
    </row>
    <row r="44" spans="2:9" x14ac:dyDescent="0.3">
      <c r="B44" s="87" t="s">
        <v>260</v>
      </c>
      <c r="C44" s="87" t="s">
        <v>276</v>
      </c>
      <c r="D44" s="87" t="s">
        <v>277</v>
      </c>
      <c r="G44" s="97"/>
      <c r="H44" s="97"/>
    </row>
    <row r="45" spans="2:9" x14ac:dyDescent="0.3">
      <c r="B45" s="95" t="s">
        <v>264</v>
      </c>
      <c r="C45" s="105">
        <v>397092.25</v>
      </c>
      <c r="D45" s="96">
        <v>255543</v>
      </c>
    </row>
    <row r="46" spans="2:9" x14ac:dyDescent="0.3">
      <c r="B46" s="95" t="s">
        <v>265</v>
      </c>
      <c r="C46" s="105">
        <v>575422.5</v>
      </c>
      <c r="D46" s="96">
        <v>369011</v>
      </c>
    </row>
    <row r="47" spans="2:9" x14ac:dyDescent="0.3">
      <c r="B47" s="95" t="s">
        <v>266</v>
      </c>
      <c r="C47" s="105">
        <v>283366.5</v>
      </c>
      <c r="D47" s="96">
        <v>342831.95</v>
      </c>
    </row>
    <row r="48" spans="2:9" x14ac:dyDescent="0.3">
      <c r="B48" s="95" t="s">
        <v>267</v>
      </c>
      <c r="C48" s="105">
        <v>221481.5</v>
      </c>
      <c r="D48" s="96">
        <v>576329.75</v>
      </c>
    </row>
    <row r="49" spans="2:4" x14ac:dyDescent="0.3">
      <c r="B49" s="95" t="s">
        <v>268</v>
      </c>
      <c r="C49" s="105">
        <v>244599.75</v>
      </c>
      <c r="D49" s="96">
        <v>330213.95</v>
      </c>
    </row>
    <row r="50" spans="2:4" x14ac:dyDescent="0.3">
      <c r="B50" s="95" t="s">
        <v>269</v>
      </c>
      <c r="C50" s="105">
        <f>E27</f>
        <v>279023.5</v>
      </c>
      <c r="D50" s="96">
        <v>216774</v>
      </c>
    </row>
    <row r="51" spans="2:4" x14ac:dyDescent="0.3">
      <c r="B51" s="95" t="s">
        <v>270</v>
      </c>
      <c r="C51" s="105">
        <f>E28</f>
        <v>370963</v>
      </c>
      <c r="D51" s="96"/>
    </row>
    <row r="68" spans="2:5" ht="15.6" customHeight="1" x14ac:dyDescent="0.3">
      <c r="B68" s="291" t="s">
        <v>289</v>
      </c>
      <c r="C68" s="292"/>
      <c r="D68" s="292"/>
      <c r="E68" s="293"/>
    </row>
    <row r="69" spans="2:5" x14ac:dyDescent="0.3">
      <c r="B69" s="87" t="s">
        <v>290</v>
      </c>
      <c r="C69" s="87" t="s">
        <v>279</v>
      </c>
      <c r="D69" s="87" t="s">
        <v>257</v>
      </c>
      <c r="E69" s="87" t="s">
        <v>291</v>
      </c>
    </row>
    <row r="70" spans="2:5" x14ac:dyDescent="0.3">
      <c r="B70" s="49" t="s">
        <v>292</v>
      </c>
      <c r="C70" s="102">
        <v>3</v>
      </c>
      <c r="D70" s="103">
        <v>307</v>
      </c>
      <c r="E70" s="231">
        <v>4655</v>
      </c>
    </row>
    <row r="71" spans="2:5" x14ac:dyDescent="0.3">
      <c r="B71" s="49" t="s">
        <v>293</v>
      </c>
      <c r="C71" s="102">
        <v>6</v>
      </c>
      <c r="D71" s="103">
        <v>835</v>
      </c>
      <c r="E71" s="231">
        <v>25185</v>
      </c>
    </row>
    <row r="72" spans="2:5" x14ac:dyDescent="0.3">
      <c r="B72" s="49" t="s">
        <v>294</v>
      </c>
      <c r="C72" s="102">
        <v>5</v>
      </c>
      <c r="D72" s="103">
        <v>124</v>
      </c>
      <c r="E72" s="231">
        <v>4076.5</v>
      </c>
    </row>
    <row r="73" spans="2:5" x14ac:dyDescent="0.3">
      <c r="B73" s="49" t="s">
        <v>295</v>
      </c>
      <c r="C73" s="102">
        <v>29</v>
      </c>
      <c r="D73" s="76">
        <v>11745</v>
      </c>
      <c r="E73" s="231">
        <v>245107</v>
      </c>
    </row>
    <row r="74" spans="2:5" x14ac:dyDescent="0.3">
      <c r="B74" s="87" t="s">
        <v>296</v>
      </c>
      <c r="C74" s="104">
        <f>SUM(C70:C73)</f>
        <v>43</v>
      </c>
      <c r="D74" s="88">
        <f>SUM(D70:D73)</f>
        <v>13011</v>
      </c>
      <c r="E74" s="89">
        <f>SUM(E70:E73)</f>
        <v>279023.5</v>
      </c>
    </row>
  </sheetData>
  <mergeCells count="16">
    <mergeCell ref="B34:C34"/>
    <mergeCell ref="F20:F21"/>
    <mergeCell ref="G20:G21"/>
    <mergeCell ref="H20:H21"/>
    <mergeCell ref="B68:E68"/>
    <mergeCell ref="I20:I21"/>
    <mergeCell ref="B2:D2"/>
    <mergeCell ref="C4:D4"/>
    <mergeCell ref="C3:D3"/>
    <mergeCell ref="B6:E6"/>
    <mergeCell ref="F19:I19"/>
    <mergeCell ref="B19:E19"/>
    <mergeCell ref="B20:B21"/>
    <mergeCell ref="C20:C21"/>
    <mergeCell ref="D20:D21"/>
    <mergeCell ref="E20:E21"/>
  </mergeCells>
  <phoneticPr fontId="15" type="noConversion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F0D4-4DFC-4DBC-9614-B26C7ED2A57E}">
  <sheetPr>
    <pageSetUpPr fitToPage="1"/>
  </sheetPr>
  <dimension ref="A1:H575"/>
  <sheetViews>
    <sheetView topLeftCell="A557" zoomScale="85" zoomScaleNormal="85" workbookViewId="0">
      <selection activeCell="G568" sqref="G568"/>
    </sheetView>
  </sheetViews>
  <sheetFormatPr defaultRowHeight="14.4" x14ac:dyDescent="0.3"/>
  <cols>
    <col min="2" max="2" width="17.6640625" customWidth="1"/>
    <col min="3" max="3" width="36.6640625" customWidth="1"/>
    <col min="4" max="4" width="62.109375" bestFit="1" customWidth="1"/>
    <col min="5" max="5" width="11.33203125" bestFit="1" customWidth="1"/>
    <col min="6" max="6" width="9" bestFit="1" customWidth="1"/>
    <col min="7" max="7" width="11.6640625" bestFit="1" customWidth="1"/>
    <col min="8" max="8" width="16.33203125" bestFit="1" customWidth="1"/>
  </cols>
  <sheetData>
    <row r="1" spans="1:8" x14ac:dyDescent="0.3">
      <c r="A1" s="294" t="s">
        <v>297</v>
      </c>
      <c r="B1" s="294"/>
      <c r="C1" s="294"/>
      <c r="D1" s="294"/>
      <c r="E1" s="294"/>
      <c r="F1" s="294"/>
      <c r="G1" s="294"/>
      <c r="H1" s="294"/>
    </row>
    <row r="2" spans="1:8" x14ac:dyDescent="0.3">
      <c r="A2" s="294"/>
      <c r="B2" s="294"/>
      <c r="C2" s="294"/>
      <c r="D2" s="294"/>
      <c r="E2" s="294"/>
      <c r="F2" s="294"/>
      <c r="G2" s="294"/>
      <c r="H2" s="294"/>
    </row>
    <row r="3" spans="1:8" ht="31.2" x14ac:dyDescent="0.3">
      <c r="A3" s="126" t="s">
        <v>3</v>
      </c>
      <c r="B3" s="125" t="s">
        <v>298</v>
      </c>
      <c r="C3" s="126" t="s">
        <v>4</v>
      </c>
      <c r="D3" s="126" t="s">
        <v>5</v>
      </c>
      <c r="E3" s="126" t="s">
        <v>6</v>
      </c>
      <c r="F3" s="126" t="s">
        <v>237</v>
      </c>
      <c r="G3" s="147" t="s">
        <v>299</v>
      </c>
      <c r="H3" s="147" t="s">
        <v>10</v>
      </c>
    </row>
    <row r="4" spans="1:8" ht="15.6" x14ac:dyDescent="0.3">
      <c r="A4" s="192">
        <v>1101</v>
      </c>
      <c r="B4" s="193">
        <v>45297</v>
      </c>
      <c r="C4" s="195" t="s">
        <v>300</v>
      </c>
      <c r="D4" s="195" t="s">
        <v>301</v>
      </c>
      <c r="E4" s="195" t="s">
        <v>74</v>
      </c>
      <c r="F4" s="195">
        <v>16</v>
      </c>
      <c r="G4" s="196">
        <v>36.75</v>
      </c>
      <c r="H4" s="196">
        <f>G4*F4</f>
        <v>588</v>
      </c>
    </row>
    <row r="5" spans="1:8" ht="15.6" x14ac:dyDescent="0.3">
      <c r="A5" s="192">
        <v>911</v>
      </c>
      <c r="B5" s="193">
        <v>45412</v>
      </c>
      <c r="C5" s="142" t="s">
        <v>302</v>
      </c>
      <c r="D5" s="195" t="s">
        <v>303</v>
      </c>
      <c r="E5" s="195" t="s">
        <v>304</v>
      </c>
      <c r="F5" s="195">
        <v>250</v>
      </c>
      <c r="G5" s="196">
        <v>16.5</v>
      </c>
      <c r="H5" s="196">
        <f t="shared" ref="H5:H68" si="0">G5*F5</f>
        <v>4125</v>
      </c>
    </row>
    <row r="6" spans="1:8" ht="15.6" x14ac:dyDescent="0.3">
      <c r="A6" s="192">
        <v>904</v>
      </c>
      <c r="B6" s="193">
        <v>45419</v>
      </c>
      <c r="C6" s="142" t="s">
        <v>302</v>
      </c>
      <c r="D6" s="195" t="s">
        <v>301</v>
      </c>
      <c r="E6" s="195" t="s">
        <v>74</v>
      </c>
      <c r="F6" s="195">
        <v>500</v>
      </c>
      <c r="G6" s="196">
        <v>26.8</v>
      </c>
      <c r="H6" s="196">
        <f t="shared" si="0"/>
        <v>13400</v>
      </c>
    </row>
    <row r="7" spans="1:8" ht="15.6" x14ac:dyDescent="0.3">
      <c r="A7" s="192">
        <v>912</v>
      </c>
      <c r="B7" s="193">
        <v>45421</v>
      </c>
      <c r="C7" s="195" t="s">
        <v>302</v>
      </c>
      <c r="D7" s="195" t="s">
        <v>305</v>
      </c>
      <c r="E7" s="195" t="s">
        <v>304</v>
      </c>
      <c r="F7" s="195">
        <v>250</v>
      </c>
      <c r="G7" s="196">
        <v>19</v>
      </c>
      <c r="H7" s="196">
        <f t="shared" si="0"/>
        <v>4750</v>
      </c>
    </row>
    <row r="8" spans="1:8" ht="15.6" x14ac:dyDescent="0.3">
      <c r="A8" s="192">
        <v>929</v>
      </c>
      <c r="B8" s="193">
        <v>45440</v>
      </c>
      <c r="C8" s="195" t="s">
        <v>306</v>
      </c>
      <c r="D8" s="195" t="s">
        <v>307</v>
      </c>
      <c r="E8" s="195" t="s">
        <v>74</v>
      </c>
      <c r="F8" s="195">
        <v>7</v>
      </c>
      <c r="G8" s="196">
        <v>47.5</v>
      </c>
      <c r="H8" s="196">
        <f t="shared" si="0"/>
        <v>332.5</v>
      </c>
    </row>
    <row r="9" spans="1:8" ht="15.6" x14ac:dyDescent="0.3">
      <c r="A9" s="192">
        <v>929</v>
      </c>
      <c r="B9" s="193">
        <v>45440</v>
      </c>
      <c r="C9" s="195" t="s">
        <v>306</v>
      </c>
      <c r="D9" s="195" t="s">
        <v>301</v>
      </c>
      <c r="E9" s="195" t="s">
        <v>74</v>
      </c>
      <c r="F9" s="195">
        <v>7</v>
      </c>
      <c r="G9" s="196">
        <v>33.880000000000003</v>
      </c>
      <c r="H9" s="196">
        <f t="shared" si="0"/>
        <v>237.16000000000003</v>
      </c>
    </row>
    <row r="10" spans="1:8" ht="15.6" x14ac:dyDescent="0.3">
      <c r="A10" s="192">
        <v>929</v>
      </c>
      <c r="B10" s="193">
        <v>45440</v>
      </c>
      <c r="C10" s="195" t="s">
        <v>306</v>
      </c>
      <c r="D10" s="195" t="s">
        <v>308</v>
      </c>
      <c r="E10" s="195" t="s">
        <v>74</v>
      </c>
      <c r="F10" s="195">
        <v>4</v>
      </c>
      <c r="G10" s="196">
        <v>33.880000000000003</v>
      </c>
      <c r="H10" s="196">
        <f t="shared" si="0"/>
        <v>135.52000000000001</v>
      </c>
    </row>
    <row r="11" spans="1:8" ht="15.6" x14ac:dyDescent="0.3">
      <c r="A11" s="192">
        <v>929</v>
      </c>
      <c r="B11" s="193">
        <v>45440</v>
      </c>
      <c r="C11" s="195" t="s">
        <v>306</v>
      </c>
      <c r="D11" s="195" t="s">
        <v>309</v>
      </c>
      <c r="E11" s="195" t="s">
        <v>74</v>
      </c>
      <c r="F11" s="195">
        <v>4</v>
      </c>
      <c r="G11" s="196">
        <v>47.5</v>
      </c>
      <c r="H11" s="196">
        <f t="shared" si="0"/>
        <v>190</v>
      </c>
    </row>
    <row r="12" spans="1:8" ht="15.6" x14ac:dyDescent="0.3">
      <c r="A12" s="192">
        <v>928</v>
      </c>
      <c r="B12" s="193">
        <v>45440</v>
      </c>
      <c r="C12" s="195" t="s">
        <v>306</v>
      </c>
      <c r="D12" s="195" t="s">
        <v>307</v>
      </c>
      <c r="E12" s="195" t="s">
        <v>74</v>
      </c>
      <c r="F12" s="195">
        <v>7</v>
      </c>
      <c r="G12" s="196">
        <v>47.5</v>
      </c>
      <c r="H12" s="196">
        <f t="shared" si="0"/>
        <v>332.5</v>
      </c>
    </row>
    <row r="13" spans="1:8" ht="15.6" x14ac:dyDescent="0.3">
      <c r="A13" s="192">
        <v>928</v>
      </c>
      <c r="B13" s="193">
        <v>45440</v>
      </c>
      <c r="C13" s="195" t="s">
        <v>306</v>
      </c>
      <c r="D13" s="195" t="s">
        <v>301</v>
      </c>
      <c r="E13" s="195" t="s">
        <v>74</v>
      </c>
      <c r="F13" s="195">
        <v>7</v>
      </c>
      <c r="G13" s="196">
        <v>33.880000000000003</v>
      </c>
      <c r="H13" s="196">
        <f t="shared" si="0"/>
        <v>237.16000000000003</v>
      </c>
    </row>
    <row r="14" spans="1:8" ht="15.6" x14ac:dyDescent="0.3">
      <c r="A14" s="192">
        <v>928</v>
      </c>
      <c r="B14" s="193">
        <v>45440</v>
      </c>
      <c r="C14" s="195" t="s">
        <v>306</v>
      </c>
      <c r="D14" s="195" t="s">
        <v>308</v>
      </c>
      <c r="E14" s="195" t="s">
        <v>74</v>
      </c>
      <c r="F14" s="195">
        <v>4</v>
      </c>
      <c r="G14" s="196">
        <v>33.880000000000003</v>
      </c>
      <c r="H14" s="196">
        <f t="shared" si="0"/>
        <v>135.52000000000001</v>
      </c>
    </row>
    <row r="15" spans="1:8" ht="15.6" x14ac:dyDescent="0.3">
      <c r="A15" s="192">
        <v>928</v>
      </c>
      <c r="B15" s="193">
        <v>45440</v>
      </c>
      <c r="C15" s="195" t="s">
        <v>306</v>
      </c>
      <c r="D15" s="195" t="s">
        <v>309</v>
      </c>
      <c r="E15" s="195" t="s">
        <v>74</v>
      </c>
      <c r="F15" s="195">
        <v>4</v>
      </c>
      <c r="G15" s="196">
        <v>47.5</v>
      </c>
      <c r="H15" s="196">
        <f t="shared" si="0"/>
        <v>190</v>
      </c>
    </row>
    <row r="16" spans="1:8" ht="15.6" x14ac:dyDescent="0.3">
      <c r="A16" s="192">
        <v>943</v>
      </c>
      <c r="B16" s="193">
        <v>45484</v>
      </c>
      <c r="C16" s="195" t="s">
        <v>310</v>
      </c>
      <c r="D16" s="195" t="s">
        <v>311</v>
      </c>
      <c r="E16" s="195" t="s">
        <v>51</v>
      </c>
      <c r="F16" s="195">
        <v>5</v>
      </c>
      <c r="G16" s="196">
        <v>62</v>
      </c>
      <c r="H16" s="196">
        <f t="shared" si="0"/>
        <v>310</v>
      </c>
    </row>
    <row r="17" spans="1:8" ht="15.6" x14ac:dyDescent="0.3">
      <c r="A17" s="192">
        <v>943</v>
      </c>
      <c r="B17" s="193">
        <v>45484</v>
      </c>
      <c r="C17" s="195" t="s">
        <v>310</v>
      </c>
      <c r="D17" s="195" t="s">
        <v>218</v>
      </c>
      <c r="E17" s="195" t="s">
        <v>74</v>
      </c>
      <c r="F17" s="195">
        <v>31</v>
      </c>
      <c r="G17" s="196">
        <v>48.5</v>
      </c>
      <c r="H17" s="196">
        <f t="shared" si="0"/>
        <v>1503.5</v>
      </c>
    </row>
    <row r="18" spans="1:8" ht="15.6" x14ac:dyDescent="0.3">
      <c r="A18" s="192">
        <v>943</v>
      </c>
      <c r="B18" s="193">
        <v>45484</v>
      </c>
      <c r="C18" s="195" t="s">
        <v>310</v>
      </c>
      <c r="D18" s="195" t="s">
        <v>309</v>
      </c>
      <c r="E18" s="195" t="s">
        <v>74</v>
      </c>
      <c r="F18" s="195">
        <v>2</v>
      </c>
      <c r="G18" s="196">
        <v>80</v>
      </c>
      <c r="H18" s="196">
        <f t="shared" si="0"/>
        <v>160</v>
      </c>
    </row>
    <row r="19" spans="1:8" ht="15.6" x14ac:dyDescent="0.3">
      <c r="A19" s="192">
        <v>943</v>
      </c>
      <c r="B19" s="193">
        <v>45484</v>
      </c>
      <c r="C19" s="195" t="s">
        <v>310</v>
      </c>
      <c r="D19" s="195" t="s">
        <v>307</v>
      </c>
      <c r="E19" s="195" t="s">
        <v>74</v>
      </c>
      <c r="F19" s="195">
        <v>2</v>
      </c>
      <c r="G19" s="196">
        <v>80</v>
      </c>
      <c r="H19" s="196">
        <f t="shared" si="0"/>
        <v>160</v>
      </c>
    </row>
    <row r="20" spans="1:8" ht="15.6" x14ac:dyDescent="0.3">
      <c r="A20" s="192">
        <v>951</v>
      </c>
      <c r="B20" s="193">
        <v>45484</v>
      </c>
      <c r="C20" s="195" t="s">
        <v>312</v>
      </c>
      <c r="D20" s="195" t="s">
        <v>313</v>
      </c>
      <c r="E20" s="195" t="s">
        <v>80</v>
      </c>
      <c r="F20" s="195">
        <v>6</v>
      </c>
      <c r="G20" s="196">
        <v>21</v>
      </c>
      <c r="H20" s="196">
        <f t="shared" si="0"/>
        <v>126</v>
      </c>
    </row>
    <row r="21" spans="1:8" ht="15.6" x14ac:dyDescent="0.3">
      <c r="A21" s="192">
        <v>944</v>
      </c>
      <c r="B21" s="193">
        <v>45485</v>
      </c>
      <c r="C21" s="195" t="s">
        <v>314</v>
      </c>
      <c r="D21" s="195" t="s">
        <v>308</v>
      </c>
      <c r="E21" s="195" t="s">
        <v>74</v>
      </c>
      <c r="F21" s="195">
        <v>15</v>
      </c>
      <c r="G21" s="196">
        <v>48.5</v>
      </c>
      <c r="H21" s="196">
        <f t="shared" si="0"/>
        <v>727.5</v>
      </c>
    </row>
    <row r="22" spans="1:8" ht="15.6" x14ac:dyDescent="0.3">
      <c r="A22" s="192">
        <v>944</v>
      </c>
      <c r="B22" s="193">
        <v>45485</v>
      </c>
      <c r="C22" s="195" t="s">
        <v>314</v>
      </c>
      <c r="D22" s="195" t="s">
        <v>307</v>
      </c>
      <c r="E22" s="195" t="s">
        <v>74</v>
      </c>
      <c r="F22" s="195">
        <v>4</v>
      </c>
      <c r="G22" s="196">
        <v>8</v>
      </c>
      <c r="H22" s="196">
        <f t="shared" si="0"/>
        <v>32</v>
      </c>
    </row>
    <row r="23" spans="1:8" ht="15.6" x14ac:dyDescent="0.3">
      <c r="A23" s="192">
        <v>946</v>
      </c>
      <c r="B23" s="193">
        <v>45485</v>
      </c>
      <c r="C23" s="195" t="s">
        <v>315</v>
      </c>
      <c r="D23" s="195" t="s">
        <v>311</v>
      </c>
      <c r="E23" s="195" t="s">
        <v>51</v>
      </c>
      <c r="F23" s="195">
        <v>10</v>
      </c>
      <c r="G23" s="196">
        <v>62</v>
      </c>
      <c r="H23" s="196">
        <f t="shared" si="0"/>
        <v>620</v>
      </c>
    </row>
    <row r="24" spans="1:8" ht="15.6" x14ac:dyDescent="0.3">
      <c r="A24" s="192">
        <v>946</v>
      </c>
      <c r="B24" s="193">
        <v>45485</v>
      </c>
      <c r="C24" s="195" t="s">
        <v>315</v>
      </c>
      <c r="D24" s="195" t="s">
        <v>316</v>
      </c>
      <c r="E24" s="195" t="s">
        <v>74</v>
      </c>
      <c r="F24" s="195">
        <v>4</v>
      </c>
      <c r="G24" s="196">
        <v>48.5</v>
      </c>
      <c r="H24" s="196">
        <f t="shared" si="0"/>
        <v>194</v>
      </c>
    </row>
    <row r="25" spans="1:8" ht="15.6" x14ac:dyDescent="0.3">
      <c r="A25" s="192">
        <v>946</v>
      </c>
      <c r="B25" s="193">
        <v>45485</v>
      </c>
      <c r="C25" s="195" t="s">
        <v>315</v>
      </c>
      <c r="D25" s="195" t="s">
        <v>218</v>
      </c>
      <c r="E25" s="195" t="s">
        <v>74</v>
      </c>
      <c r="F25" s="195">
        <v>12</v>
      </c>
      <c r="G25" s="196">
        <v>48.5</v>
      </c>
      <c r="H25" s="196">
        <f t="shared" si="0"/>
        <v>582</v>
      </c>
    </row>
    <row r="26" spans="1:8" ht="15.6" x14ac:dyDescent="0.3">
      <c r="A26" s="192">
        <v>946</v>
      </c>
      <c r="B26" s="193">
        <v>45485</v>
      </c>
      <c r="C26" s="195" t="s">
        <v>315</v>
      </c>
      <c r="D26" s="195" t="s">
        <v>307</v>
      </c>
      <c r="E26" s="195" t="s">
        <v>74</v>
      </c>
      <c r="F26" s="195">
        <v>2</v>
      </c>
      <c r="G26" s="196">
        <v>48.5</v>
      </c>
      <c r="H26" s="196">
        <f t="shared" si="0"/>
        <v>97</v>
      </c>
    </row>
    <row r="27" spans="1:8" ht="15.6" x14ac:dyDescent="0.3">
      <c r="A27" s="192">
        <v>946</v>
      </c>
      <c r="B27" s="193">
        <v>45485</v>
      </c>
      <c r="C27" s="195" t="s">
        <v>315</v>
      </c>
      <c r="D27" s="195" t="s">
        <v>307</v>
      </c>
      <c r="E27" s="195" t="s">
        <v>74</v>
      </c>
      <c r="F27" s="195">
        <v>6</v>
      </c>
      <c r="G27" s="196">
        <v>48.5</v>
      </c>
      <c r="H27" s="196">
        <f t="shared" si="0"/>
        <v>291</v>
      </c>
    </row>
    <row r="28" spans="1:8" ht="15.6" x14ac:dyDescent="0.3">
      <c r="A28" s="192">
        <v>947</v>
      </c>
      <c r="B28" s="193">
        <v>45490</v>
      </c>
      <c r="C28" s="195" t="s">
        <v>317</v>
      </c>
      <c r="D28" s="195" t="s">
        <v>318</v>
      </c>
      <c r="E28" s="195" t="s">
        <v>190</v>
      </c>
      <c r="F28" s="195">
        <v>10</v>
      </c>
      <c r="G28" s="196">
        <v>65</v>
      </c>
      <c r="H28" s="196">
        <f t="shared" si="0"/>
        <v>650</v>
      </c>
    </row>
    <row r="29" spans="1:8" ht="15.6" x14ac:dyDescent="0.3">
      <c r="A29" s="192">
        <v>947</v>
      </c>
      <c r="B29" s="193">
        <v>45490</v>
      </c>
      <c r="C29" s="195" t="s">
        <v>317</v>
      </c>
      <c r="D29" s="195" t="s">
        <v>218</v>
      </c>
      <c r="E29" s="195" t="s">
        <v>74</v>
      </c>
      <c r="F29" s="195">
        <v>10</v>
      </c>
      <c r="G29" s="196">
        <v>48.5</v>
      </c>
      <c r="H29" s="196">
        <f t="shared" si="0"/>
        <v>485</v>
      </c>
    </row>
    <row r="30" spans="1:8" ht="15.6" x14ac:dyDescent="0.3">
      <c r="A30" s="192">
        <v>947</v>
      </c>
      <c r="B30" s="193">
        <v>45490</v>
      </c>
      <c r="C30" s="195" t="s">
        <v>317</v>
      </c>
      <c r="D30" s="195" t="s">
        <v>311</v>
      </c>
      <c r="E30" s="195" t="s">
        <v>51</v>
      </c>
      <c r="F30" s="195">
        <v>15</v>
      </c>
      <c r="G30" s="196">
        <v>62</v>
      </c>
      <c r="H30" s="196">
        <f t="shared" si="0"/>
        <v>930</v>
      </c>
    </row>
    <row r="31" spans="1:8" ht="15.6" x14ac:dyDescent="0.3">
      <c r="A31" s="192">
        <v>947</v>
      </c>
      <c r="B31" s="193">
        <v>45490</v>
      </c>
      <c r="C31" s="195" t="s">
        <v>317</v>
      </c>
      <c r="D31" s="195" t="s">
        <v>313</v>
      </c>
      <c r="E31" s="195" t="s">
        <v>80</v>
      </c>
      <c r="F31" s="195">
        <v>15</v>
      </c>
      <c r="G31" s="196">
        <v>21</v>
      </c>
      <c r="H31" s="196">
        <f t="shared" si="0"/>
        <v>315</v>
      </c>
    </row>
    <row r="32" spans="1:8" ht="15.6" x14ac:dyDescent="0.3">
      <c r="A32" s="192">
        <v>967</v>
      </c>
      <c r="B32" s="193">
        <v>45498</v>
      </c>
      <c r="C32" s="195" t="s">
        <v>319</v>
      </c>
      <c r="D32" s="195" t="s">
        <v>320</v>
      </c>
      <c r="E32" s="195" t="s">
        <v>51</v>
      </c>
      <c r="F32" s="195">
        <v>17</v>
      </c>
      <c r="G32" s="196">
        <v>79.099999999999994</v>
      </c>
      <c r="H32" s="196">
        <f t="shared" si="0"/>
        <v>1344.6999999999998</v>
      </c>
    </row>
    <row r="33" spans="1:8" ht="15.6" x14ac:dyDescent="0.3">
      <c r="A33" s="192">
        <v>967</v>
      </c>
      <c r="B33" s="193">
        <v>45498</v>
      </c>
      <c r="C33" s="195" t="s">
        <v>319</v>
      </c>
      <c r="D33" s="195" t="s">
        <v>311</v>
      </c>
      <c r="E33" s="195" t="s">
        <v>321</v>
      </c>
      <c r="F33" s="195">
        <v>7</v>
      </c>
      <c r="G33" s="196">
        <v>62</v>
      </c>
      <c r="H33" s="196">
        <f t="shared" si="0"/>
        <v>434</v>
      </c>
    </row>
    <row r="34" spans="1:8" ht="15.6" x14ac:dyDescent="0.3">
      <c r="A34" s="192">
        <v>970</v>
      </c>
      <c r="B34" s="193">
        <v>45506</v>
      </c>
      <c r="C34" s="195" t="s">
        <v>322</v>
      </c>
      <c r="D34" s="195" t="s">
        <v>311</v>
      </c>
      <c r="E34" s="195" t="s">
        <v>51</v>
      </c>
      <c r="F34" s="195">
        <v>10</v>
      </c>
      <c r="G34" s="196">
        <v>62</v>
      </c>
      <c r="H34" s="196">
        <f t="shared" si="0"/>
        <v>620</v>
      </c>
    </row>
    <row r="35" spans="1:8" ht="15.6" x14ac:dyDescent="0.3">
      <c r="A35" s="192">
        <v>970</v>
      </c>
      <c r="B35" s="193">
        <v>45506</v>
      </c>
      <c r="C35" s="195" t="s">
        <v>322</v>
      </c>
      <c r="D35" s="195" t="s">
        <v>316</v>
      </c>
      <c r="E35" s="195" t="s">
        <v>74</v>
      </c>
      <c r="F35" s="195">
        <v>6</v>
      </c>
      <c r="G35" s="196">
        <v>48.9</v>
      </c>
      <c r="H35" s="196">
        <f t="shared" si="0"/>
        <v>293.39999999999998</v>
      </c>
    </row>
    <row r="36" spans="1:8" ht="15.6" x14ac:dyDescent="0.3">
      <c r="A36" s="192">
        <v>970</v>
      </c>
      <c r="B36" s="193">
        <v>45506</v>
      </c>
      <c r="C36" s="195" t="s">
        <v>322</v>
      </c>
      <c r="D36" s="195" t="s">
        <v>318</v>
      </c>
      <c r="E36" s="195" t="s">
        <v>190</v>
      </c>
      <c r="F36" s="195">
        <v>8</v>
      </c>
      <c r="G36" s="196">
        <v>65</v>
      </c>
      <c r="H36" s="196">
        <f t="shared" si="0"/>
        <v>520</v>
      </c>
    </row>
    <row r="37" spans="1:8" ht="15.6" x14ac:dyDescent="0.3">
      <c r="A37" s="192">
        <v>970</v>
      </c>
      <c r="B37" s="193">
        <v>45506</v>
      </c>
      <c r="C37" s="195" t="s">
        <v>322</v>
      </c>
      <c r="D37" s="195" t="s">
        <v>313</v>
      </c>
      <c r="E37" s="195" t="s">
        <v>80</v>
      </c>
      <c r="F37" s="195">
        <v>6</v>
      </c>
      <c r="G37" s="196">
        <v>21</v>
      </c>
      <c r="H37" s="196">
        <f t="shared" si="0"/>
        <v>126</v>
      </c>
    </row>
    <row r="38" spans="1:8" ht="15.6" x14ac:dyDescent="0.3">
      <c r="A38" s="192">
        <v>970</v>
      </c>
      <c r="B38" s="193">
        <v>45506</v>
      </c>
      <c r="C38" s="195" t="s">
        <v>322</v>
      </c>
      <c r="D38" s="195" t="s">
        <v>218</v>
      </c>
      <c r="E38" s="195" t="s">
        <v>74</v>
      </c>
      <c r="F38" s="195">
        <v>9</v>
      </c>
      <c r="G38" s="196">
        <v>48.5</v>
      </c>
      <c r="H38" s="196">
        <f t="shared" si="0"/>
        <v>436.5</v>
      </c>
    </row>
    <row r="39" spans="1:8" ht="15.6" x14ac:dyDescent="0.3">
      <c r="A39" s="192">
        <v>966</v>
      </c>
      <c r="B39" s="193">
        <v>45509</v>
      </c>
      <c r="C39" s="195" t="s">
        <v>323</v>
      </c>
      <c r="D39" s="195" t="s">
        <v>308</v>
      </c>
      <c r="E39" s="195" t="s">
        <v>74</v>
      </c>
      <c r="F39" s="195">
        <v>2</v>
      </c>
      <c r="G39" s="196">
        <v>48.5</v>
      </c>
      <c r="H39" s="196">
        <f t="shared" si="0"/>
        <v>97</v>
      </c>
    </row>
    <row r="40" spans="1:8" ht="15.6" x14ac:dyDescent="0.3">
      <c r="A40" s="192">
        <v>966</v>
      </c>
      <c r="B40" s="193">
        <v>45509</v>
      </c>
      <c r="C40" s="195" t="s">
        <v>323</v>
      </c>
      <c r="D40" s="195" t="s">
        <v>311</v>
      </c>
      <c r="E40" s="195" t="s">
        <v>51</v>
      </c>
      <c r="F40" s="195">
        <v>1</v>
      </c>
      <c r="G40" s="196">
        <v>62</v>
      </c>
      <c r="H40" s="196">
        <f t="shared" si="0"/>
        <v>62</v>
      </c>
    </row>
    <row r="41" spans="1:8" ht="15.6" x14ac:dyDescent="0.3">
      <c r="A41" s="192">
        <v>966</v>
      </c>
      <c r="B41" s="193">
        <v>45509</v>
      </c>
      <c r="C41" s="195" t="s">
        <v>323</v>
      </c>
      <c r="D41" s="195" t="s">
        <v>218</v>
      </c>
      <c r="E41" s="195" t="s">
        <v>74</v>
      </c>
      <c r="F41" s="195">
        <v>2</v>
      </c>
      <c r="G41" s="196">
        <v>48.5</v>
      </c>
      <c r="H41" s="196">
        <f t="shared" si="0"/>
        <v>97</v>
      </c>
    </row>
    <row r="42" spans="1:8" ht="15.6" x14ac:dyDescent="0.3">
      <c r="A42" s="192">
        <v>966</v>
      </c>
      <c r="B42" s="193">
        <v>45509</v>
      </c>
      <c r="C42" s="195" t="s">
        <v>323</v>
      </c>
      <c r="D42" s="195" t="s">
        <v>318</v>
      </c>
      <c r="E42" s="195" t="s">
        <v>190</v>
      </c>
      <c r="F42" s="195">
        <v>1</v>
      </c>
      <c r="G42" s="196">
        <v>65</v>
      </c>
      <c r="H42" s="196">
        <f t="shared" si="0"/>
        <v>65</v>
      </c>
    </row>
    <row r="43" spans="1:8" ht="15.6" x14ac:dyDescent="0.3">
      <c r="A43" s="192">
        <v>966</v>
      </c>
      <c r="B43" s="193">
        <v>45509</v>
      </c>
      <c r="C43" s="195" t="s">
        <v>323</v>
      </c>
      <c r="D43" s="195" t="s">
        <v>313</v>
      </c>
      <c r="E43" s="195" t="s">
        <v>80</v>
      </c>
      <c r="F43" s="195">
        <v>5</v>
      </c>
      <c r="G43" s="196">
        <v>21</v>
      </c>
      <c r="H43" s="196">
        <f t="shared" si="0"/>
        <v>105</v>
      </c>
    </row>
    <row r="44" spans="1:8" ht="15.6" x14ac:dyDescent="0.3">
      <c r="A44" s="192">
        <v>972</v>
      </c>
      <c r="B44" s="193">
        <v>45516</v>
      </c>
      <c r="C44" s="195" t="s">
        <v>324</v>
      </c>
      <c r="D44" s="195" t="s">
        <v>218</v>
      </c>
      <c r="E44" s="195" t="s">
        <v>74</v>
      </c>
      <c r="F44" s="195">
        <v>13</v>
      </c>
      <c r="G44" s="196">
        <v>48.5</v>
      </c>
      <c r="H44" s="196">
        <f t="shared" si="0"/>
        <v>630.5</v>
      </c>
    </row>
    <row r="45" spans="1:8" ht="15.6" x14ac:dyDescent="0.3">
      <c r="A45" s="192">
        <v>972</v>
      </c>
      <c r="B45" s="193">
        <v>45516</v>
      </c>
      <c r="C45" s="195" t="s">
        <v>324</v>
      </c>
      <c r="D45" s="195" t="s">
        <v>307</v>
      </c>
      <c r="E45" s="195" t="s">
        <v>74</v>
      </c>
      <c r="F45" s="195">
        <v>3</v>
      </c>
      <c r="G45" s="196">
        <v>80</v>
      </c>
      <c r="H45" s="196">
        <f t="shared" si="0"/>
        <v>240</v>
      </c>
    </row>
    <row r="46" spans="1:8" ht="15.6" x14ac:dyDescent="0.3">
      <c r="A46" s="192">
        <v>972</v>
      </c>
      <c r="B46" s="193">
        <v>45516</v>
      </c>
      <c r="C46" s="195" t="s">
        <v>324</v>
      </c>
      <c r="D46" s="195" t="s">
        <v>313</v>
      </c>
      <c r="E46" s="195" t="s">
        <v>80</v>
      </c>
      <c r="F46" s="195">
        <v>4</v>
      </c>
      <c r="G46" s="196">
        <v>21</v>
      </c>
      <c r="H46" s="196">
        <f t="shared" si="0"/>
        <v>84</v>
      </c>
    </row>
    <row r="47" spans="1:8" ht="15.6" x14ac:dyDescent="0.3">
      <c r="A47" s="192">
        <v>975</v>
      </c>
      <c r="B47" s="193">
        <v>45518</v>
      </c>
      <c r="C47" s="195" t="s">
        <v>325</v>
      </c>
      <c r="D47" s="195" t="s">
        <v>308</v>
      </c>
      <c r="E47" s="195" t="s">
        <v>74</v>
      </c>
      <c r="F47" s="195">
        <v>2</v>
      </c>
      <c r="G47" s="196">
        <v>36.75</v>
      </c>
      <c r="H47" s="196">
        <f t="shared" si="0"/>
        <v>73.5</v>
      </c>
    </row>
    <row r="48" spans="1:8" ht="15.6" x14ac:dyDescent="0.3">
      <c r="A48" s="192">
        <v>975</v>
      </c>
      <c r="B48" s="193">
        <v>45518</v>
      </c>
      <c r="C48" s="195" t="s">
        <v>325</v>
      </c>
      <c r="D48" s="195" t="s">
        <v>311</v>
      </c>
      <c r="E48" s="195" t="s">
        <v>51</v>
      </c>
      <c r="F48" s="195">
        <v>5</v>
      </c>
      <c r="G48" s="196">
        <v>21</v>
      </c>
      <c r="H48" s="196">
        <f t="shared" si="0"/>
        <v>105</v>
      </c>
    </row>
    <row r="49" spans="1:8" ht="15.6" x14ac:dyDescent="0.3">
      <c r="A49" s="192">
        <v>975</v>
      </c>
      <c r="B49" s="193">
        <v>45518</v>
      </c>
      <c r="C49" s="195" t="s">
        <v>325</v>
      </c>
      <c r="D49" s="195" t="s">
        <v>313</v>
      </c>
      <c r="E49" s="195" t="s">
        <v>80</v>
      </c>
      <c r="F49" s="195">
        <v>6</v>
      </c>
      <c r="G49" s="196">
        <v>21</v>
      </c>
      <c r="H49" s="196">
        <f t="shared" si="0"/>
        <v>126</v>
      </c>
    </row>
    <row r="50" spans="1:8" ht="15.6" x14ac:dyDescent="0.3">
      <c r="A50" s="192">
        <v>975</v>
      </c>
      <c r="B50" s="193">
        <v>45518</v>
      </c>
      <c r="C50" s="195" t="s">
        <v>325</v>
      </c>
      <c r="D50" s="195" t="s">
        <v>301</v>
      </c>
      <c r="E50" s="195" t="s">
        <v>74</v>
      </c>
      <c r="F50" s="195">
        <v>6</v>
      </c>
      <c r="G50" s="196">
        <v>36.75</v>
      </c>
      <c r="H50" s="196">
        <f t="shared" si="0"/>
        <v>220.5</v>
      </c>
    </row>
    <row r="51" spans="1:8" ht="15.6" x14ac:dyDescent="0.3">
      <c r="A51" s="192">
        <v>977</v>
      </c>
      <c r="B51" s="193">
        <v>45526</v>
      </c>
      <c r="C51" s="195" t="s">
        <v>326</v>
      </c>
      <c r="D51" s="195" t="s">
        <v>311</v>
      </c>
      <c r="E51" s="195" t="s">
        <v>51</v>
      </c>
      <c r="F51" s="195">
        <v>7</v>
      </c>
      <c r="G51" s="196">
        <v>21</v>
      </c>
      <c r="H51" s="196">
        <f t="shared" si="0"/>
        <v>147</v>
      </c>
    </row>
    <row r="52" spans="1:8" ht="15.6" x14ac:dyDescent="0.3">
      <c r="A52" s="192">
        <v>977</v>
      </c>
      <c r="B52" s="193">
        <v>45526</v>
      </c>
      <c r="C52" s="195" t="s">
        <v>326</v>
      </c>
      <c r="D52" s="195" t="s">
        <v>313</v>
      </c>
      <c r="E52" s="195" t="s">
        <v>80</v>
      </c>
      <c r="F52" s="195">
        <v>7</v>
      </c>
      <c r="G52" s="196">
        <v>21</v>
      </c>
      <c r="H52" s="196">
        <f t="shared" si="0"/>
        <v>147</v>
      </c>
    </row>
    <row r="53" spans="1:8" ht="15.6" x14ac:dyDescent="0.3">
      <c r="A53" s="192">
        <v>977</v>
      </c>
      <c r="B53" s="193">
        <v>45526</v>
      </c>
      <c r="C53" s="195" t="s">
        <v>326</v>
      </c>
      <c r="D53" s="195" t="s">
        <v>309</v>
      </c>
      <c r="E53" s="195" t="s">
        <v>74</v>
      </c>
      <c r="F53" s="195">
        <v>7</v>
      </c>
      <c r="G53" s="196">
        <v>45</v>
      </c>
      <c r="H53" s="196">
        <f t="shared" si="0"/>
        <v>315</v>
      </c>
    </row>
    <row r="54" spans="1:8" ht="15.6" x14ac:dyDescent="0.3">
      <c r="A54" s="192">
        <v>977</v>
      </c>
      <c r="B54" s="193">
        <v>45526</v>
      </c>
      <c r="C54" s="195" t="s">
        <v>326</v>
      </c>
      <c r="D54" s="195" t="s">
        <v>307</v>
      </c>
      <c r="E54" s="195" t="s">
        <v>74</v>
      </c>
      <c r="F54" s="195">
        <v>3</v>
      </c>
      <c r="G54" s="196">
        <v>45</v>
      </c>
      <c r="H54" s="196">
        <f t="shared" si="0"/>
        <v>135</v>
      </c>
    </row>
    <row r="55" spans="1:8" ht="15.6" x14ac:dyDescent="0.3">
      <c r="A55" s="192">
        <v>977</v>
      </c>
      <c r="B55" s="193">
        <v>45526</v>
      </c>
      <c r="C55" s="195" t="s">
        <v>326</v>
      </c>
      <c r="D55" s="195" t="s">
        <v>308</v>
      </c>
      <c r="E55" s="195" t="s">
        <v>74</v>
      </c>
      <c r="F55" s="195">
        <v>10</v>
      </c>
      <c r="G55" s="196">
        <v>36.75</v>
      </c>
      <c r="H55" s="196">
        <f t="shared" si="0"/>
        <v>367.5</v>
      </c>
    </row>
    <row r="56" spans="1:8" ht="15.6" x14ac:dyDescent="0.3">
      <c r="A56" s="192">
        <v>1000</v>
      </c>
      <c r="B56" s="193">
        <v>45530</v>
      </c>
      <c r="C56" s="195" t="s">
        <v>302</v>
      </c>
      <c r="D56" s="195" t="s">
        <v>301</v>
      </c>
      <c r="E56" s="195" t="s">
        <v>74</v>
      </c>
      <c r="F56" s="195">
        <v>32</v>
      </c>
      <c r="G56" s="196">
        <v>45</v>
      </c>
      <c r="H56" s="196">
        <f t="shared" si="0"/>
        <v>1440</v>
      </c>
    </row>
    <row r="57" spans="1:8" ht="15.6" x14ac:dyDescent="0.3">
      <c r="A57" s="192">
        <v>979</v>
      </c>
      <c r="B57" s="193">
        <v>45531</v>
      </c>
      <c r="C57" s="195" t="s">
        <v>327</v>
      </c>
      <c r="D57" s="195" t="s">
        <v>311</v>
      </c>
      <c r="E57" s="195" t="s">
        <v>51</v>
      </c>
      <c r="F57" s="195">
        <v>2</v>
      </c>
      <c r="G57" s="196">
        <v>21</v>
      </c>
      <c r="H57" s="196">
        <f t="shared" si="0"/>
        <v>42</v>
      </c>
    </row>
    <row r="58" spans="1:8" ht="15.6" x14ac:dyDescent="0.3">
      <c r="A58" s="192">
        <v>979</v>
      </c>
      <c r="B58" s="193">
        <v>45531</v>
      </c>
      <c r="C58" s="195" t="s">
        <v>327</v>
      </c>
      <c r="D58" s="195" t="s">
        <v>308</v>
      </c>
      <c r="E58" s="195" t="s">
        <v>74</v>
      </c>
      <c r="F58" s="195">
        <v>2</v>
      </c>
      <c r="G58" s="196">
        <v>36.75</v>
      </c>
      <c r="H58" s="196">
        <f t="shared" si="0"/>
        <v>73.5</v>
      </c>
    </row>
    <row r="59" spans="1:8" ht="15.6" x14ac:dyDescent="0.3">
      <c r="A59" s="192">
        <v>979</v>
      </c>
      <c r="B59" s="193">
        <v>45531</v>
      </c>
      <c r="C59" s="195" t="s">
        <v>327</v>
      </c>
      <c r="D59" s="195" t="s">
        <v>309</v>
      </c>
      <c r="E59" s="195" t="s">
        <v>74</v>
      </c>
      <c r="F59" s="195">
        <v>2</v>
      </c>
      <c r="G59" s="196">
        <v>45</v>
      </c>
      <c r="H59" s="196">
        <f t="shared" si="0"/>
        <v>90</v>
      </c>
    </row>
    <row r="60" spans="1:8" ht="15.6" x14ac:dyDescent="0.3">
      <c r="A60" s="192">
        <v>979</v>
      </c>
      <c r="B60" s="193">
        <v>45531</v>
      </c>
      <c r="C60" s="195" t="s">
        <v>327</v>
      </c>
      <c r="D60" s="195" t="s">
        <v>318</v>
      </c>
      <c r="E60" s="195" t="s">
        <v>190</v>
      </c>
      <c r="F60" s="195">
        <v>2</v>
      </c>
      <c r="G60" s="196">
        <v>65</v>
      </c>
      <c r="H60" s="196">
        <f t="shared" si="0"/>
        <v>130</v>
      </c>
    </row>
    <row r="61" spans="1:8" ht="15.6" x14ac:dyDescent="0.3">
      <c r="A61" s="192">
        <v>979</v>
      </c>
      <c r="B61" s="193">
        <v>45531</v>
      </c>
      <c r="C61" s="195" t="s">
        <v>327</v>
      </c>
      <c r="D61" s="195" t="s">
        <v>320</v>
      </c>
      <c r="E61" s="195" t="s">
        <v>321</v>
      </c>
      <c r="F61" s="195">
        <v>1</v>
      </c>
      <c r="G61" s="196">
        <v>79.099999999999994</v>
      </c>
      <c r="H61" s="196">
        <f t="shared" si="0"/>
        <v>79.099999999999994</v>
      </c>
    </row>
    <row r="62" spans="1:8" ht="15.6" x14ac:dyDescent="0.3">
      <c r="A62" s="192">
        <v>979</v>
      </c>
      <c r="B62" s="193">
        <v>45531</v>
      </c>
      <c r="C62" s="195" t="s">
        <v>327</v>
      </c>
      <c r="D62" s="195" t="s">
        <v>313</v>
      </c>
      <c r="E62" s="195" t="s">
        <v>80</v>
      </c>
      <c r="F62" s="195">
        <v>2</v>
      </c>
      <c r="G62" s="196">
        <v>21</v>
      </c>
      <c r="H62" s="196">
        <f t="shared" si="0"/>
        <v>42</v>
      </c>
    </row>
    <row r="63" spans="1:8" ht="15.6" x14ac:dyDescent="0.3">
      <c r="A63" s="192">
        <v>981</v>
      </c>
      <c r="B63" s="193">
        <v>45532</v>
      </c>
      <c r="C63" s="195" t="s">
        <v>306</v>
      </c>
      <c r="D63" s="195" t="s">
        <v>301</v>
      </c>
      <c r="E63" s="195" t="s">
        <v>74</v>
      </c>
      <c r="F63" s="195">
        <v>13</v>
      </c>
      <c r="G63" s="196">
        <v>36.75</v>
      </c>
      <c r="H63" s="196">
        <f t="shared" si="0"/>
        <v>477.75</v>
      </c>
    </row>
    <row r="64" spans="1:8" ht="15.6" x14ac:dyDescent="0.3">
      <c r="A64" s="192">
        <v>981</v>
      </c>
      <c r="B64" s="193">
        <v>45532</v>
      </c>
      <c r="C64" s="195" t="s">
        <v>306</v>
      </c>
      <c r="D64" s="195" t="s">
        <v>307</v>
      </c>
      <c r="E64" s="195" t="s">
        <v>74</v>
      </c>
      <c r="F64" s="195">
        <v>13</v>
      </c>
      <c r="G64" s="196">
        <v>45</v>
      </c>
      <c r="H64" s="196">
        <f t="shared" si="0"/>
        <v>585</v>
      </c>
    </row>
    <row r="65" spans="1:8" ht="15.6" x14ac:dyDescent="0.3">
      <c r="A65" s="192">
        <v>981</v>
      </c>
      <c r="B65" s="193">
        <v>45532</v>
      </c>
      <c r="C65" s="195" t="s">
        <v>306</v>
      </c>
      <c r="D65" s="195" t="s">
        <v>311</v>
      </c>
      <c r="E65" s="195" t="s">
        <v>51</v>
      </c>
      <c r="F65" s="195">
        <v>15</v>
      </c>
      <c r="G65" s="196">
        <v>21</v>
      </c>
      <c r="H65" s="196">
        <f t="shared" si="0"/>
        <v>315</v>
      </c>
    </row>
    <row r="66" spans="1:8" ht="15.6" x14ac:dyDescent="0.3">
      <c r="A66" s="192">
        <v>981</v>
      </c>
      <c r="B66" s="193">
        <v>45532</v>
      </c>
      <c r="C66" s="195" t="s">
        <v>306</v>
      </c>
      <c r="D66" s="195" t="s">
        <v>313</v>
      </c>
      <c r="E66" s="195" t="s">
        <v>80</v>
      </c>
      <c r="F66" s="195">
        <v>5</v>
      </c>
      <c r="G66" s="196">
        <v>21</v>
      </c>
      <c r="H66" s="196">
        <f t="shared" si="0"/>
        <v>105</v>
      </c>
    </row>
    <row r="67" spans="1:8" ht="15.6" x14ac:dyDescent="0.3">
      <c r="A67" s="192">
        <v>993</v>
      </c>
      <c r="B67" s="193">
        <v>45534</v>
      </c>
      <c r="C67" s="195" t="s">
        <v>327</v>
      </c>
      <c r="D67" s="195" t="s">
        <v>301</v>
      </c>
      <c r="E67" s="52" t="s">
        <v>74</v>
      </c>
      <c r="F67" s="195">
        <v>4</v>
      </c>
      <c r="G67" s="196">
        <v>36.75</v>
      </c>
      <c r="H67" s="196">
        <f t="shared" si="0"/>
        <v>147</v>
      </c>
    </row>
    <row r="68" spans="1:8" ht="15.6" x14ac:dyDescent="0.3">
      <c r="A68" s="192">
        <v>993</v>
      </c>
      <c r="B68" s="193">
        <v>45534</v>
      </c>
      <c r="C68" s="195" t="s">
        <v>327</v>
      </c>
      <c r="D68" s="140" t="s">
        <v>328</v>
      </c>
      <c r="E68" s="195" t="s">
        <v>190</v>
      </c>
      <c r="F68" s="195">
        <v>4</v>
      </c>
      <c r="G68" s="196">
        <v>65</v>
      </c>
      <c r="H68" s="196">
        <f t="shared" si="0"/>
        <v>260</v>
      </c>
    </row>
    <row r="69" spans="1:8" ht="15.6" x14ac:dyDescent="0.3">
      <c r="A69" s="192">
        <v>993</v>
      </c>
      <c r="B69" s="193">
        <v>45534</v>
      </c>
      <c r="C69" s="195" t="s">
        <v>327</v>
      </c>
      <c r="D69" s="195" t="s">
        <v>320</v>
      </c>
      <c r="E69" s="195" t="s">
        <v>321</v>
      </c>
      <c r="F69" s="195">
        <v>5</v>
      </c>
      <c r="G69" s="196">
        <v>78</v>
      </c>
      <c r="H69" s="196">
        <f t="shared" ref="H69:H132" si="1">G69*F69</f>
        <v>390</v>
      </c>
    </row>
    <row r="70" spans="1:8" ht="15.6" x14ac:dyDescent="0.3">
      <c r="A70" s="192">
        <v>993</v>
      </c>
      <c r="B70" s="193">
        <v>45534</v>
      </c>
      <c r="C70" s="195" t="s">
        <v>327</v>
      </c>
      <c r="D70" s="195" t="s">
        <v>308</v>
      </c>
      <c r="E70" s="195" t="s">
        <v>74</v>
      </c>
      <c r="F70" s="195">
        <v>6</v>
      </c>
      <c r="G70" s="196">
        <v>36.75</v>
      </c>
      <c r="H70" s="196">
        <f t="shared" si="1"/>
        <v>220.5</v>
      </c>
    </row>
    <row r="71" spans="1:8" ht="15.6" x14ac:dyDescent="0.3">
      <c r="A71" s="192">
        <v>993</v>
      </c>
      <c r="B71" s="193">
        <v>45534</v>
      </c>
      <c r="C71" s="195" t="s">
        <v>327</v>
      </c>
      <c r="D71" s="195" t="s">
        <v>307</v>
      </c>
      <c r="E71" s="195" t="s">
        <v>74</v>
      </c>
      <c r="F71" s="195">
        <v>6</v>
      </c>
      <c r="G71" s="196">
        <v>45</v>
      </c>
      <c r="H71" s="196">
        <f t="shared" si="1"/>
        <v>270</v>
      </c>
    </row>
    <row r="72" spans="1:8" ht="15.6" x14ac:dyDescent="0.3">
      <c r="A72" s="192">
        <v>993</v>
      </c>
      <c r="B72" s="193">
        <v>45534</v>
      </c>
      <c r="C72" s="195" t="s">
        <v>327</v>
      </c>
      <c r="D72" s="195" t="s">
        <v>318</v>
      </c>
      <c r="E72" s="195" t="s">
        <v>190</v>
      </c>
      <c r="F72" s="195">
        <v>6</v>
      </c>
      <c r="G72" s="196">
        <v>65</v>
      </c>
      <c r="H72" s="196">
        <f t="shared" si="1"/>
        <v>390</v>
      </c>
    </row>
    <row r="73" spans="1:8" ht="15.6" x14ac:dyDescent="0.3">
      <c r="A73" s="192">
        <v>993</v>
      </c>
      <c r="B73" s="193">
        <v>45534</v>
      </c>
      <c r="C73" s="195" t="s">
        <v>327</v>
      </c>
      <c r="D73" s="195" t="s">
        <v>311</v>
      </c>
      <c r="E73" s="195" t="s">
        <v>51</v>
      </c>
      <c r="F73" s="195">
        <v>10</v>
      </c>
      <c r="G73" s="196">
        <v>21</v>
      </c>
      <c r="H73" s="196">
        <f t="shared" si="1"/>
        <v>210</v>
      </c>
    </row>
    <row r="74" spans="1:8" ht="15.6" x14ac:dyDescent="0.3">
      <c r="A74" s="192">
        <v>996</v>
      </c>
      <c r="B74" s="193">
        <v>45538</v>
      </c>
      <c r="C74" s="142" t="s">
        <v>329</v>
      </c>
      <c r="D74" s="195" t="s">
        <v>311</v>
      </c>
      <c r="E74" s="195" t="s">
        <v>51</v>
      </c>
      <c r="F74" s="195">
        <v>10</v>
      </c>
      <c r="G74" s="196">
        <v>21</v>
      </c>
      <c r="H74" s="196">
        <f t="shared" si="1"/>
        <v>210</v>
      </c>
    </row>
    <row r="75" spans="1:8" ht="15.6" x14ac:dyDescent="0.3">
      <c r="A75" s="192">
        <v>996</v>
      </c>
      <c r="B75" s="193">
        <v>45538</v>
      </c>
      <c r="C75" s="142" t="s">
        <v>329</v>
      </c>
      <c r="D75" s="195" t="s">
        <v>309</v>
      </c>
      <c r="E75" s="195" t="s">
        <v>74</v>
      </c>
      <c r="F75" s="195">
        <v>2</v>
      </c>
      <c r="G75" s="196">
        <v>47.5</v>
      </c>
      <c r="H75" s="196">
        <f t="shared" si="1"/>
        <v>95</v>
      </c>
    </row>
    <row r="76" spans="1:8" ht="15.6" x14ac:dyDescent="0.3">
      <c r="A76" s="192">
        <v>996</v>
      </c>
      <c r="B76" s="193">
        <v>45538</v>
      </c>
      <c r="C76" s="142" t="s">
        <v>329</v>
      </c>
      <c r="D76" s="195" t="s">
        <v>307</v>
      </c>
      <c r="E76" s="195" t="s">
        <v>74</v>
      </c>
      <c r="F76" s="195">
        <v>2</v>
      </c>
      <c r="G76" s="196">
        <v>47.5</v>
      </c>
      <c r="H76" s="196">
        <f t="shared" si="1"/>
        <v>95</v>
      </c>
    </row>
    <row r="77" spans="1:8" ht="15.6" x14ac:dyDescent="0.3">
      <c r="A77" s="192">
        <v>996</v>
      </c>
      <c r="B77" s="193">
        <v>45538</v>
      </c>
      <c r="C77" s="142" t="s">
        <v>329</v>
      </c>
      <c r="D77" s="195" t="s">
        <v>301</v>
      </c>
      <c r="E77" s="195" t="s">
        <v>74</v>
      </c>
      <c r="F77" s="195">
        <v>8</v>
      </c>
      <c r="G77" s="196">
        <v>36.75</v>
      </c>
      <c r="H77" s="196">
        <f t="shared" si="1"/>
        <v>294</v>
      </c>
    </row>
    <row r="78" spans="1:8" ht="15.6" x14ac:dyDescent="0.3">
      <c r="A78" s="192">
        <v>996</v>
      </c>
      <c r="B78" s="193">
        <v>45538</v>
      </c>
      <c r="C78" s="142" t="s">
        <v>329</v>
      </c>
      <c r="D78" s="195" t="s">
        <v>308</v>
      </c>
      <c r="E78" s="195" t="s">
        <v>74</v>
      </c>
      <c r="F78" s="195">
        <v>2</v>
      </c>
      <c r="G78" s="196">
        <v>36.75</v>
      </c>
      <c r="H78" s="196">
        <f t="shared" si="1"/>
        <v>73.5</v>
      </c>
    </row>
    <row r="79" spans="1:8" ht="15.6" x14ac:dyDescent="0.3">
      <c r="A79" s="192">
        <v>996</v>
      </c>
      <c r="B79" s="193">
        <v>45538</v>
      </c>
      <c r="C79" s="142" t="s">
        <v>329</v>
      </c>
      <c r="D79" s="195" t="s">
        <v>313</v>
      </c>
      <c r="E79" s="195" t="s">
        <v>80</v>
      </c>
      <c r="F79" s="195">
        <v>1</v>
      </c>
      <c r="G79" s="196">
        <v>21</v>
      </c>
      <c r="H79" s="196">
        <f t="shared" si="1"/>
        <v>21</v>
      </c>
    </row>
    <row r="80" spans="1:8" ht="15.6" x14ac:dyDescent="0.3">
      <c r="A80" s="192">
        <v>995</v>
      </c>
      <c r="B80" s="193">
        <v>45538</v>
      </c>
      <c r="C80" s="195" t="s">
        <v>319</v>
      </c>
      <c r="D80" s="195" t="s">
        <v>308</v>
      </c>
      <c r="E80" s="195" t="s">
        <v>74</v>
      </c>
      <c r="F80" s="195">
        <v>12</v>
      </c>
      <c r="G80" s="196">
        <v>36.75</v>
      </c>
      <c r="H80" s="196">
        <f t="shared" si="1"/>
        <v>441</v>
      </c>
    </row>
    <row r="81" spans="1:8" ht="15.6" x14ac:dyDescent="0.3">
      <c r="A81" s="192">
        <v>995</v>
      </c>
      <c r="B81" s="193">
        <v>45538</v>
      </c>
      <c r="C81" s="195" t="s">
        <v>319</v>
      </c>
      <c r="D81" s="195" t="s">
        <v>301</v>
      </c>
      <c r="E81" s="195" t="s">
        <v>74</v>
      </c>
      <c r="F81" s="195">
        <v>6</v>
      </c>
      <c r="G81" s="196">
        <v>36.75</v>
      </c>
      <c r="H81" s="196">
        <f t="shared" si="1"/>
        <v>220.5</v>
      </c>
    </row>
    <row r="82" spans="1:8" ht="15.6" x14ac:dyDescent="0.3">
      <c r="A82" s="192">
        <v>998</v>
      </c>
      <c r="B82" s="193">
        <v>45544</v>
      </c>
      <c r="C82" s="195" t="s">
        <v>330</v>
      </c>
      <c r="D82" s="195" t="s">
        <v>301</v>
      </c>
      <c r="E82" s="195" t="s">
        <v>74</v>
      </c>
      <c r="F82" s="195">
        <v>5</v>
      </c>
      <c r="G82" s="196">
        <v>36.75</v>
      </c>
      <c r="H82" s="196">
        <f t="shared" si="1"/>
        <v>183.75</v>
      </c>
    </row>
    <row r="83" spans="1:8" ht="15.6" x14ac:dyDescent="0.3">
      <c r="A83" s="192">
        <v>1003</v>
      </c>
      <c r="B83" s="193">
        <v>45548</v>
      </c>
      <c r="C83" s="195" t="s">
        <v>331</v>
      </c>
      <c r="D83" s="195" t="s">
        <v>332</v>
      </c>
      <c r="E83" s="195" t="s">
        <v>74</v>
      </c>
      <c r="F83" s="195">
        <v>3</v>
      </c>
      <c r="G83" s="196">
        <v>47.5</v>
      </c>
      <c r="H83" s="196">
        <f t="shared" si="1"/>
        <v>142.5</v>
      </c>
    </row>
    <row r="84" spans="1:8" ht="15.6" x14ac:dyDescent="0.3">
      <c r="A84" s="192">
        <v>1003</v>
      </c>
      <c r="B84" s="193">
        <v>45548</v>
      </c>
      <c r="C84" s="195" t="s">
        <v>331</v>
      </c>
      <c r="D84" s="195" t="s">
        <v>311</v>
      </c>
      <c r="E84" s="195" t="s">
        <v>51</v>
      </c>
      <c r="F84" s="195">
        <v>4</v>
      </c>
      <c r="G84" s="196">
        <v>21</v>
      </c>
      <c r="H84" s="196">
        <f t="shared" si="1"/>
        <v>84</v>
      </c>
    </row>
    <row r="85" spans="1:8" ht="15.6" x14ac:dyDescent="0.3">
      <c r="A85" s="192">
        <v>1003</v>
      </c>
      <c r="B85" s="193">
        <v>45548</v>
      </c>
      <c r="C85" s="195" t="s">
        <v>331</v>
      </c>
      <c r="D85" s="195" t="s">
        <v>308</v>
      </c>
      <c r="E85" s="195" t="s">
        <v>74</v>
      </c>
      <c r="F85" s="195">
        <v>2</v>
      </c>
      <c r="G85" s="196">
        <v>36.75</v>
      </c>
      <c r="H85" s="196">
        <f t="shared" si="1"/>
        <v>73.5</v>
      </c>
    </row>
    <row r="86" spans="1:8" ht="15.6" x14ac:dyDescent="0.3">
      <c r="A86" s="192">
        <v>1006</v>
      </c>
      <c r="B86" s="193">
        <v>45553</v>
      </c>
      <c r="C86" s="195" t="s">
        <v>333</v>
      </c>
      <c r="D86" s="195" t="s">
        <v>311</v>
      </c>
      <c r="E86" s="195" t="s">
        <v>51</v>
      </c>
      <c r="F86" s="195">
        <v>5</v>
      </c>
      <c r="G86" s="196">
        <v>21</v>
      </c>
      <c r="H86" s="196">
        <f t="shared" si="1"/>
        <v>105</v>
      </c>
    </row>
    <row r="87" spans="1:8" ht="15.6" x14ac:dyDescent="0.3">
      <c r="A87" s="192">
        <v>1006</v>
      </c>
      <c r="B87" s="193">
        <v>45553</v>
      </c>
      <c r="C87" s="195" t="s">
        <v>333</v>
      </c>
      <c r="D87" s="195" t="s">
        <v>313</v>
      </c>
      <c r="E87" s="195" t="s">
        <v>80</v>
      </c>
      <c r="F87" s="195">
        <v>3</v>
      </c>
      <c r="G87" s="196">
        <v>19</v>
      </c>
      <c r="H87" s="196">
        <f t="shared" si="1"/>
        <v>57</v>
      </c>
    </row>
    <row r="88" spans="1:8" ht="15.6" x14ac:dyDescent="0.3">
      <c r="A88" s="192">
        <v>1006</v>
      </c>
      <c r="B88" s="193">
        <v>45553</v>
      </c>
      <c r="C88" s="195" t="s">
        <v>333</v>
      </c>
      <c r="D88" s="195" t="s">
        <v>301</v>
      </c>
      <c r="E88" s="195" t="s">
        <v>74</v>
      </c>
      <c r="F88" s="195">
        <v>8</v>
      </c>
      <c r="G88" s="196">
        <v>37.5</v>
      </c>
      <c r="H88" s="196">
        <f t="shared" si="1"/>
        <v>300</v>
      </c>
    </row>
    <row r="89" spans="1:8" ht="15.6" x14ac:dyDescent="0.3">
      <c r="A89" s="195">
        <v>1042</v>
      </c>
      <c r="B89" s="197">
        <v>45555</v>
      </c>
      <c r="C89" s="195" t="s">
        <v>334</v>
      </c>
      <c r="D89" s="195" t="s">
        <v>301</v>
      </c>
      <c r="E89" s="195" t="s">
        <v>74</v>
      </c>
      <c r="F89" s="195">
        <v>45</v>
      </c>
      <c r="G89" s="196">
        <v>36.75</v>
      </c>
      <c r="H89" s="196">
        <f t="shared" si="1"/>
        <v>1653.75</v>
      </c>
    </row>
    <row r="90" spans="1:8" ht="15.6" x14ac:dyDescent="0.3">
      <c r="A90" s="195">
        <v>1042</v>
      </c>
      <c r="B90" s="197">
        <v>45555</v>
      </c>
      <c r="C90" s="195" t="s">
        <v>334</v>
      </c>
      <c r="D90" s="195" t="s">
        <v>307</v>
      </c>
      <c r="E90" s="195" t="s">
        <v>74</v>
      </c>
      <c r="F90" s="195">
        <v>70</v>
      </c>
      <c r="G90" s="196">
        <v>45</v>
      </c>
      <c r="H90" s="196">
        <f t="shared" si="1"/>
        <v>3150</v>
      </c>
    </row>
    <row r="91" spans="1:8" ht="15.6" x14ac:dyDescent="0.3">
      <c r="A91" s="195">
        <v>1042</v>
      </c>
      <c r="B91" s="197">
        <v>45555</v>
      </c>
      <c r="C91" s="195" t="s">
        <v>334</v>
      </c>
      <c r="D91" s="195" t="s">
        <v>313</v>
      </c>
      <c r="E91" s="195" t="s">
        <v>80</v>
      </c>
      <c r="F91" s="195">
        <v>10</v>
      </c>
      <c r="G91" s="196">
        <v>21</v>
      </c>
      <c r="H91" s="196">
        <f t="shared" si="1"/>
        <v>210</v>
      </c>
    </row>
    <row r="92" spans="1:8" ht="15.6" x14ac:dyDescent="0.3">
      <c r="A92" s="195">
        <v>1042</v>
      </c>
      <c r="B92" s="197">
        <v>45555</v>
      </c>
      <c r="C92" s="195" t="s">
        <v>334</v>
      </c>
      <c r="D92" s="195" t="s">
        <v>311</v>
      </c>
      <c r="E92" s="195" t="s">
        <v>51</v>
      </c>
      <c r="F92" s="195">
        <v>10</v>
      </c>
      <c r="G92" s="196">
        <v>21</v>
      </c>
      <c r="H92" s="196">
        <f t="shared" si="1"/>
        <v>210</v>
      </c>
    </row>
    <row r="93" spans="1:8" ht="15.6" x14ac:dyDescent="0.3">
      <c r="A93" s="195">
        <v>1017</v>
      </c>
      <c r="B93" s="197">
        <v>45555</v>
      </c>
      <c r="C93" s="142" t="s">
        <v>329</v>
      </c>
      <c r="D93" s="195" t="s">
        <v>320</v>
      </c>
      <c r="E93" s="195" t="s">
        <v>321</v>
      </c>
      <c r="F93" s="195">
        <v>7</v>
      </c>
      <c r="G93" s="196">
        <v>79.099999999999994</v>
      </c>
      <c r="H93" s="196">
        <f t="shared" si="1"/>
        <v>553.69999999999993</v>
      </c>
    </row>
    <row r="94" spans="1:8" ht="15.6" x14ac:dyDescent="0.3">
      <c r="A94" s="195">
        <v>1017</v>
      </c>
      <c r="B94" s="197">
        <v>45555</v>
      </c>
      <c r="C94" s="142" t="s">
        <v>329</v>
      </c>
      <c r="D94" s="195" t="s">
        <v>307</v>
      </c>
      <c r="E94" s="195" t="s">
        <v>74</v>
      </c>
      <c r="F94" s="195">
        <v>10</v>
      </c>
      <c r="G94" s="196">
        <v>47.5</v>
      </c>
      <c r="H94" s="196">
        <f t="shared" si="1"/>
        <v>475</v>
      </c>
    </row>
    <row r="95" spans="1:8" ht="15.6" x14ac:dyDescent="0.3">
      <c r="A95" s="195">
        <v>1017</v>
      </c>
      <c r="B95" s="197">
        <v>45555</v>
      </c>
      <c r="C95" s="142" t="s">
        <v>329</v>
      </c>
      <c r="D95" s="195" t="s">
        <v>313</v>
      </c>
      <c r="E95" s="195" t="s">
        <v>80</v>
      </c>
      <c r="F95" s="195">
        <v>10</v>
      </c>
      <c r="G95" s="196">
        <v>21</v>
      </c>
      <c r="H95" s="196">
        <f t="shared" si="1"/>
        <v>210</v>
      </c>
    </row>
    <row r="96" spans="1:8" ht="15.6" x14ac:dyDescent="0.3">
      <c r="A96" s="195">
        <v>1017</v>
      </c>
      <c r="B96" s="197">
        <v>45555</v>
      </c>
      <c r="C96" s="142" t="s">
        <v>329</v>
      </c>
      <c r="D96" s="195" t="s">
        <v>301</v>
      </c>
      <c r="E96" s="195" t="s">
        <v>74</v>
      </c>
      <c r="F96" s="195">
        <v>10</v>
      </c>
      <c r="G96" s="196">
        <v>36.75</v>
      </c>
      <c r="H96" s="196">
        <f t="shared" si="1"/>
        <v>367.5</v>
      </c>
    </row>
    <row r="97" spans="1:8" ht="15.6" x14ac:dyDescent="0.3">
      <c r="A97" s="195">
        <v>1018</v>
      </c>
      <c r="B97" s="197">
        <v>45555</v>
      </c>
      <c r="C97" s="195" t="s">
        <v>335</v>
      </c>
      <c r="D97" s="195" t="s">
        <v>311</v>
      </c>
      <c r="E97" s="195" t="s">
        <v>51</v>
      </c>
      <c r="F97" s="195">
        <v>10</v>
      </c>
      <c r="G97" s="196">
        <v>21</v>
      </c>
      <c r="H97" s="196">
        <f t="shared" si="1"/>
        <v>210</v>
      </c>
    </row>
    <row r="98" spans="1:8" ht="15.6" x14ac:dyDescent="0.3">
      <c r="A98" s="195">
        <v>1018</v>
      </c>
      <c r="B98" s="197">
        <v>45555</v>
      </c>
      <c r="C98" s="195" t="s">
        <v>335</v>
      </c>
      <c r="D98" s="195" t="s">
        <v>301</v>
      </c>
      <c r="E98" s="195" t="s">
        <v>74</v>
      </c>
      <c r="F98" s="195">
        <v>24</v>
      </c>
      <c r="G98" s="196">
        <v>36.75</v>
      </c>
      <c r="H98" s="196">
        <f t="shared" si="1"/>
        <v>882</v>
      </c>
    </row>
    <row r="99" spans="1:8" ht="15.6" x14ac:dyDescent="0.3">
      <c r="A99" s="195">
        <v>1018</v>
      </c>
      <c r="B99" s="197">
        <v>45555</v>
      </c>
      <c r="C99" s="195" t="s">
        <v>335</v>
      </c>
      <c r="D99" s="195" t="s">
        <v>313</v>
      </c>
      <c r="E99" s="195" t="s">
        <v>80</v>
      </c>
      <c r="F99" s="195">
        <v>6</v>
      </c>
      <c r="G99" s="196">
        <v>21</v>
      </c>
      <c r="H99" s="196">
        <f t="shared" si="1"/>
        <v>126</v>
      </c>
    </row>
    <row r="100" spans="1:8" ht="15.6" x14ac:dyDescent="0.3">
      <c r="A100" s="195">
        <v>1022</v>
      </c>
      <c r="B100" s="197">
        <v>45559</v>
      </c>
      <c r="C100" s="195" t="s">
        <v>336</v>
      </c>
      <c r="D100" s="195" t="s">
        <v>311</v>
      </c>
      <c r="E100" s="195" t="s">
        <v>51</v>
      </c>
      <c r="F100" s="195">
        <v>13</v>
      </c>
      <c r="G100" s="196">
        <v>21</v>
      </c>
      <c r="H100" s="196">
        <f t="shared" si="1"/>
        <v>273</v>
      </c>
    </row>
    <row r="101" spans="1:8" ht="15.6" x14ac:dyDescent="0.3">
      <c r="A101" s="195">
        <v>1022</v>
      </c>
      <c r="B101" s="197">
        <v>45559</v>
      </c>
      <c r="C101" s="195" t="s">
        <v>336</v>
      </c>
      <c r="D101" s="195" t="s">
        <v>308</v>
      </c>
      <c r="E101" s="195" t="s">
        <v>74</v>
      </c>
      <c r="F101" s="195">
        <v>11</v>
      </c>
      <c r="G101" s="196">
        <v>36.75</v>
      </c>
      <c r="H101" s="196">
        <f t="shared" si="1"/>
        <v>404.25</v>
      </c>
    </row>
    <row r="102" spans="1:8" ht="15.6" x14ac:dyDescent="0.3">
      <c r="A102" s="195">
        <v>1022</v>
      </c>
      <c r="B102" s="197">
        <v>45559</v>
      </c>
      <c r="C102" s="195" t="s">
        <v>336</v>
      </c>
      <c r="D102" s="195" t="s">
        <v>301</v>
      </c>
      <c r="E102" s="195" t="s">
        <v>74</v>
      </c>
      <c r="F102" s="195">
        <v>6</v>
      </c>
      <c r="G102" s="196">
        <v>36.75</v>
      </c>
      <c r="H102" s="196">
        <f t="shared" si="1"/>
        <v>220.5</v>
      </c>
    </row>
    <row r="103" spans="1:8" ht="15.6" x14ac:dyDescent="0.3">
      <c r="A103" s="195">
        <v>1022</v>
      </c>
      <c r="B103" s="197">
        <v>45559</v>
      </c>
      <c r="C103" s="195" t="s">
        <v>336</v>
      </c>
      <c r="D103" s="195" t="s">
        <v>307</v>
      </c>
      <c r="E103" s="195" t="s">
        <v>74</v>
      </c>
      <c r="F103" s="195">
        <v>10</v>
      </c>
      <c r="G103" s="196">
        <v>47.5</v>
      </c>
      <c r="H103" s="196">
        <f t="shared" si="1"/>
        <v>475</v>
      </c>
    </row>
    <row r="104" spans="1:8" ht="15.6" x14ac:dyDescent="0.3">
      <c r="A104" s="195">
        <v>1022</v>
      </c>
      <c r="B104" s="197">
        <v>45559</v>
      </c>
      <c r="C104" s="195" t="s">
        <v>336</v>
      </c>
      <c r="D104" s="195" t="s">
        <v>313</v>
      </c>
      <c r="E104" s="195" t="s">
        <v>80</v>
      </c>
      <c r="F104" s="195">
        <v>12</v>
      </c>
      <c r="G104" s="196">
        <v>21</v>
      </c>
      <c r="H104" s="196">
        <f t="shared" si="1"/>
        <v>252</v>
      </c>
    </row>
    <row r="105" spans="1:8" ht="15.6" x14ac:dyDescent="0.3">
      <c r="A105" s="195">
        <v>1019</v>
      </c>
      <c r="B105" s="197">
        <v>45559</v>
      </c>
      <c r="C105" s="195" t="s">
        <v>337</v>
      </c>
      <c r="D105" s="195" t="s">
        <v>308</v>
      </c>
      <c r="E105" s="195" t="s">
        <v>74</v>
      </c>
      <c r="F105" s="195">
        <v>6</v>
      </c>
      <c r="G105" s="196">
        <v>36.75</v>
      </c>
      <c r="H105" s="196">
        <f t="shared" si="1"/>
        <v>220.5</v>
      </c>
    </row>
    <row r="106" spans="1:8" ht="15.6" x14ac:dyDescent="0.3">
      <c r="A106" s="195">
        <v>1019</v>
      </c>
      <c r="B106" s="197">
        <v>45559</v>
      </c>
      <c r="C106" s="195" t="s">
        <v>337</v>
      </c>
      <c r="D106" s="195" t="s">
        <v>301</v>
      </c>
      <c r="E106" s="195" t="s">
        <v>74</v>
      </c>
      <c r="F106" s="195">
        <v>2</v>
      </c>
      <c r="G106" s="196">
        <v>36.75</v>
      </c>
      <c r="H106" s="196">
        <f t="shared" si="1"/>
        <v>73.5</v>
      </c>
    </row>
    <row r="107" spans="1:8" ht="15.6" x14ac:dyDescent="0.3">
      <c r="A107" s="195">
        <v>1019</v>
      </c>
      <c r="B107" s="197">
        <v>45559</v>
      </c>
      <c r="C107" s="195" t="s">
        <v>337</v>
      </c>
      <c r="D107" s="195" t="s">
        <v>311</v>
      </c>
      <c r="E107" s="195" t="s">
        <v>51</v>
      </c>
      <c r="F107" s="195">
        <v>10</v>
      </c>
      <c r="G107" s="196">
        <v>21</v>
      </c>
      <c r="H107" s="196">
        <f t="shared" si="1"/>
        <v>210</v>
      </c>
    </row>
    <row r="108" spans="1:8" ht="15.6" x14ac:dyDescent="0.3">
      <c r="A108" s="195">
        <v>1025</v>
      </c>
      <c r="B108" s="197">
        <v>45565</v>
      </c>
      <c r="C108" s="195" t="s">
        <v>338</v>
      </c>
      <c r="D108" s="195" t="s">
        <v>311</v>
      </c>
      <c r="E108" s="195" t="s">
        <v>51</v>
      </c>
      <c r="F108" s="195">
        <v>6</v>
      </c>
      <c r="G108" s="196">
        <v>21</v>
      </c>
      <c r="H108" s="196">
        <f t="shared" si="1"/>
        <v>126</v>
      </c>
    </row>
    <row r="109" spans="1:8" ht="15.6" x14ac:dyDescent="0.3">
      <c r="A109" s="195">
        <v>1025</v>
      </c>
      <c r="B109" s="197">
        <v>45565</v>
      </c>
      <c r="C109" s="195" t="s">
        <v>338</v>
      </c>
      <c r="D109" s="195" t="s">
        <v>301</v>
      </c>
      <c r="E109" s="195" t="s">
        <v>74</v>
      </c>
      <c r="F109" s="195">
        <v>18</v>
      </c>
      <c r="G109" s="196">
        <v>36.75</v>
      </c>
      <c r="H109" s="196">
        <f t="shared" si="1"/>
        <v>661.5</v>
      </c>
    </row>
    <row r="110" spans="1:8" ht="15.6" x14ac:dyDescent="0.3">
      <c r="A110" s="195">
        <v>1025</v>
      </c>
      <c r="B110" s="197">
        <v>45565</v>
      </c>
      <c r="C110" s="195" t="s">
        <v>338</v>
      </c>
      <c r="D110" s="195" t="s">
        <v>313</v>
      </c>
      <c r="E110" s="195" t="s">
        <v>80</v>
      </c>
      <c r="F110" s="195">
        <v>4</v>
      </c>
      <c r="G110" s="196">
        <v>21</v>
      </c>
      <c r="H110" s="196">
        <f t="shared" si="1"/>
        <v>84</v>
      </c>
    </row>
    <row r="111" spans="1:8" ht="15.6" x14ac:dyDescent="0.3">
      <c r="A111" s="195">
        <v>1025</v>
      </c>
      <c r="B111" s="197">
        <v>45565</v>
      </c>
      <c r="C111" s="195" t="s">
        <v>338</v>
      </c>
      <c r="D111" s="140" t="s">
        <v>328</v>
      </c>
      <c r="E111" s="195" t="s">
        <v>190</v>
      </c>
      <c r="F111" s="195">
        <v>18</v>
      </c>
      <c r="G111" s="196">
        <v>75</v>
      </c>
      <c r="H111" s="196">
        <f t="shared" si="1"/>
        <v>1350</v>
      </c>
    </row>
    <row r="112" spans="1:8" ht="15.6" x14ac:dyDescent="0.3">
      <c r="A112" s="195">
        <v>1026</v>
      </c>
      <c r="B112" s="197">
        <v>45567</v>
      </c>
      <c r="C112" s="142" t="s">
        <v>329</v>
      </c>
      <c r="D112" s="195" t="s">
        <v>308</v>
      </c>
      <c r="E112" s="195" t="s">
        <v>74</v>
      </c>
      <c r="F112" s="195">
        <v>2</v>
      </c>
      <c r="G112" s="196">
        <v>36.75</v>
      </c>
      <c r="H112" s="196">
        <f t="shared" si="1"/>
        <v>73.5</v>
      </c>
    </row>
    <row r="113" spans="1:8" ht="15.6" x14ac:dyDescent="0.3">
      <c r="A113" s="195">
        <v>1026</v>
      </c>
      <c r="B113" s="197">
        <v>45567</v>
      </c>
      <c r="C113" s="142" t="s">
        <v>329</v>
      </c>
      <c r="D113" s="195" t="s">
        <v>311</v>
      </c>
      <c r="E113" s="195" t="s">
        <v>51</v>
      </c>
      <c r="F113" s="195">
        <v>10</v>
      </c>
      <c r="G113" s="196">
        <v>21</v>
      </c>
      <c r="H113" s="196">
        <f t="shared" si="1"/>
        <v>210</v>
      </c>
    </row>
    <row r="114" spans="1:8" ht="15.6" x14ac:dyDescent="0.3">
      <c r="A114" s="195">
        <v>1026</v>
      </c>
      <c r="B114" s="197">
        <v>45567</v>
      </c>
      <c r="C114" s="142" t="s">
        <v>329</v>
      </c>
      <c r="D114" s="195" t="s">
        <v>309</v>
      </c>
      <c r="E114" s="195" t="s">
        <v>74</v>
      </c>
      <c r="F114" s="195">
        <v>2</v>
      </c>
      <c r="G114" s="196">
        <v>47.5</v>
      </c>
      <c r="H114" s="196">
        <f t="shared" si="1"/>
        <v>95</v>
      </c>
    </row>
    <row r="115" spans="1:8" ht="15.6" x14ac:dyDescent="0.3">
      <c r="A115" s="195">
        <v>1024</v>
      </c>
      <c r="B115" s="197">
        <v>45567</v>
      </c>
      <c r="C115" s="142" t="s">
        <v>329</v>
      </c>
      <c r="D115" s="195" t="s">
        <v>320</v>
      </c>
      <c r="E115" s="195" t="s">
        <v>321</v>
      </c>
      <c r="F115" s="195">
        <v>5</v>
      </c>
      <c r="G115" s="196">
        <v>85</v>
      </c>
      <c r="H115" s="196">
        <f t="shared" si="1"/>
        <v>425</v>
      </c>
    </row>
    <row r="116" spans="1:8" ht="15.6" x14ac:dyDescent="0.3">
      <c r="A116" s="195">
        <v>1027</v>
      </c>
      <c r="B116" s="197">
        <v>45568</v>
      </c>
      <c r="C116" s="195" t="s">
        <v>335</v>
      </c>
      <c r="D116" s="195" t="s">
        <v>301</v>
      </c>
      <c r="E116" s="195" t="s">
        <v>74</v>
      </c>
      <c r="F116" s="195">
        <v>3</v>
      </c>
      <c r="G116" s="196">
        <v>36.75</v>
      </c>
      <c r="H116" s="196">
        <f t="shared" si="1"/>
        <v>110.25</v>
      </c>
    </row>
    <row r="117" spans="1:8" ht="15.6" x14ac:dyDescent="0.3">
      <c r="A117" s="195">
        <v>1027</v>
      </c>
      <c r="B117" s="197">
        <v>45568</v>
      </c>
      <c r="C117" s="195" t="s">
        <v>335</v>
      </c>
      <c r="D117" s="195" t="s">
        <v>339</v>
      </c>
      <c r="E117" s="195" t="s">
        <v>340</v>
      </c>
      <c r="F117" s="195">
        <v>6</v>
      </c>
      <c r="G117" s="196">
        <v>75</v>
      </c>
      <c r="H117" s="196">
        <f t="shared" si="1"/>
        <v>450</v>
      </c>
    </row>
    <row r="118" spans="1:8" ht="15.6" x14ac:dyDescent="0.3">
      <c r="A118" s="195">
        <v>1028</v>
      </c>
      <c r="B118" s="197">
        <v>45569</v>
      </c>
      <c r="C118" s="195" t="s">
        <v>341</v>
      </c>
      <c r="D118" s="195" t="s">
        <v>311</v>
      </c>
      <c r="E118" s="195" t="s">
        <v>51</v>
      </c>
      <c r="F118" s="195">
        <v>7</v>
      </c>
      <c r="G118" s="196">
        <v>21</v>
      </c>
      <c r="H118" s="196">
        <f t="shared" si="1"/>
        <v>147</v>
      </c>
    </row>
    <row r="119" spans="1:8" ht="15.6" x14ac:dyDescent="0.3">
      <c r="A119" s="195">
        <v>1028</v>
      </c>
      <c r="B119" s="197">
        <v>45569</v>
      </c>
      <c r="C119" s="195" t="s">
        <v>341</v>
      </c>
      <c r="D119" s="195" t="s">
        <v>342</v>
      </c>
      <c r="E119" s="195" t="s">
        <v>74</v>
      </c>
      <c r="F119" s="195">
        <v>6</v>
      </c>
      <c r="G119" s="196">
        <v>41.75</v>
      </c>
      <c r="H119" s="196">
        <f t="shared" si="1"/>
        <v>250.5</v>
      </c>
    </row>
    <row r="120" spans="1:8" ht="15.6" x14ac:dyDescent="0.3">
      <c r="A120" s="195">
        <v>1028</v>
      </c>
      <c r="B120" s="197">
        <v>45569</v>
      </c>
      <c r="C120" s="195" t="s">
        <v>341</v>
      </c>
      <c r="D120" s="195" t="s">
        <v>301</v>
      </c>
      <c r="E120" s="195" t="s">
        <v>74</v>
      </c>
      <c r="F120" s="195">
        <v>4</v>
      </c>
      <c r="G120" s="196">
        <v>36.75</v>
      </c>
      <c r="H120" s="196">
        <f t="shared" si="1"/>
        <v>147</v>
      </c>
    </row>
    <row r="121" spans="1:8" ht="15.6" x14ac:dyDescent="0.3">
      <c r="A121" s="195">
        <v>1028</v>
      </c>
      <c r="B121" s="197">
        <v>45569</v>
      </c>
      <c r="C121" s="195" t="s">
        <v>341</v>
      </c>
      <c r="D121" s="195" t="s">
        <v>313</v>
      </c>
      <c r="E121" s="195" t="s">
        <v>80</v>
      </c>
      <c r="F121" s="195">
        <v>6</v>
      </c>
      <c r="G121" s="196">
        <v>21</v>
      </c>
      <c r="H121" s="196">
        <f t="shared" si="1"/>
        <v>126</v>
      </c>
    </row>
    <row r="122" spans="1:8" ht="15.6" x14ac:dyDescent="0.3">
      <c r="A122" s="195">
        <v>1033</v>
      </c>
      <c r="B122" s="197">
        <v>45579</v>
      </c>
      <c r="C122" s="195" t="s">
        <v>343</v>
      </c>
      <c r="D122" s="195" t="s">
        <v>308</v>
      </c>
      <c r="E122" s="195" t="s">
        <v>74</v>
      </c>
      <c r="F122" s="195">
        <v>11</v>
      </c>
      <c r="G122" s="196">
        <v>36.75</v>
      </c>
      <c r="H122" s="196">
        <f t="shared" si="1"/>
        <v>404.25</v>
      </c>
    </row>
    <row r="123" spans="1:8" ht="15.6" x14ac:dyDescent="0.3">
      <c r="A123" s="195">
        <v>1033</v>
      </c>
      <c r="B123" s="197">
        <v>45579</v>
      </c>
      <c r="C123" s="195" t="s">
        <v>343</v>
      </c>
      <c r="D123" s="195" t="s">
        <v>307</v>
      </c>
      <c r="E123" s="195" t="s">
        <v>74</v>
      </c>
      <c r="F123" s="195">
        <v>8</v>
      </c>
      <c r="G123" s="196">
        <v>47.5</v>
      </c>
      <c r="H123" s="196">
        <f t="shared" si="1"/>
        <v>380</v>
      </c>
    </row>
    <row r="124" spans="1:8" ht="15.6" x14ac:dyDescent="0.3">
      <c r="A124" s="195">
        <v>1033</v>
      </c>
      <c r="B124" s="197">
        <v>45579</v>
      </c>
      <c r="C124" s="195" t="s">
        <v>343</v>
      </c>
      <c r="D124" s="195" t="s">
        <v>301</v>
      </c>
      <c r="E124" s="195" t="s">
        <v>74</v>
      </c>
      <c r="F124" s="195">
        <v>3</v>
      </c>
      <c r="G124" s="196">
        <v>36.75</v>
      </c>
      <c r="H124" s="196">
        <f t="shared" si="1"/>
        <v>110.25</v>
      </c>
    </row>
    <row r="125" spans="1:8" ht="15.6" x14ac:dyDescent="0.3">
      <c r="A125" s="195">
        <v>1033</v>
      </c>
      <c r="B125" s="197">
        <v>45579</v>
      </c>
      <c r="C125" s="195" t="s">
        <v>343</v>
      </c>
      <c r="D125" s="195" t="s">
        <v>318</v>
      </c>
      <c r="E125" s="195" t="s">
        <v>190</v>
      </c>
      <c r="F125" s="195">
        <v>12</v>
      </c>
      <c r="G125" s="196">
        <v>65</v>
      </c>
      <c r="H125" s="196">
        <f t="shared" si="1"/>
        <v>780</v>
      </c>
    </row>
    <row r="126" spans="1:8" ht="15.6" x14ac:dyDescent="0.3">
      <c r="A126" s="195">
        <v>1033</v>
      </c>
      <c r="B126" s="197">
        <v>45579</v>
      </c>
      <c r="C126" s="195" t="s">
        <v>343</v>
      </c>
      <c r="D126" s="195" t="s">
        <v>313</v>
      </c>
      <c r="E126" s="195" t="s">
        <v>80</v>
      </c>
      <c r="F126" s="195">
        <v>10</v>
      </c>
      <c r="G126" s="196">
        <v>21</v>
      </c>
      <c r="H126" s="196">
        <f t="shared" si="1"/>
        <v>210</v>
      </c>
    </row>
    <row r="127" spans="1:8" ht="15.6" x14ac:dyDescent="0.3">
      <c r="A127" s="195">
        <v>1033</v>
      </c>
      <c r="B127" s="197">
        <v>45579</v>
      </c>
      <c r="C127" s="195" t="s">
        <v>343</v>
      </c>
      <c r="D127" s="195" t="s">
        <v>311</v>
      </c>
      <c r="E127" s="195" t="s">
        <v>51</v>
      </c>
      <c r="F127" s="195">
        <v>10</v>
      </c>
      <c r="G127" s="196">
        <v>21</v>
      </c>
      <c r="H127" s="196">
        <f t="shared" si="1"/>
        <v>210</v>
      </c>
    </row>
    <row r="128" spans="1:8" ht="15.6" x14ac:dyDescent="0.3">
      <c r="A128" s="195">
        <v>1044</v>
      </c>
      <c r="B128" s="197">
        <v>45588</v>
      </c>
      <c r="C128" s="195" t="s">
        <v>344</v>
      </c>
      <c r="D128" s="195" t="s">
        <v>308</v>
      </c>
      <c r="E128" s="195" t="s">
        <v>74</v>
      </c>
      <c r="F128" s="195">
        <v>11</v>
      </c>
      <c r="G128" s="196">
        <v>36.75</v>
      </c>
      <c r="H128" s="196">
        <f t="shared" si="1"/>
        <v>404.25</v>
      </c>
    </row>
    <row r="129" spans="1:8" ht="15.6" x14ac:dyDescent="0.3">
      <c r="A129" s="195">
        <v>1044</v>
      </c>
      <c r="B129" s="197">
        <v>45588</v>
      </c>
      <c r="C129" s="195" t="s">
        <v>344</v>
      </c>
      <c r="D129" s="195" t="s">
        <v>313</v>
      </c>
      <c r="E129" s="195" t="s">
        <v>80</v>
      </c>
      <c r="F129" s="195">
        <v>4</v>
      </c>
      <c r="G129" s="196">
        <v>20</v>
      </c>
      <c r="H129" s="196">
        <f t="shared" si="1"/>
        <v>80</v>
      </c>
    </row>
    <row r="130" spans="1:8" ht="15.6" x14ac:dyDescent="0.3">
      <c r="A130" s="195">
        <v>1044</v>
      </c>
      <c r="B130" s="197">
        <v>45588</v>
      </c>
      <c r="C130" s="195" t="s">
        <v>344</v>
      </c>
      <c r="D130" s="195" t="s">
        <v>311</v>
      </c>
      <c r="E130" s="195" t="s">
        <v>51</v>
      </c>
      <c r="F130" s="195">
        <v>6</v>
      </c>
      <c r="G130" s="196">
        <v>25</v>
      </c>
      <c r="H130" s="196">
        <f t="shared" si="1"/>
        <v>150</v>
      </c>
    </row>
    <row r="131" spans="1:8" ht="15.6" x14ac:dyDescent="0.3">
      <c r="A131" s="195">
        <v>1048</v>
      </c>
      <c r="B131" s="197">
        <v>45595</v>
      </c>
      <c r="C131" s="142" t="s">
        <v>345</v>
      </c>
      <c r="D131" s="195" t="s">
        <v>301</v>
      </c>
      <c r="E131" s="195" t="s">
        <v>74</v>
      </c>
      <c r="F131" s="195">
        <v>21</v>
      </c>
      <c r="G131" s="196">
        <v>36.75</v>
      </c>
      <c r="H131" s="196">
        <f t="shared" si="1"/>
        <v>771.75</v>
      </c>
    </row>
    <row r="132" spans="1:8" ht="15.6" x14ac:dyDescent="0.3">
      <c r="A132" s="195">
        <v>1048</v>
      </c>
      <c r="B132" s="197">
        <v>45595</v>
      </c>
      <c r="C132" s="142" t="s">
        <v>345</v>
      </c>
      <c r="D132" s="195" t="s">
        <v>318</v>
      </c>
      <c r="E132" s="195" t="s">
        <v>190</v>
      </c>
      <c r="F132" s="195">
        <v>16</v>
      </c>
      <c r="G132" s="196">
        <v>65</v>
      </c>
      <c r="H132" s="196">
        <f t="shared" si="1"/>
        <v>1040</v>
      </c>
    </row>
    <row r="133" spans="1:8" ht="15.6" x14ac:dyDescent="0.3">
      <c r="A133" s="195">
        <v>1048</v>
      </c>
      <c r="B133" s="197">
        <v>45595</v>
      </c>
      <c r="C133" s="142" t="s">
        <v>345</v>
      </c>
      <c r="D133" s="195" t="s">
        <v>313</v>
      </c>
      <c r="E133" s="195" t="s">
        <v>80</v>
      </c>
      <c r="F133" s="195">
        <v>10</v>
      </c>
      <c r="G133" s="196">
        <v>20</v>
      </c>
      <c r="H133" s="196">
        <f t="shared" ref="H133:H196" si="2">G133*F133</f>
        <v>200</v>
      </c>
    </row>
    <row r="134" spans="1:8" ht="15.6" x14ac:dyDescent="0.3">
      <c r="A134" s="195">
        <v>1048</v>
      </c>
      <c r="B134" s="197">
        <v>45595</v>
      </c>
      <c r="C134" s="142" t="s">
        <v>345</v>
      </c>
      <c r="D134" s="195" t="s">
        <v>311</v>
      </c>
      <c r="E134" s="195" t="s">
        <v>51</v>
      </c>
      <c r="F134" s="195">
        <v>15</v>
      </c>
      <c r="G134" s="196">
        <v>25</v>
      </c>
      <c r="H134" s="196">
        <f t="shared" si="2"/>
        <v>375</v>
      </c>
    </row>
    <row r="135" spans="1:8" ht="15.6" x14ac:dyDescent="0.3">
      <c r="A135" s="195">
        <v>1050</v>
      </c>
      <c r="B135" s="197">
        <v>45601</v>
      </c>
      <c r="C135" s="195" t="s">
        <v>346</v>
      </c>
      <c r="D135" s="195" t="s">
        <v>311</v>
      </c>
      <c r="E135" s="195" t="s">
        <v>51</v>
      </c>
      <c r="F135" s="195">
        <v>16</v>
      </c>
      <c r="G135" s="196">
        <v>25</v>
      </c>
      <c r="H135" s="196">
        <f t="shared" si="2"/>
        <v>400</v>
      </c>
    </row>
    <row r="136" spans="1:8" ht="15.6" x14ac:dyDescent="0.3">
      <c r="A136" s="195">
        <v>1050</v>
      </c>
      <c r="B136" s="197">
        <v>45601</v>
      </c>
      <c r="C136" s="195" t="s">
        <v>346</v>
      </c>
      <c r="D136" s="195" t="s">
        <v>313</v>
      </c>
      <c r="E136" s="195" t="s">
        <v>80</v>
      </c>
      <c r="F136" s="195">
        <v>9</v>
      </c>
      <c r="G136" s="196">
        <v>21</v>
      </c>
      <c r="H136" s="196">
        <f t="shared" si="2"/>
        <v>189</v>
      </c>
    </row>
    <row r="137" spans="1:8" ht="15.6" x14ac:dyDescent="0.3">
      <c r="A137" s="195">
        <v>1050</v>
      </c>
      <c r="B137" s="197">
        <v>45601</v>
      </c>
      <c r="C137" s="195" t="s">
        <v>346</v>
      </c>
      <c r="D137" s="195" t="s">
        <v>308</v>
      </c>
      <c r="E137" s="195" t="s">
        <v>74</v>
      </c>
      <c r="F137" s="195">
        <v>6</v>
      </c>
      <c r="G137" s="196">
        <v>36.75</v>
      </c>
      <c r="H137" s="196">
        <f t="shared" si="2"/>
        <v>220.5</v>
      </c>
    </row>
    <row r="138" spans="1:8" ht="15.6" x14ac:dyDescent="0.3">
      <c r="A138" s="195">
        <v>1050</v>
      </c>
      <c r="B138" s="197">
        <v>45601</v>
      </c>
      <c r="C138" s="195" t="s">
        <v>346</v>
      </c>
      <c r="D138" s="195" t="s">
        <v>301</v>
      </c>
      <c r="E138" s="195" t="s">
        <v>74</v>
      </c>
      <c r="F138" s="195">
        <v>2</v>
      </c>
      <c r="G138" s="196">
        <v>36.75</v>
      </c>
      <c r="H138" s="196">
        <f t="shared" si="2"/>
        <v>73.5</v>
      </c>
    </row>
    <row r="139" spans="1:8" ht="15.6" x14ac:dyDescent="0.3">
      <c r="A139" s="195">
        <v>1050</v>
      </c>
      <c r="B139" s="197">
        <v>45601</v>
      </c>
      <c r="C139" s="195" t="s">
        <v>346</v>
      </c>
      <c r="D139" s="195" t="s">
        <v>307</v>
      </c>
      <c r="E139" s="195" t="s">
        <v>74</v>
      </c>
      <c r="F139" s="195">
        <v>7</v>
      </c>
      <c r="G139" s="196">
        <v>47.5</v>
      </c>
      <c r="H139" s="196">
        <f t="shared" si="2"/>
        <v>332.5</v>
      </c>
    </row>
    <row r="140" spans="1:8" ht="15.6" x14ac:dyDescent="0.3">
      <c r="A140" s="195">
        <v>1050</v>
      </c>
      <c r="B140" s="197">
        <v>45601</v>
      </c>
      <c r="C140" s="195" t="s">
        <v>346</v>
      </c>
      <c r="D140" s="140" t="s">
        <v>328</v>
      </c>
      <c r="E140" s="195" t="s">
        <v>190</v>
      </c>
      <c r="F140" s="195">
        <v>6</v>
      </c>
      <c r="G140" s="196">
        <v>75</v>
      </c>
      <c r="H140" s="196">
        <f t="shared" si="2"/>
        <v>450</v>
      </c>
    </row>
    <row r="141" spans="1:8" ht="15.6" x14ac:dyDescent="0.3">
      <c r="A141" s="195">
        <v>1050</v>
      </c>
      <c r="B141" s="197">
        <v>45601</v>
      </c>
      <c r="C141" s="195" t="s">
        <v>346</v>
      </c>
      <c r="D141" s="195" t="s">
        <v>318</v>
      </c>
      <c r="E141" s="195" t="s">
        <v>190</v>
      </c>
      <c r="F141" s="195">
        <v>4</v>
      </c>
      <c r="G141" s="196">
        <v>65</v>
      </c>
      <c r="H141" s="196">
        <f t="shared" si="2"/>
        <v>260</v>
      </c>
    </row>
    <row r="142" spans="1:8" ht="15.6" x14ac:dyDescent="0.3">
      <c r="A142" s="195">
        <v>1050</v>
      </c>
      <c r="B142" s="197">
        <v>45601</v>
      </c>
      <c r="C142" s="195" t="s">
        <v>346</v>
      </c>
      <c r="D142" s="195" t="s">
        <v>320</v>
      </c>
      <c r="E142" s="195" t="s">
        <v>321</v>
      </c>
      <c r="F142" s="195">
        <v>4</v>
      </c>
      <c r="G142" s="196">
        <v>85</v>
      </c>
      <c r="H142" s="196">
        <f t="shared" si="2"/>
        <v>340</v>
      </c>
    </row>
    <row r="143" spans="1:8" ht="15.6" x14ac:dyDescent="0.3">
      <c r="A143" s="195">
        <v>1051</v>
      </c>
      <c r="B143" s="197">
        <v>45602</v>
      </c>
      <c r="C143" s="195" t="s">
        <v>347</v>
      </c>
      <c r="D143" s="195" t="s">
        <v>311</v>
      </c>
      <c r="E143" s="195" t="s">
        <v>51</v>
      </c>
      <c r="F143" s="195">
        <v>13</v>
      </c>
      <c r="G143" s="196">
        <v>25</v>
      </c>
      <c r="H143" s="196">
        <f t="shared" si="2"/>
        <v>325</v>
      </c>
    </row>
    <row r="144" spans="1:8" ht="15.6" x14ac:dyDescent="0.3">
      <c r="A144" s="195">
        <v>1051</v>
      </c>
      <c r="B144" s="197">
        <v>45602</v>
      </c>
      <c r="C144" s="195" t="s">
        <v>347</v>
      </c>
      <c r="D144" s="195" t="s">
        <v>308</v>
      </c>
      <c r="E144" s="195" t="s">
        <v>74</v>
      </c>
      <c r="F144" s="195">
        <v>7</v>
      </c>
      <c r="G144" s="196">
        <v>36.75</v>
      </c>
      <c r="H144" s="196">
        <f t="shared" si="2"/>
        <v>257.25</v>
      </c>
    </row>
    <row r="145" spans="1:8" ht="15.6" x14ac:dyDescent="0.3">
      <c r="A145" s="195">
        <v>1051</v>
      </c>
      <c r="B145" s="197">
        <v>45602</v>
      </c>
      <c r="C145" s="195" t="s">
        <v>347</v>
      </c>
      <c r="D145" s="195" t="s">
        <v>301</v>
      </c>
      <c r="E145" s="195" t="s">
        <v>74</v>
      </c>
      <c r="F145" s="195">
        <v>6</v>
      </c>
      <c r="G145" s="196">
        <v>36.75</v>
      </c>
      <c r="H145" s="196">
        <f t="shared" si="2"/>
        <v>220.5</v>
      </c>
    </row>
    <row r="146" spans="1:8" ht="15.6" x14ac:dyDescent="0.3">
      <c r="A146" s="195">
        <v>1052</v>
      </c>
      <c r="B146" s="197">
        <v>45603</v>
      </c>
      <c r="C146" s="195" t="s">
        <v>348</v>
      </c>
      <c r="D146" s="195" t="s">
        <v>313</v>
      </c>
      <c r="E146" s="195" t="s">
        <v>80</v>
      </c>
      <c r="F146" s="195">
        <v>6</v>
      </c>
      <c r="G146" s="196">
        <v>21</v>
      </c>
      <c r="H146" s="196">
        <f t="shared" si="2"/>
        <v>126</v>
      </c>
    </row>
    <row r="147" spans="1:8" ht="15.6" x14ac:dyDescent="0.3">
      <c r="A147" s="195">
        <v>1052</v>
      </c>
      <c r="B147" s="197">
        <v>45603</v>
      </c>
      <c r="C147" s="195" t="s">
        <v>348</v>
      </c>
      <c r="D147" s="195" t="s">
        <v>301</v>
      </c>
      <c r="E147" s="195" t="s">
        <v>74</v>
      </c>
      <c r="F147" s="195">
        <v>10</v>
      </c>
      <c r="G147" s="196">
        <v>36.75</v>
      </c>
      <c r="H147" s="196">
        <f t="shared" si="2"/>
        <v>367.5</v>
      </c>
    </row>
    <row r="148" spans="1:8" ht="15.6" x14ac:dyDescent="0.3">
      <c r="A148" s="195">
        <v>1053</v>
      </c>
      <c r="B148" s="197">
        <v>45604</v>
      </c>
      <c r="C148" s="195" t="s">
        <v>177</v>
      </c>
      <c r="D148" s="195" t="s">
        <v>308</v>
      </c>
      <c r="E148" s="195" t="s">
        <v>74</v>
      </c>
      <c r="F148" s="195">
        <v>50</v>
      </c>
      <c r="G148" s="196">
        <v>36.75</v>
      </c>
      <c r="H148" s="196">
        <f t="shared" si="2"/>
        <v>1837.5</v>
      </c>
    </row>
    <row r="149" spans="1:8" ht="15.6" x14ac:dyDescent="0.3">
      <c r="A149" s="195">
        <v>1053</v>
      </c>
      <c r="B149" s="197">
        <v>45604</v>
      </c>
      <c r="C149" s="195" t="s">
        <v>177</v>
      </c>
      <c r="D149" s="195" t="s">
        <v>301</v>
      </c>
      <c r="E149" s="195" t="s">
        <v>74</v>
      </c>
      <c r="F149" s="195">
        <v>10</v>
      </c>
      <c r="G149" s="196">
        <v>36.75</v>
      </c>
      <c r="H149" s="196">
        <f t="shared" si="2"/>
        <v>367.5</v>
      </c>
    </row>
    <row r="150" spans="1:8" ht="15.6" x14ac:dyDescent="0.3">
      <c r="A150" s="195">
        <v>1053</v>
      </c>
      <c r="B150" s="197">
        <v>45604</v>
      </c>
      <c r="C150" s="195" t="s">
        <v>177</v>
      </c>
      <c r="D150" s="195" t="s">
        <v>307</v>
      </c>
      <c r="E150" s="195" t="s">
        <v>74</v>
      </c>
      <c r="F150" s="195">
        <v>26</v>
      </c>
      <c r="G150" s="196">
        <v>47.5</v>
      </c>
      <c r="H150" s="196">
        <f t="shared" si="2"/>
        <v>1235</v>
      </c>
    </row>
    <row r="151" spans="1:8" ht="15.6" x14ac:dyDescent="0.3">
      <c r="A151" s="195">
        <v>1056</v>
      </c>
      <c r="B151" s="197">
        <v>45607</v>
      </c>
      <c r="C151" s="195" t="s">
        <v>302</v>
      </c>
      <c r="D151" s="195" t="s">
        <v>349</v>
      </c>
      <c r="E151" s="195" t="s">
        <v>350</v>
      </c>
      <c r="F151" s="195">
        <v>2</v>
      </c>
      <c r="G151" s="196">
        <v>180</v>
      </c>
      <c r="H151" s="196">
        <f t="shared" si="2"/>
        <v>360</v>
      </c>
    </row>
    <row r="152" spans="1:8" ht="15.6" x14ac:dyDescent="0.3">
      <c r="A152" s="195">
        <v>1057</v>
      </c>
      <c r="B152" s="197">
        <v>45608</v>
      </c>
      <c r="C152" s="195" t="s">
        <v>300</v>
      </c>
      <c r="D152" s="195" t="s">
        <v>301</v>
      </c>
      <c r="E152" s="195" t="s">
        <v>74</v>
      </c>
      <c r="F152" s="195">
        <v>6</v>
      </c>
      <c r="G152" s="196">
        <v>36.75</v>
      </c>
      <c r="H152" s="196">
        <f t="shared" si="2"/>
        <v>220.5</v>
      </c>
    </row>
    <row r="153" spans="1:8" ht="15.6" x14ac:dyDescent="0.3">
      <c r="A153" s="195">
        <v>1057</v>
      </c>
      <c r="B153" s="197">
        <v>45608</v>
      </c>
      <c r="C153" s="195" t="s">
        <v>300</v>
      </c>
      <c r="D153" s="140" t="s">
        <v>328</v>
      </c>
      <c r="E153" s="195" t="s">
        <v>190</v>
      </c>
      <c r="F153" s="195">
        <v>5</v>
      </c>
      <c r="G153" s="196">
        <v>75</v>
      </c>
      <c r="H153" s="196">
        <f t="shared" si="2"/>
        <v>375</v>
      </c>
    </row>
    <row r="154" spans="1:8" ht="15.6" x14ac:dyDescent="0.3">
      <c r="A154" s="195">
        <v>1057</v>
      </c>
      <c r="B154" s="197">
        <v>45608</v>
      </c>
      <c r="C154" s="195" t="s">
        <v>300</v>
      </c>
      <c r="D154" s="195" t="s">
        <v>313</v>
      </c>
      <c r="E154" s="195" t="s">
        <v>80</v>
      </c>
      <c r="F154" s="195">
        <v>3</v>
      </c>
      <c r="G154" s="196">
        <v>21</v>
      </c>
      <c r="H154" s="196">
        <f t="shared" si="2"/>
        <v>63</v>
      </c>
    </row>
    <row r="155" spans="1:8" ht="15.6" x14ac:dyDescent="0.3">
      <c r="A155" s="195">
        <v>1057</v>
      </c>
      <c r="B155" s="197">
        <v>45608</v>
      </c>
      <c r="C155" s="195" t="s">
        <v>300</v>
      </c>
      <c r="D155" s="195" t="s">
        <v>311</v>
      </c>
      <c r="E155" s="195" t="s">
        <v>51</v>
      </c>
      <c r="F155" s="195">
        <v>6</v>
      </c>
      <c r="G155" s="196">
        <v>25</v>
      </c>
      <c r="H155" s="196">
        <f t="shared" si="2"/>
        <v>150</v>
      </c>
    </row>
    <row r="156" spans="1:8" ht="15.6" x14ac:dyDescent="0.3">
      <c r="A156" s="195">
        <v>1058</v>
      </c>
      <c r="B156" s="197">
        <v>45609</v>
      </c>
      <c r="C156" s="195" t="s">
        <v>317</v>
      </c>
      <c r="D156" s="195" t="s">
        <v>301</v>
      </c>
      <c r="E156" s="195" t="s">
        <v>74</v>
      </c>
      <c r="F156" s="195">
        <v>22</v>
      </c>
      <c r="G156" s="196">
        <v>36.75</v>
      </c>
      <c r="H156" s="196">
        <f t="shared" si="2"/>
        <v>808.5</v>
      </c>
    </row>
    <row r="157" spans="1:8" ht="15.6" x14ac:dyDescent="0.3">
      <c r="A157" s="195">
        <v>1065</v>
      </c>
      <c r="B157" s="197">
        <v>45615</v>
      </c>
      <c r="C157" s="142" t="s">
        <v>345</v>
      </c>
      <c r="D157" s="195" t="s">
        <v>301</v>
      </c>
      <c r="E157" s="195" t="s">
        <v>74</v>
      </c>
      <c r="F157" s="195">
        <v>10</v>
      </c>
      <c r="G157" s="196">
        <v>36.75</v>
      </c>
      <c r="H157" s="196">
        <f t="shared" si="2"/>
        <v>367.5</v>
      </c>
    </row>
    <row r="158" spans="1:8" ht="15.6" x14ac:dyDescent="0.3">
      <c r="A158" s="195">
        <v>1065</v>
      </c>
      <c r="B158" s="197">
        <v>45615</v>
      </c>
      <c r="C158" s="142" t="s">
        <v>345</v>
      </c>
      <c r="D158" s="195" t="s">
        <v>318</v>
      </c>
      <c r="E158" s="195" t="s">
        <v>190</v>
      </c>
      <c r="F158" s="195">
        <v>8</v>
      </c>
      <c r="G158" s="196">
        <v>65</v>
      </c>
      <c r="H158" s="196">
        <f t="shared" si="2"/>
        <v>520</v>
      </c>
    </row>
    <row r="159" spans="1:8" ht="15.6" x14ac:dyDescent="0.3">
      <c r="A159" s="195">
        <v>1065</v>
      </c>
      <c r="B159" s="197">
        <v>45615</v>
      </c>
      <c r="C159" s="142" t="s">
        <v>345</v>
      </c>
      <c r="D159" s="195" t="s">
        <v>311</v>
      </c>
      <c r="E159" s="195" t="s">
        <v>51</v>
      </c>
      <c r="F159" s="195">
        <v>6</v>
      </c>
      <c r="G159" s="196">
        <v>25</v>
      </c>
      <c r="H159" s="196">
        <f t="shared" si="2"/>
        <v>150</v>
      </c>
    </row>
    <row r="160" spans="1:8" ht="15.6" x14ac:dyDescent="0.3">
      <c r="A160" s="195">
        <v>1065</v>
      </c>
      <c r="B160" s="197">
        <v>45615</v>
      </c>
      <c r="C160" s="142" t="s">
        <v>345</v>
      </c>
      <c r="D160" s="195" t="s">
        <v>313</v>
      </c>
      <c r="E160" s="195" t="s">
        <v>80</v>
      </c>
      <c r="F160" s="195">
        <v>8</v>
      </c>
      <c r="G160" s="196">
        <v>21</v>
      </c>
      <c r="H160" s="196">
        <f t="shared" si="2"/>
        <v>168</v>
      </c>
    </row>
    <row r="161" spans="1:8" ht="15.6" x14ac:dyDescent="0.3">
      <c r="A161" s="130">
        <v>1068</v>
      </c>
      <c r="B161" s="139">
        <v>45617</v>
      </c>
      <c r="C161" s="140" t="s">
        <v>351</v>
      </c>
      <c r="D161" s="195" t="s">
        <v>318</v>
      </c>
      <c r="E161" s="140" t="s">
        <v>78</v>
      </c>
      <c r="F161" s="154">
        <v>9</v>
      </c>
      <c r="G161" s="156">
        <v>75</v>
      </c>
      <c r="H161" s="196">
        <f t="shared" si="2"/>
        <v>675</v>
      </c>
    </row>
    <row r="162" spans="1:8" ht="15.6" x14ac:dyDescent="0.3">
      <c r="A162" s="195">
        <v>1067</v>
      </c>
      <c r="B162" s="197">
        <v>45617</v>
      </c>
      <c r="C162" s="195" t="s">
        <v>319</v>
      </c>
      <c r="D162" s="195" t="s">
        <v>301</v>
      </c>
      <c r="E162" s="195" t="s">
        <v>74</v>
      </c>
      <c r="F162" s="195">
        <v>8</v>
      </c>
      <c r="G162" s="196">
        <v>36.75</v>
      </c>
      <c r="H162" s="196">
        <f t="shared" si="2"/>
        <v>294</v>
      </c>
    </row>
    <row r="163" spans="1:8" ht="15.6" x14ac:dyDescent="0.3">
      <c r="A163" s="195">
        <v>1067</v>
      </c>
      <c r="B163" s="197">
        <v>45617</v>
      </c>
      <c r="C163" s="195" t="s">
        <v>319</v>
      </c>
      <c r="D163" s="140" t="s">
        <v>328</v>
      </c>
      <c r="E163" s="195" t="s">
        <v>190</v>
      </c>
      <c r="F163" s="195">
        <v>8</v>
      </c>
      <c r="G163" s="196">
        <v>75</v>
      </c>
      <c r="H163" s="196">
        <f t="shared" si="2"/>
        <v>600</v>
      </c>
    </row>
    <row r="164" spans="1:8" ht="15.6" x14ac:dyDescent="0.3">
      <c r="A164" s="195">
        <v>1067</v>
      </c>
      <c r="B164" s="197">
        <v>45617</v>
      </c>
      <c r="C164" s="195" t="s">
        <v>319</v>
      </c>
      <c r="D164" s="195" t="s">
        <v>308</v>
      </c>
      <c r="E164" s="195" t="s">
        <v>74</v>
      </c>
      <c r="F164" s="195">
        <v>12</v>
      </c>
      <c r="G164" s="196">
        <v>36.75</v>
      </c>
      <c r="H164" s="196">
        <f t="shared" si="2"/>
        <v>441</v>
      </c>
    </row>
    <row r="165" spans="1:8" ht="15.6" x14ac:dyDescent="0.3">
      <c r="A165" s="195">
        <v>1067</v>
      </c>
      <c r="B165" s="197">
        <v>45617</v>
      </c>
      <c r="C165" s="195" t="s">
        <v>319</v>
      </c>
      <c r="D165" s="195" t="s">
        <v>318</v>
      </c>
      <c r="E165" s="195" t="s">
        <v>190</v>
      </c>
      <c r="F165" s="195">
        <v>12</v>
      </c>
      <c r="G165" s="196">
        <v>65</v>
      </c>
      <c r="H165" s="196">
        <f t="shared" si="2"/>
        <v>780</v>
      </c>
    </row>
    <row r="166" spans="1:8" ht="15.6" x14ac:dyDescent="0.3">
      <c r="A166" s="195">
        <v>1067</v>
      </c>
      <c r="B166" s="197">
        <v>45617</v>
      </c>
      <c r="C166" s="195" t="s">
        <v>319</v>
      </c>
      <c r="D166" s="195" t="s">
        <v>313</v>
      </c>
      <c r="E166" s="195" t="s">
        <v>80</v>
      </c>
      <c r="F166" s="195">
        <v>8</v>
      </c>
      <c r="G166" s="196">
        <v>21</v>
      </c>
      <c r="H166" s="196">
        <f t="shared" si="2"/>
        <v>168</v>
      </c>
    </row>
    <row r="167" spans="1:8" ht="15.6" x14ac:dyDescent="0.3">
      <c r="A167" s="195">
        <v>1067</v>
      </c>
      <c r="B167" s="197">
        <v>45617</v>
      </c>
      <c r="C167" s="195" t="s">
        <v>319</v>
      </c>
      <c r="D167" s="195" t="s">
        <v>311</v>
      </c>
      <c r="E167" s="195" t="s">
        <v>51</v>
      </c>
      <c r="F167" s="195">
        <v>12</v>
      </c>
      <c r="G167" s="196">
        <v>25</v>
      </c>
      <c r="H167" s="196">
        <f t="shared" si="2"/>
        <v>300</v>
      </c>
    </row>
    <row r="168" spans="1:8" ht="15.6" x14ac:dyDescent="0.3">
      <c r="A168" s="195">
        <v>1066</v>
      </c>
      <c r="B168" s="197">
        <v>45617</v>
      </c>
      <c r="C168" s="195" t="s">
        <v>352</v>
      </c>
      <c r="D168" s="195" t="s">
        <v>308</v>
      </c>
      <c r="E168" s="195" t="s">
        <v>74</v>
      </c>
      <c r="F168" s="195">
        <v>18</v>
      </c>
      <c r="G168" s="196">
        <v>36.75</v>
      </c>
      <c r="H168" s="196">
        <f t="shared" si="2"/>
        <v>661.5</v>
      </c>
    </row>
    <row r="169" spans="1:8" ht="15.6" x14ac:dyDescent="0.3">
      <c r="A169" s="195">
        <v>1066</v>
      </c>
      <c r="B169" s="197">
        <v>45617</v>
      </c>
      <c r="C169" s="195" t="s">
        <v>352</v>
      </c>
      <c r="D169" s="195" t="s">
        <v>301</v>
      </c>
      <c r="E169" s="195" t="s">
        <v>74</v>
      </c>
      <c r="F169" s="195">
        <v>8</v>
      </c>
      <c r="G169" s="196">
        <v>36.75</v>
      </c>
      <c r="H169" s="196">
        <f t="shared" si="2"/>
        <v>294</v>
      </c>
    </row>
    <row r="170" spans="1:8" ht="15.6" x14ac:dyDescent="0.3">
      <c r="A170" s="195">
        <v>1066</v>
      </c>
      <c r="B170" s="197">
        <v>45617</v>
      </c>
      <c r="C170" s="195" t="s">
        <v>352</v>
      </c>
      <c r="D170" s="195" t="s">
        <v>311</v>
      </c>
      <c r="E170" s="195" t="s">
        <v>51</v>
      </c>
      <c r="F170" s="195">
        <v>10</v>
      </c>
      <c r="G170" s="196">
        <v>25</v>
      </c>
      <c r="H170" s="196">
        <f t="shared" si="2"/>
        <v>250</v>
      </c>
    </row>
    <row r="171" spans="1:8" ht="15.6" x14ac:dyDescent="0.3">
      <c r="A171" s="195">
        <v>1066</v>
      </c>
      <c r="B171" s="197">
        <v>45617</v>
      </c>
      <c r="C171" s="195" t="s">
        <v>352</v>
      </c>
      <c r="D171" s="195" t="s">
        <v>313</v>
      </c>
      <c r="E171" s="195" t="s">
        <v>80</v>
      </c>
      <c r="F171" s="195">
        <v>10</v>
      </c>
      <c r="G171" s="196">
        <v>21</v>
      </c>
      <c r="H171" s="196">
        <f t="shared" si="2"/>
        <v>210</v>
      </c>
    </row>
    <row r="172" spans="1:8" ht="15.6" x14ac:dyDescent="0.3">
      <c r="A172" s="195">
        <v>1116</v>
      </c>
      <c r="B172" s="197">
        <v>45622</v>
      </c>
      <c r="C172" s="195" t="s">
        <v>347</v>
      </c>
      <c r="D172" s="195" t="s">
        <v>311</v>
      </c>
      <c r="E172" s="195" t="s">
        <v>51</v>
      </c>
      <c r="F172" s="195">
        <v>13</v>
      </c>
      <c r="G172" s="196">
        <v>25</v>
      </c>
      <c r="H172" s="196">
        <f t="shared" si="2"/>
        <v>325</v>
      </c>
    </row>
    <row r="173" spans="1:8" ht="15.6" x14ac:dyDescent="0.3">
      <c r="A173" s="195">
        <v>1116</v>
      </c>
      <c r="B173" s="197">
        <v>45622</v>
      </c>
      <c r="C173" s="195" t="s">
        <v>347</v>
      </c>
      <c r="D173" s="195" t="s">
        <v>308</v>
      </c>
      <c r="E173" s="195" t="s">
        <v>74</v>
      </c>
      <c r="F173" s="195">
        <v>7</v>
      </c>
      <c r="G173" s="196">
        <v>36.75</v>
      </c>
      <c r="H173" s="196">
        <f t="shared" si="2"/>
        <v>257.25</v>
      </c>
    </row>
    <row r="174" spans="1:8" ht="15.6" x14ac:dyDescent="0.3">
      <c r="A174" s="195">
        <v>1116</v>
      </c>
      <c r="B174" s="197">
        <v>45622</v>
      </c>
      <c r="C174" s="195" t="s">
        <v>347</v>
      </c>
      <c r="D174" s="195" t="s">
        <v>301</v>
      </c>
      <c r="E174" s="195" t="s">
        <v>74</v>
      </c>
      <c r="F174" s="195">
        <v>6</v>
      </c>
      <c r="G174" s="196">
        <v>36.75</v>
      </c>
      <c r="H174" s="196">
        <f t="shared" si="2"/>
        <v>220.5</v>
      </c>
    </row>
    <row r="175" spans="1:8" ht="15.6" x14ac:dyDescent="0.3">
      <c r="A175" s="195">
        <v>1076</v>
      </c>
      <c r="B175" s="197">
        <v>45623</v>
      </c>
      <c r="C175" s="142" t="s">
        <v>329</v>
      </c>
      <c r="D175" s="195" t="s">
        <v>307</v>
      </c>
      <c r="E175" s="195" t="s">
        <v>74</v>
      </c>
      <c r="F175" s="195">
        <v>3</v>
      </c>
      <c r="G175" s="196">
        <v>47.5</v>
      </c>
      <c r="H175" s="196">
        <f t="shared" si="2"/>
        <v>142.5</v>
      </c>
    </row>
    <row r="176" spans="1:8" ht="15.6" x14ac:dyDescent="0.3">
      <c r="A176" s="195">
        <v>1076</v>
      </c>
      <c r="B176" s="197">
        <v>45623</v>
      </c>
      <c r="C176" s="142" t="s">
        <v>329</v>
      </c>
      <c r="D176" s="195" t="s">
        <v>320</v>
      </c>
      <c r="E176" s="195" t="s">
        <v>321</v>
      </c>
      <c r="F176" s="195">
        <v>1</v>
      </c>
      <c r="G176" s="196">
        <v>79.099999999999994</v>
      </c>
      <c r="H176" s="196">
        <f t="shared" si="2"/>
        <v>79.099999999999994</v>
      </c>
    </row>
    <row r="177" spans="1:8" ht="15.6" x14ac:dyDescent="0.3">
      <c r="A177" s="195">
        <v>1076</v>
      </c>
      <c r="B177" s="197">
        <v>45623</v>
      </c>
      <c r="C177" s="142" t="s">
        <v>329</v>
      </c>
      <c r="D177" s="195" t="s">
        <v>313</v>
      </c>
      <c r="E177" s="195" t="s">
        <v>80</v>
      </c>
      <c r="F177" s="195">
        <v>5</v>
      </c>
      <c r="G177" s="196">
        <v>21</v>
      </c>
      <c r="H177" s="196">
        <f t="shared" si="2"/>
        <v>105</v>
      </c>
    </row>
    <row r="178" spans="1:8" ht="15.6" x14ac:dyDescent="0.3">
      <c r="A178" s="195">
        <v>1081</v>
      </c>
      <c r="B178" s="197">
        <v>45632</v>
      </c>
      <c r="C178" s="195" t="s">
        <v>306</v>
      </c>
      <c r="D178" s="195" t="s">
        <v>308</v>
      </c>
      <c r="E178" s="195" t="s">
        <v>74</v>
      </c>
      <c r="F178" s="195">
        <v>4</v>
      </c>
      <c r="G178" s="196">
        <v>36.75</v>
      </c>
      <c r="H178" s="196">
        <f t="shared" si="2"/>
        <v>147</v>
      </c>
    </row>
    <row r="179" spans="1:8" ht="15.6" x14ac:dyDescent="0.3">
      <c r="A179" s="195">
        <v>1081</v>
      </c>
      <c r="B179" s="197">
        <v>45632</v>
      </c>
      <c r="C179" s="195" t="s">
        <v>306</v>
      </c>
      <c r="D179" s="195" t="s">
        <v>301</v>
      </c>
      <c r="E179" s="195" t="s">
        <v>74</v>
      </c>
      <c r="F179" s="195">
        <v>18</v>
      </c>
      <c r="G179" s="196">
        <v>36.75</v>
      </c>
      <c r="H179" s="196">
        <f t="shared" si="2"/>
        <v>661.5</v>
      </c>
    </row>
    <row r="180" spans="1:8" ht="15.6" x14ac:dyDescent="0.3">
      <c r="A180" s="195">
        <v>1081</v>
      </c>
      <c r="B180" s="197">
        <v>45632</v>
      </c>
      <c r="C180" s="195" t="s">
        <v>306</v>
      </c>
      <c r="D180" s="195" t="s">
        <v>311</v>
      </c>
      <c r="E180" s="195" t="s">
        <v>51</v>
      </c>
      <c r="F180" s="195">
        <v>10</v>
      </c>
      <c r="G180" s="196">
        <v>25</v>
      </c>
      <c r="H180" s="196">
        <f t="shared" si="2"/>
        <v>250</v>
      </c>
    </row>
    <row r="181" spans="1:8" ht="15.6" x14ac:dyDescent="0.3">
      <c r="A181" s="195">
        <v>1081</v>
      </c>
      <c r="B181" s="197">
        <v>45632</v>
      </c>
      <c r="C181" s="195" t="s">
        <v>306</v>
      </c>
      <c r="D181" s="195" t="s">
        <v>313</v>
      </c>
      <c r="E181" s="195" t="s">
        <v>80</v>
      </c>
      <c r="F181" s="195">
        <v>4</v>
      </c>
      <c r="G181" s="196">
        <v>21</v>
      </c>
      <c r="H181" s="196">
        <f t="shared" si="2"/>
        <v>84</v>
      </c>
    </row>
    <row r="182" spans="1:8" ht="15.6" x14ac:dyDescent="0.3">
      <c r="A182" s="195">
        <v>1082</v>
      </c>
      <c r="B182" s="197">
        <v>45632</v>
      </c>
      <c r="C182" s="195" t="s">
        <v>302</v>
      </c>
      <c r="D182" s="195" t="s">
        <v>311</v>
      </c>
      <c r="E182" s="195" t="s">
        <v>51</v>
      </c>
      <c r="F182" s="195">
        <v>40</v>
      </c>
      <c r="G182" s="196">
        <v>25</v>
      </c>
      <c r="H182" s="196">
        <f t="shared" si="2"/>
        <v>1000</v>
      </c>
    </row>
    <row r="183" spans="1:8" ht="15.6" x14ac:dyDescent="0.3">
      <c r="A183" s="195">
        <v>1082</v>
      </c>
      <c r="B183" s="197">
        <v>45632</v>
      </c>
      <c r="C183" s="195" t="s">
        <v>302</v>
      </c>
      <c r="D183" s="195" t="s">
        <v>301</v>
      </c>
      <c r="E183" s="195" t="s">
        <v>74</v>
      </c>
      <c r="F183" s="195">
        <v>75</v>
      </c>
      <c r="G183" s="196">
        <v>36.75</v>
      </c>
      <c r="H183" s="196">
        <f t="shared" si="2"/>
        <v>2756.25</v>
      </c>
    </row>
    <row r="184" spans="1:8" ht="15.6" x14ac:dyDescent="0.3">
      <c r="A184" s="130">
        <v>1082</v>
      </c>
      <c r="B184" s="139">
        <v>45632</v>
      </c>
      <c r="C184" s="142" t="s">
        <v>302</v>
      </c>
      <c r="D184" s="195" t="s">
        <v>311</v>
      </c>
      <c r="E184" s="140" t="s">
        <v>51</v>
      </c>
      <c r="F184" s="154">
        <v>40</v>
      </c>
      <c r="G184" s="156">
        <v>25</v>
      </c>
      <c r="H184" s="196">
        <f t="shared" si="2"/>
        <v>1000</v>
      </c>
    </row>
    <row r="185" spans="1:8" ht="15.6" x14ac:dyDescent="0.3">
      <c r="A185" s="130">
        <v>1082</v>
      </c>
      <c r="B185" s="139">
        <v>45632</v>
      </c>
      <c r="C185" s="142" t="s">
        <v>302</v>
      </c>
      <c r="D185" s="195" t="s">
        <v>301</v>
      </c>
      <c r="E185" s="140" t="s">
        <v>74</v>
      </c>
      <c r="F185" s="154">
        <v>75</v>
      </c>
      <c r="G185" s="156">
        <v>36.75</v>
      </c>
      <c r="H185" s="196">
        <f t="shared" si="2"/>
        <v>2756.25</v>
      </c>
    </row>
    <row r="186" spans="1:8" ht="15.6" x14ac:dyDescent="0.3">
      <c r="A186" s="195">
        <v>1083</v>
      </c>
      <c r="B186" s="197">
        <v>45635</v>
      </c>
      <c r="C186" s="195" t="s">
        <v>334</v>
      </c>
      <c r="D186" s="195" t="s">
        <v>311</v>
      </c>
      <c r="E186" s="195" t="s">
        <v>51</v>
      </c>
      <c r="F186" s="195">
        <v>10</v>
      </c>
      <c r="G186" s="196">
        <v>25</v>
      </c>
      <c r="H186" s="196">
        <f t="shared" si="2"/>
        <v>250</v>
      </c>
    </row>
    <row r="187" spans="1:8" ht="15.6" x14ac:dyDescent="0.3">
      <c r="A187" s="195">
        <v>1083</v>
      </c>
      <c r="B187" s="197">
        <v>45635</v>
      </c>
      <c r="C187" s="195" t="s">
        <v>334</v>
      </c>
      <c r="D187" s="195" t="s">
        <v>313</v>
      </c>
      <c r="E187" s="195" t="s">
        <v>80</v>
      </c>
      <c r="F187" s="195">
        <v>10</v>
      </c>
      <c r="G187" s="196">
        <v>21</v>
      </c>
      <c r="H187" s="196">
        <f t="shared" si="2"/>
        <v>210</v>
      </c>
    </row>
    <row r="188" spans="1:8" ht="15.6" x14ac:dyDescent="0.3">
      <c r="A188" s="130">
        <v>1102</v>
      </c>
      <c r="B188" s="139">
        <v>45663</v>
      </c>
      <c r="C188" s="140" t="s">
        <v>353</v>
      </c>
      <c r="D188" s="195" t="s">
        <v>311</v>
      </c>
      <c r="E188" s="140" t="s">
        <v>51</v>
      </c>
      <c r="F188" s="154">
        <v>2</v>
      </c>
      <c r="G188" s="156">
        <v>25</v>
      </c>
      <c r="H188" s="196">
        <f t="shared" si="2"/>
        <v>50</v>
      </c>
    </row>
    <row r="189" spans="1:8" ht="15.6" x14ac:dyDescent="0.3">
      <c r="A189" s="130">
        <v>1102</v>
      </c>
      <c r="B189" s="139">
        <v>45663</v>
      </c>
      <c r="C189" s="140" t="s">
        <v>353</v>
      </c>
      <c r="D189" s="195" t="s">
        <v>313</v>
      </c>
      <c r="E189" s="140" t="s">
        <v>80</v>
      </c>
      <c r="F189" s="154">
        <v>2</v>
      </c>
      <c r="G189" s="156">
        <v>21</v>
      </c>
      <c r="H189" s="196">
        <f t="shared" si="2"/>
        <v>42</v>
      </c>
    </row>
    <row r="190" spans="1:8" ht="15.6" x14ac:dyDescent="0.3">
      <c r="A190" s="130">
        <v>1102</v>
      </c>
      <c r="B190" s="139">
        <v>45663</v>
      </c>
      <c r="C190" s="140" t="s">
        <v>353</v>
      </c>
      <c r="D190" s="195" t="s">
        <v>301</v>
      </c>
      <c r="E190" s="140" t="s">
        <v>74</v>
      </c>
      <c r="F190" s="154">
        <v>2</v>
      </c>
      <c r="G190" s="156">
        <v>36.75</v>
      </c>
      <c r="H190" s="196">
        <f t="shared" si="2"/>
        <v>73.5</v>
      </c>
    </row>
    <row r="191" spans="1:8" ht="15.6" x14ac:dyDescent="0.3">
      <c r="A191" s="130">
        <v>1102</v>
      </c>
      <c r="B191" s="139">
        <v>45663</v>
      </c>
      <c r="C191" s="140" t="s">
        <v>353</v>
      </c>
      <c r="D191" s="195" t="s">
        <v>308</v>
      </c>
      <c r="E191" s="140" t="s">
        <v>354</v>
      </c>
      <c r="F191" s="154">
        <v>6</v>
      </c>
      <c r="G191" s="156">
        <v>36.75</v>
      </c>
      <c r="H191" s="196">
        <f t="shared" si="2"/>
        <v>220.5</v>
      </c>
    </row>
    <row r="192" spans="1:8" ht="15.6" x14ac:dyDescent="0.3">
      <c r="A192" s="130">
        <v>1102</v>
      </c>
      <c r="B192" s="139">
        <v>45663</v>
      </c>
      <c r="C192" s="140" t="s">
        <v>353</v>
      </c>
      <c r="D192" s="195" t="s">
        <v>301</v>
      </c>
      <c r="E192" s="140" t="s">
        <v>74</v>
      </c>
      <c r="F192" s="154">
        <v>2</v>
      </c>
      <c r="G192" s="156">
        <v>36.75</v>
      </c>
      <c r="H192" s="196">
        <f t="shared" si="2"/>
        <v>73.5</v>
      </c>
    </row>
    <row r="193" spans="1:8" ht="15.6" x14ac:dyDescent="0.3">
      <c r="A193" s="130">
        <v>1114</v>
      </c>
      <c r="B193" s="139">
        <v>45678</v>
      </c>
      <c r="C193" s="140" t="s">
        <v>355</v>
      </c>
      <c r="D193" s="195" t="s">
        <v>301</v>
      </c>
      <c r="E193" s="140" t="s">
        <v>74</v>
      </c>
      <c r="F193" s="154">
        <v>5</v>
      </c>
      <c r="G193" s="156">
        <v>36.75</v>
      </c>
      <c r="H193" s="196">
        <f t="shared" si="2"/>
        <v>183.75</v>
      </c>
    </row>
    <row r="194" spans="1:8" ht="15.6" x14ac:dyDescent="0.3">
      <c r="A194" s="130">
        <v>1114</v>
      </c>
      <c r="B194" s="139">
        <v>45678</v>
      </c>
      <c r="C194" s="140" t="s">
        <v>355</v>
      </c>
      <c r="D194" s="195" t="s">
        <v>301</v>
      </c>
      <c r="E194" s="140" t="s">
        <v>74</v>
      </c>
      <c r="F194" s="154">
        <v>4</v>
      </c>
      <c r="G194" s="156">
        <v>36.75</v>
      </c>
      <c r="H194" s="196">
        <f t="shared" si="2"/>
        <v>147</v>
      </c>
    </row>
    <row r="195" spans="1:8" ht="15.6" x14ac:dyDescent="0.3">
      <c r="A195" s="130">
        <v>1114</v>
      </c>
      <c r="B195" s="139">
        <v>45678</v>
      </c>
      <c r="C195" s="140" t="s">
        <v>355</v>
      </c>
      <c r="D195" s="140" t="s">
        <v>356</v>
      </c>
      <c r="E195" s="140" t="s">
        <v>321</v>
      </c>
      <c r="F195" s="154">
        <v>4</v>
      </c>
      <c r="G195" s="156">
        <v>85</v>
      </c>
      <c r="H195" s="196">
        <f t="shared" si="2"/>
        <v>340</v>
      </c>
    </row>
    <row r="196" spans="1:8" ht="15.6" x14ac:dyDescent="0.3">
      <c r="A196" s="130">
        <v>1114</v>
      </c>
      <c r="B196" s="139">
        <v>45678</v>
      </c>
      <c r="C196" s="140" t="s">
        <v>355</v>
      </c>
      <c r="D196" s="195" t="s">
        <v>313</v>
      </c>
      <c r="E196" s="140" t="s">
        <v>80</v>
      </c>
      <c r="F196" s="154">
        <v>2</v>
      </c>
      <c r="G196" s="156">
        <v>21</v>
      </c>
      <c r="H196" s="196">
        <f t="shared" si="2"/>
        <v>42</v>
      </c>
    </row>
    <row r="197" spans="1:8" ht="15.6" x14ac:dyDescent="0.3">
      <c r="A197" s="130">
        <v>1117</v>
      </c>
      <c r="B197" s="139">
        <v>45684</v>
      </c>
      <c r="C197" s="195" t="s">
        <v>306</v>
      </c>
      <c r="D197" s="195" t="s">
        <v>308</v>
      </c>
      <c r="E197" s="140" t="s">
        <v>354</v>
      </c>
      <c r="F197" s="154">
        <v>2</v>
      </c>
      <c r="G197" s="156">
        <v>36.75</v>
      </c>
      <c r="H197" s="196">
        <f t="shared" ref="H197:H260" si="3">G197*F197</f>
        <v>73.5</v>
      </c>
    </row>
    <row r="198" spans="1:8" ht="15.6" x14ac:dyDescent="0.3">
      <c r="A198" s="130">
        <v>1117</v>
      </c>
      <c r="B198" s="139">
        <v>45685</v>
      </c>
      <c r="C198" s="195" t="s">
        <v>306</v>
      </c>
      <c r="D198" s="195" t="s">
        <v>318</v>
      </c>
      <c r="E198" s="140" t="s">
        <v>78</v>
      </c>
      <c r="F198" s="154">
        <v>8</v>
      </c>
      <c r="G198" s="156">
        <v>75</v>
      </c>
      <c r="H198" s="196">
        <f t="shared" si="3"/>
        <v>600</v>
      </c>
    </row>
    <row r="199" spans="1:8" ht="15.6" x14ac:dyDescent="0.3">
      <c r="A199" s="130">
        <v>1117</v>
      </c>
      <c r="B199" s="139">
        <v>45686</v>
      </c>
      <c r="C199" s="195" t="s">
        <v>306</v>
      </c>
      <c r="D199" s="195" t="s">
        <v>308</v>
      </c>
      <c r="E199" s="140" t="s">
        <v>354</v>
      </c>
      <c r="F199" s="154">
        <v>2</v>
      </c>
      <c r="G199" s="156">
        <v>36.75</v>
      </c>
      <c r="H199" s="196">
        <f t="shared" si="3"/>
        <v>73.5</v>
      </c>
    </row>
    <row r="200" spans="1:8" ht="15.6" x14ac:dyDescent="0.3">
      <c r="A200" s="130">
        <v>675</v>
      </c>
      <c r="B200" s="139">
        <v>45686</v>
      </c>
      <c r="C200" s="140" t="s">
        <v>357</v>
      </c>
      <c r="D200" s="195" t="s">
        <v>308</v>
      </c>
      <c r="E200" s="140" t="s">
        <v>354</v>
      </c>
      <c r="F200" s="154">
        <v>70</v>
      </c>
      <c r="G200" s="156">
        <v>28</v>
      </c>
      <c r="H200" s="196">
        <f t="shared" si="3"/>
        <v>1960</v>
      </c>
    </row>
    <row r="201" spans="1:8" ht="15.6" x14ac:dyDescent="0.3">
      <c r="A201" s="130">
        <v>675</v>
      </c>
      <c r="B201" s="139">
        <v>45686</v>
      </c>
      <c r="C201" s="140" t="s">
        <v>357</v>
      </c>
      <c r="D201" s="195" t="s">
        <v>301</v>
      </c>
      <c r="E201" s="140" t="s">
        <v>74</v>
      </c>
      <c r="F201" s="154">
        <v>30</v>
      </c>
      <c r="G201" s="156">
        <v>28</v>
      </c>
      <c r="H201" s="196">
        <f t="shared" si="3"/>
        <v>840</v>
      </c>
    </row>
    <row r="202" spans="1:8" ht="15.6" x14ac:dyDescent="0.3">
      <c r="A202" s="130">
        <v>1117</v>
      </c>
      <c r="B202" s="139">
        <v>45687</v>
      </c>
      <c r="C202" s="195" t="s">
        <v>306</v>
      </c>
      <c r="D202" s="195" t="s">
        <v>308</v>
      </c>
      <c r="E202" s="140" t="s">
        <v>354</v>
      </c>
      <c r="F202" s="154">
        <v>2</v>
      </c>
      <c r="G202" s="156">
        <v>36.75</v>
      </c>
      <c r="H202" s="196">
        <f t="shared" si="3"/>
        <v>73.5</v>
      </c>
    </row>
    <row r="203" spans="1:8" ht="15.6" x14ac:dyDescent="0.3">
      <c r="A203" s="130">
        <v>1117</v>
      </c>
      <c r="B203" s="139">
        <v>45688</v>
      </c>
      <c r="C203" s="195" t="s">
        <v>306</v>
      </c>
      <c r="D203" s="195" t="s">
        <v>308</v>
      </c>
      <c r="E203" s="140" t="s">
        <v>354</v>
      </c>
      <c r="F203" s="154">
        <v>2</v>
      </c>
      <c r="G203" s="156">
        <v>36.75</v>
      </c>
      <c r="H203" s="196">
        <f t="shared" si="3"/>
        <v>73.5</v>
      </c>
    </row>
    <row r="204" spans="1:8" ht="15.6" x14ac:dyDescent="0.3">
      <c r="A204" s="130">
        <v>1117</v>
      </c>
      <c r="B204" s="139">
        <v>45689</v>
      </c>
      <c r="C204" s="195" t="s">
        <v>306</v>
      </c>
      <c r="D204" s="195" t="s">
        <v>301</v>
      </c>
      <c r="E204" s="140" t="s">
        <v>74</v>
      </c>
      <c r="F204" s="154">
        <v>2</v>
      </c>
      <c r="G204" s="156">
        <v>36.75</v>
      </c>
      <c r="H204" s="196">
        <f t="shared" si="3"/>
        <v>73.5</v>
      </c>
    </row>
    <row r="205" spans="1:8" ht="15.6" x14ac:dyDescent="0.3">
      <c r="A205" s="130">
        <v>1117</v>
      </c>
      <c r="B205" s="139">
        <v>45690</v>
      </c>
      <c r="C205" s="195" t="s">
        <v>306</v>
      </c>
      <c r="D205" s="140" t="s">
        <v>328</v>
      </c>
      <c r="E205" s="140" t="s">
        <v>78</v>
      </c>
      <c r="F205" s="154">
        <v>2</v>
      </c>
      <c r="G205" s="156">
        <v>75</v>
      </c>
      <c r="H205" s="196">
        <f t="shared" si="3"/>
        <v>150</v>
      </c>
    </row>
    <row r="206" spans="1:8" ht="15.6" x14ac:dyDescent="0.3">
      <c r="A206" s="130">
        <v>1126</v>
      </c>
      <c r="B206" s="139">
        <v>45691</v>
      </c>
      <c r="C206" s="195" t="s">
        <v>324</v>
      </c>
      <c r="D206" s="195" t="s">
        <v>311</v>
      </c>
      <c r="E206" s="140" t="s">
        <v>51</v>
      </c>
      <c r="F206" s="154">
        <v>4</v>
      </c>
      <c r="G206" s="156">
        <v>25</v>
      </c>
      <c r="H206" s="196">
        <f t="shared" si="3"/>
        <v>100</v>
      </c>
    </row>
    <row r="207" spans="1:8" ht="15.6" x14ac:dyDescent="0.3">
      <c r="A207" s="130">
        <v>1126</v>
      </c>
      <c r="B207" s="139">
        <v>45691</v>
      </c>
      <c r="C207" s="195" t="s">
        <v>324</v>
      </c>
      <c r="D207" s="195" t="s">
        <v>301</v>
      </c>
      <c r="E207" s="140" t="s">
        <v>74</v>
      </c>
      <c r="F207" s="154">
        <v>14</v>
      </c>
      <c r="G207" s="156">
        <v>36.75</v>
      </c>
      <c r="H207" s="196">
        <f t="shared" si="3"/>
        <v>514.5</v>
      </c>
    </row>
    <row r="208" spans="1:8" ht="15.6" x14ac:dyDescent="0.3">
      <c r="A208" s="130">
        <v>1132</v>
      </c>
      <c r="B208" s="139">
        <v>45695</v>
      </c>
      <c r="C208" s="140" t="s">
        <v>334</v>
      </c>
      <c r="D208" s="142" t="s">
        <v>339</v>
      </c>
      <c r="E208" s="140" t="s">
        <v>340</v>
      </c>
      <c r="F208" s="154">
        <v>19</v>
      </c>
      <c r="G208" s="156">
        <v>65</v>
      </c>
      <c r="H208" s="196">
        <f t="shared" si="3"/>
        <v>1235</v>
      </c>
    </row>
    <row r="209" spans="1:8" ht="15.6" x14ac:dyDescent="0.3">
      <c r="A209" s="132">
        <v>32</v>
      </c>
      <c r="B209" s="131">
        <v>45698</v>
      </c>
      <c r="C209" s="130" t="s">
        <v>300</v>
      </c>
      <c r="D209" s="132" t="s">
        <v>328</v>
      </c>
      <c r="E209" s="132" t="s">
        <v>190</v>
      </c>
      <c r="F209" s="168">
        <v>1</v>
      </c>
      <c r="G209" s="133">
        <v>75</v>
      </c>
      <c r="H209" s="196">
        <f t="shared" si="3"/>
        <v>75</v>
      </c>
    </row>
    <row r="210" spans="1:8" ht="15.6" x14ac:dyDescent="0.3">
      <c r="A210" s="132">
        <v>32</v>
      </c>
      <c r="B210" s="131">
        <v>45698</v>
      </c>
      <c r="C210" s="130" t="s">
        <v>300</v>
      </c>
      <c r="D210" s="132" t="s">
        <v>311</v>
      </c>
      <c r="E210" s="132" t="s">
        <v>51</v>
      </c>
      <c r="F210" s="168">
        <v>4</v>
      </c>
      <c r="G210" s="133">
        <v>25</v>
      </c>
      <c r="H210" s="196">
        <f t="shared" si="3"/>
        <v>100</v>
      </c>
    </row>
    <row r="211" spans="1:8" ht="15.6" x14ac:dyDescent="0.3">
      <c r="A211" s="132">
        <v>32</v>
      </c>
      <c r="B211" s="131">
        <v>45698</v>
      </c>
      <c r="C211" s="130" t="s">
        <v>300</v>
      </c>
      <c r="D211" s="132" t="s">
        <v>301</v>
      </c>
      <c r="E211" s="132" t="s">
        <v>74</v>
      </c>
      <c r="F211" s="168">
        <v>3</v>
      </c>
      <c r="G211" s="133">
        <v>36.75</v>
      </c>
      <c r="H211" s="196">
        <f t="shared" si="3"/>
        <v>110.25</v>
      </c>
    </row>
    <row r="212" spans="1:8" ht="15.6" x14ac:dyDescent="0.3">
      <c r="A212" s="132">
        <v>32</v>
      </c>
      <c r="B212" s="131">
        <v>45698</v>
      </c>
      <c r="C212" s="130" t="s">
        <v>300</v>
      </c>
      <c r="D212" s="132" t="s">
        <v>301</v>
      </c>
      <c r="E212" s="132" t="s">
        <v>74</v>
      </c>
      <c r="F212" s="168">
        <v>3</v>
      </c>
      <c r="G212" s="133">
        <v>28</v>
      </c>
      <c r="H212" s="196">
        <f t="shared" si="3"/>
        <v>84</v>
      </c>
    </row>
    <row r="213" spans="1:8" ht="15.6" x14ac:dyDescent="0.3">
      <c r="A213" s="132">
        <v>32</v>
      </c>
      <c r="B213" s="131">
        <v>45698</v>
      </c>
      <c r="C213" s="130" t="s">
        <v>300</v>
      </c>
      <c r="D213" s="132" t="s">
        <v>313</v>
      </c>
      <c r="E213" s="132" t="s">
        <v>80</v>
      </c>
      <c r="F213" s="168">
        <v>1</v>
      </c>
      <c r="G213" s="133">
        <v>16</v>
      </c>
      <c r="H213" s="196">
        <f t="shared" si="3"/>
        <v>16</v>
      </c>
    </row>
    <row r="214" spans="1:8" ht="15.6" x14ac:dyDescent="0.3">
      <c r="A214" s="132">
        <v>32</v>
      </c>
      <c r="B214" s="131">
        <v>45698</v>
      </c>
      <c r="C214" s="130" t="s">
        <v>358</v>
      </c>
      <c r="D214" s="132" t="s">
        <v>328</v>
      </c>
      <c r="E214" s="132" t="s">
        <v>190</v>
      </c>
      <c r="F214" s="168">
        <v>1</v>
      </c>
      <c r="G214" s="133">
        <v>65</v>
      </c>
      <c r="H214" s="196">
        <f t="shared" si="3"/>
        <v>65</v>
      </c>
    </row>
    <row r="215" spans="1:8" ht="15.6" x14ac:dyDescent="0.3">
      <c r="A215" s="132">
        <v>51</v>
      </c>
      <c r="B215" s="131">
        <v>45722</v>
      </c>
      <c r="C215" s="130" t="s">
        <v>334</v>
      </c>
      <c r="D215" s="132" t="s">
        <v>313</v>
      </c>
      <c r="E215" s="132" t="s">
        <v>80</v>
      </c>
      <c r="F215" s="132">
        <v>10</v>
      </c>
      <c r="G215" s="133">
        <v>21</v>
      </c>
      <c r="H215" s="196">
        <f t="shared" si="3"/>
        <v>210</v>
      </c>
    </row>
    <row r="216" spans="1:8" ht="15.6" x14ac:dyDescent="0.3">
      <c r="A216" s="132">
        <v>51</v>
      </c>
      <c r="B216" s="131">
        <v>45722</v>
      </c>
      <c r="C216" s="130" t="s">
        <v>334</v>
      </c>
      <c r="D216" s="132" t="s">
        <v>311</v>
      </c>
      <c r="E216" s="132" t="s">
        <v>51</v>
      </c>
      <c r="F216" s="132">
        <v>15</v>
      </c>
      <c r="G216" s="133">
        <v>25</v>
      </c>
      <c r="H216" s="196">
        <f t="shared" si="3"/>
        <v>375</v>
      </c>
    </row>
    <row r="217" spans="1:8" ht="15.6" x14ac:dyDescent="0.3">
      <c r="A217" s="132">
        <v>51</v>
      </c>
      <c r="B217" s="131">
        <v>45722</v>
      </c>
      <c r="C217" s="130" t="s">
        <v>334</v>
      </c>
      <c r="D217" s="132" t="s">
        <v>301</v>
      </c>
      <c r="E217" s="132" t="s">
        <v>74</v>
      </c>
      <c r="F217" s="132">
        <v>25</v>
      </c>
      <c r="G217" s="133">
        <v>36.75</v>
      </c>
      <c r="H217" s="196">
        <f t="shared" si="3"/>
        <v>918.75</v>
      </c>
    </row>
    <row r="218" spans="1:8" ht="15.6" x14ac:dyDescent="0.3">
      <c r="A218" s="132">
        <v>1153</v>
      </c>
      <c r="B218" s="141">
        <v>45726</v>
      </c>
      <c r="C218" s="195" t="s">
        <v>347</v>
      </c>
      <c r="D218" s="195" t="s">
        <v>308</v>
      </c>
      <c r="E218" s="140" t="s">
        <v>354</v>
      </c>
      <c r="F218" s="157">
        <v>18</v>
      </c>
      <c r="G218" s="143">
        <v>36.75</v>
      </c>
      <c r="H218" s="196">
        <f t="shared" si="3"/>
        <v>661.5</v>
      </c>
    </row>
    <row r="219" spans="1:8" ht="15.6" x14ac:dyDescent="0.3">
      <c r="A219" s="132">
        <v>1153</v>
      </c>
      <c r="B219" s="141">
        <v>45726</v>
      </c>
      <c r="C219" s="195" t="s">
        <v>347</v>
      </c>
      <c r="D219" s="195" t="s">
        <v>301</v>
      </c>
      <c r="E219" s="140" t="s">
        <v>74</v>
      </c>
      <c r="F219" s="157">
        <v>12</v>
      </c>
      <c r="G219" s="143">
        <v>36.75</v>
      </c>
      <c r="H219" s="196">
        <f t="shared" si="3"/>
        <v>441</v>
      </c>
    </row>
    <row r="220" spans="1:8" ht="15.6" x14ac:dyDescent="0.3">
      <c r="A220" s="132">
        <v>1152</v>
      </c>
      <c r="B220" s="141">
        <v>45726</v>
      </c>
      <c r="C220" s="195" t="s">
        <v>347</v>
      </c>
      <c r="D220" s="195" t="s">
        <v>308</v>
      </c>
      <c r="E220" s="140" t="s">
        <v>354</v>
      </c>
      <c r="F220" s="157">
        <v>10</v>
      </c>
      <c r="G220" s="143">
        <v>36.75</v>
      </c>
      <c r="H220" s="196">
        <f t="shared" si="3"/>
        <v>367.5</v>
      </c>
    </row>
    <row r="221" spans="1:8" ht="15.6" x14ac:dyDescent="0.3">
      <c r="A221" s="132">
        <v>1152</v>
      </c>
      <c r="B221" s="141">
        <v>45726</v>
      </c>
      <c r="C221" s="195" t="s">
        <v>347</v>
      </c>
      <c r="D221" s="195" t="s">
        <v>301</v>
      </c>
      <c r="E221" s="140" t="s">
        <v>74</v>
      </c>
      <c r="F221" s="157">
        <v>4</v>
      </c>
      <c r="G221" s="143">
        <v>36.75</v>
      </c>
      <c r="H221" s="196">
        <f t="shared" si="3"/>
        <v>147</v>
      </c>
    </row>
    <row r="222" spans="1:8" ht="15.6" x14ac:dyDescent="0.3">
      <c r="A222" s="132">
        <v>1151</v>
      </c>
      <c r="B222" s="141">
        <v>45726</v>
      </c>
      <c r="C222" s="142" t="s">
        <v>359</v>
      </c>
      <c r="D222" s="195" t="s">
        <v>311</v>
      </c>
      <c r="E222" s="140" t="s">
        <v>51</v>
      </c>
      <c r="F222" s="157">
        <v>5</v>
      </c>
      <c r="G222" s="143">
        <v>25</v>
      </c>
      <c r="H222" s="196">
        <f t="shared" si="3"/>
        <v>125</v>
      </c>
    </row>
    <row r="223" spans="1:8" ht="15.6" x14ac:dyDescent="0.3">
      <c r="A223" s="132">
        <v>1151</v>
      </c>
      <c r="B223" s="141">
        <v>45726</v>
      </c>
      <c r="C223" s="142" t="s">
        <v>359</v>
      </c>
      <c r="D223" s="195" t="s">
        <v>313</v>
      </c>
      <c r="E223" s="140" t="s">
        <v>80</v>
      </c>
      <c r="F223" s="157">
        <v>5</v>
      </c>
      <c r="G223" s="143">
        <v>21</v>
      </c>
      <c r="H223" s="196">
        <f t="shared" si="3"/>
        <v>105</v>
      </c>
    </row>
    <row r="224" spans="1:8" ht="15.6" x14ac:dyDescent="0.3">
      <c r="A224" s="132">
        <v>1151</v>
      </c>
      <c r="B224" s="141">
        <v>45726</v>
      </c>
      <c r="C224" s="142" t="s">
        <v>359</v>
      </c>
      <c r="D224" s="195" t="s">
        <v>308</v>
      </c>
      <c r="E224" s="140" t="s">
        <v>354</v>
      </c>
      <c r="F224" s="157">
        <v>5</v>
      </c>
      <c r="G224" s="143">
        <v>36.75</v>
      </c>
      <c r="H224" s="196">
        <f t="shared" si="3"/>
        <v>183.75</v>
      </c>
    </row>
    <row r="225" spans="1:8" ht="15.6" x14ac:dyDescent="0.3">
      <c r="A225" s="132">
        <v>1151</v>
      </c>
      <c r="B225" s="141">
        <v>45726</v>
      </c>
      <c r="C225" s="142" t="s">
        <v>359</v>
      </c>
      <c r="D225" s="195" t="s">
        <v>301</v>
      </c>
      <c r="E225" s="140" t="s">
        <v>74</v>
      </c>
      <c r="F225" s="157">
        <v>2</v>
      </c>
      <c r="G225" s="143">
        <v>36.75</v>
      </c>
      <c r="H225" s="196">
        <f t="shared" si="3"/>
        <v>73.5</v>
      </c>
    </row>
    <row r="226" spans="1:8" ht="15.6" x14ac:dyDescent="0.3">
      <c r="A226" s="132">
        <v>1151</v>
      </c>
      <c r="B226" s="141">
        <v>45726</v>
      </c>
      <c r="C226" s="142" t="s">
        <v>359</v>
      </c>
      <c r="D226" s="195" t="s">
        <v>301</v>
      </c>
      <c r="E226" s="140" t="s">
        <v>74</v>
      </c>
      <c r="F226" s="157">
        <v>5</v>
      </c>
      <c r="G226" s="143">
        <v>36.75</v>
      </c>
      <c r="H226" s="196">
        <f t="shared" si="3"/>
        <v>183.75</v>
      </c>
    </row>
    <row r="227" spans="1:8" ht="15.6" x14ac:dyDescent="0.3">
      <c r="A227" s="132">
        <v>1151</v>
      </c>
      <c r="B227" s="141">
        <v>45726</v>
      </c>
      <c r="C227" s="142" t="s">
        <v>359</v>
      </c>
      <c r="D227" s="195" t="s">
        <v>301</v>
      </c>
      <c r="E227" s="140" t="s">
        <v>74</v>
      </c>
      <c r="F227" s="157">
        <v>2</v>
      </c>
      <c r="G227" s="143">
        <v>36.75</v>
      </c>
      <c r="H227" s="196">
        <f t="shared" si="3"/>
        <v>73.5</v>
      </c>
    </row>
    <row r="228" spans="1:8" ht="15.6" x14ac:dyDescent="0.3">
      <c r="A228" s="132">
        <v>1151</v>
      </c>
      <c r="B228" s="141">
        <v>45726</v>
      </c>
      <c r="C228" s="142" t="s">
        <v>359</v>
      </c>
      <c r="D228" s="140" t="s">
        <v>356</v>
      </c>
      <c r="E228" s="140" t="s">
        <v>321</v>
      </c>
      <c r="F228" s="157">
        <v>1</v>
      </c>
      <c r="G228" s="143">
        <v>85</v>
      </c>
      <c r="H228" s="196">
        <f t="shared" si="3"/>
        <v>85</v>
      </c>
    </row>
    <row r="229" spans="1:8" ht="15.6" x14ac:dyDescent="0.3">
      <c r="A229" s="132">
        <v>1159</v>
      </c>
      <c r="B229" s="141">
        <v>45728</v>
      </c>
      <c r="C229" s="142" t="s">
        <v>360</v>
      </c>
      <c r="D229" s="195" t="s">
        <v>301</v>
      </c>
      <c r="E229" s="140" t="s">
        <v>74</v>
      </c>
      <c r="F229" s="157">
        <v>6</v>
      </c>
      <c r="G229" s="143">
        <v>36.75</v>
      </c>
      <c r="H229" s="196">
        <f t="shared" si="3"/>
        <v>220.5</v>
      </c>
    </row>
    <row r="230" spans="1:8" ht="15.6" x14ac:dyDescent="0.3">
      <c r="A230" s="132">
        <v>1159</v>
      </c>
      <c r="B230" s="141">
        <v>45728</v>
      </c>
      <c r="C230" s="142" t="s">
        <v>360</v>
      </c>
      <c r="D230" s="195" t="s">
        <v>311</v>
      </c>
      <c r="E230" s="140" t="s">
        <v>51</v>
      </c>
      <c r="F230" s="157">
        <v>4</v>
      </c>
      <c r="G230" s="143">
        <v>25</v>
      </c>
      <c r="H230" s="196">
        <f t="shared" si="3"/>
        <v>100</v>
      </c>
    </row>
    <row r="231" spans="1:8" ht="15.6" x14ac:dyDescent="0.3">
      <c r="A231" s="132">
        <v>1159</v>
      </c>
      <c r="B231" s="141">
        <v>45728</v>
      </c>
      <c r="C231" s="142" t="s">
        <v>360</v>
      </c>
      <c r="D231" s="195" t="s">
        <v>313</v>
      </c>
      <c r="E231" s="140" t="s">
        <v>80</v>
      </c>
      <c r="F231" s="157">
        <v>4</v>
      </c>
      <c r="G231" s="143">
        <v>21</v>
      </c>
      <c r="H231" s="196">
        <f t="shared" si="3"/>
        <v>84</v>
      </c>
    </row>
    <row r="232" spans="1:8" ht="15.6" x14ac:dyDescent="0.3">
      <c r="A232" s="132">
        <v>1164</v>
      </c>
      <c r="B232" s="141">
        <v>45735</v>
      </c>
      <c r="C232" s="142" t="s">
        <v>361</v>
      </c>
      <c r="D232" s="140" t="s">
        <v>328</v>
      </c>
      <c r="E232" s="140" t="s">
        <v>78</v>
      </c>
      <c r="F232" s="157">
        <v>2</v>
      </c>
      <c r="G232" s="143">
        <v>75</v>
      </c>
      <c r="H232" s="196">
        <f t="shared" si="3"/>
        <v>150</v>
      </c>
    </row>
    <row r="233" spans="1:8" ht="15.6" x14ac:dyDescent="0.3">
      <c r="A233" s="132">
        <v>1164</v>
      </c>
      <c r="B233" s="141">
        <v>45735</v>
      </c>
      <c r="C233" s="142" t="s">
        <v>361</v>
      </c>
      <c r="D233" s="195" t="s">
        <v>318</v>
      </c>
      <c r="E233" s="140" t="s">
        <v>78</v>
      </c>
      <c r="F233" s="157">
        <v>6</v>
      </c>
      <c r="G233" s="143">
        <v>85</v>
      </c>
      <c r="H233" s="196">
        <f t="shared" si="3"/>
        <v>510</v>
      </c>
    </row>
    <row r="234" spans="1:8" ht="15.6" x14ac:dyDescent="0.3">
      <c r="A234" s="132">
        <v>1164</v>
      </c>
      <c r="B234" s="141">
        <v>45735</v>
      </c>
      <c r="C234" s="142" t="s">
        <v>361</v>
      </c>
      <c r="D234" s="195" t="s">
        <v>313</v>
      </c>
      <c r="E234" s="140" t="s">
        <v>80</v>
      </c>
      <c r="F234" s="157">
        <v>5</v>
      </c>
      <c r="G234" s="143">
        <v>21</v>
      </c>
      <c r="H234" s="196">
        <f t="shared" si="3"/>
        <v>105</v>
      </c>
    </row>
    <row r="235" spans="1:8" ht="15.6" x14ac:dyDescent="0.3">
      <c r="A235" s="132">
        <v>1164</v>
      </c>
      <c r="B235" s="141">
        <v>45735</v>
      </c>
      <c r="C235" s="142" t="s">
        <v>361</v>
      </c>
      <c r="D235" s="195" t="s">
        <v>311</v>
      </c>
      <c r="E235" s="140" t="s">
        <v>51</v>
      </c>
      <c r="F235" s="157">
        <v>7</v>
      </c>
      <c r="G235" s="143">
        <v>25</v>
      </c>
      <c r="H235" s="196">
        <f t="shared" si="3"/>
        <v>175</v>
      </c>
    </row>
    <row r="236" spans="1:8" ht="15.6" x14ac:dyDescent="0.3">
      <c r="A236" s="132">
        <v>1164</v>
      </c>
      <c r="B236" s="141">
        <v>45735</v>
      </c>
      <c r="C236" s="142" t="s">
        <v>361</v>
      </c>
      <c r="D236" s="195" t="s">
        <v>301</v>
      </c>
      <c r="E236" s="140" t="s">
        <v>74</v>
      </c>
      <c r="F236" s="157">
        <v>16</v>
      </c>
      <c r="G236" s="143">
        <v>36.75</v>
      </c>
      <c r="H236" s="196">
        <f t="shared" si="3"/>
        <v>588</v>
      </c>
    </row>
    <row r="237" spans="1:8" ht="15.6" x14ac:dyDescent="0.3">
      <c r="A237" s="132">
        <v>1179</v>
      </c>
      <c r="B237" s="141">
        <v>45749</v>
      </c>
      <c r="C237" s="195" t="s">
        <v>341</v>
      </c>
      <c r="D237" s="195" t="s">
        <v>301</v>
      </c>
      <c r="E237" s="140" t="s">
        <v>74</v>
      </c>
      <c r="F237" s="157">
        <v>9</v>
      </c>
      <c r="G237" s="143">
        <v>36.75</v>
      </c>
      <c r="H237" s="196">
        <f t="shared" si="3"/>
        <v>330.75</v>
      </c>
    </row>
    <row r="238" spans="1:8" ht="15.6" x14ac:dyDescent="0.3">
      <c r="A238" s="132">
        <v>1178</v>
      </c>
      <c r="B238" s="141">
        <v>45749</v>
      </c>
      <c r="C238" s="142" t="s">
        <v>362</v>
      </c>
      <c r="D238" s="195" t="s">
        <v>311</v>
      </c>
      <c r="E238" s="140" t="s">
        <v>51</v>
      </c>
      <c r="F238" s="157">
        <v>15</v>
      </c>
      <c r="G238" s="143">
        <v>25</v>
      </c>
      <c r="H238" s="196">
        <f t="shared" si="3"/>
        <v>375</v>
      </c>
    </row>
    <row r="239" spans="1:8" ht="15.6" x14ac:dyDescent="0.3">
      <c r="A239" s="132">
        <v>1178</v>
      </c>
      <c r="B239" s="141">
        <v>45749</v>
      </c>
      <c r="C239" s="142" t="s">
        <v>362</v>
      </c>
      <c r="D239" s="195" t="s">
        <v>308</v>
      </c>
      <c r="E239" s="140" t="s">
        <v>354</v>
      </c>
      <c r="F239" s="157">
        <v>6</v>
      </c>
      <c r="G239" s="143">
        <v>36.75</v>
      </c>
      <c r="H239" s="196">
        <f t="shared" si="3"/>
        <v>220.5</v>
      </c>
    </row>
    <row r="240" spans="1:8" ht="15.6" x14ac:dyDescent="0.3">
      <c r="A240" s="132">
        <v>1178</v>
      </c>
      <c r="B240" s="141">
        <v>45749</v>
      </c>
      <c r="C240" s="142" t="s">
        <v>362</v>
      </c>
      <c r="D240" s="195" t="s">
        <v>307</v>
      </c>
      <c r="E240" s="140" t="s">
        <v>74</v>
      </c>
      <c r="F240" s="157">
        <v>12</v>
      </c>
      <c r="G240" s="143">
        <v>47.5</v>
      </c>
      <c r="H240" s="196">
        <f t="shared" si="3"/>
        <v>570</v>
      </c>
    </row>
    <row r="241" spans="1:8" ht="15.6" x14ac:dyDescent="0.3">
      <c r="A241" s="132">
        <v>1181</v>
      </c>
      <c r="B241" s="141">
        <v>45750</v>
      </c>
      <c r="C241" s="142" t="s">
        <v>363</v>
      </c>
      <c r="D241" s="142" t="s">
        <v>339</v>
      </c>
      <c r="E241" s="142" t="s">
        <v>340</v>
      </c>
      <c r="F241" s="157">
        <v>1</v>
      </c>
      <c r="G241" s="143">
        <v>65</v>
      </c>
      <c r="H241" s="196">
        <f t="shared" si="3"/>
        <v>65</v>
      </c>
    </row>
    <row r="242" spans="1:8" ht="15.6" x14ac:dyDescent="0.3">
      <c r="A242" s="132">
        <v>1181</v>
      </c>
      <c r="B242" s="141">
        <v>45750</v>
      </c>
      <c r="C242" s="142" t="s">
        <v>363</v>
      </c>
      <c r="D242" s="195" t="s">
        <v>311</v>
      </c>
      <c r="E242" s="140" t="s">
        <v>51</v>
      </c>
      <c r="F242" s="157">
        <v>3</v>
      </c>
      <c r="G242" s="143">
        <v>25</v>
      </c>
      <c r="H242" s="196">
        <f t="shared" si="3"/>
        <v>75</v>
      </c>
    </row>
    <row r="243" spans="1:8" ht="15.6" x14ac:dyDescent="0.3">
      <c r="A243" s="132">
        <v>1181</v>
      </c>
      <c r="B243" s="141">
        <v>45750</v>
      </c>
      <c r="C243" s="142" t="s">
        <v>363</v>
      </c>
      <c r="D243" s="195" t="s">
        <v>308</v>
      </c>
      <c r="E243" s="140" t="s">
        <v>354</v>
      </c>
      <c r="F243" s="157">
        <v>2</v>
      </c>
      <c r="G243" s="143">
        <v>36.75</v>
      </c>
      <c r="H243" s="196">
        <f t="shared" si="3"/>
        <v>73.5</v>
      </c>
    </row>
    <row r="244" spans="1:8" ht="15.6" x14ac:dyDescent="0.3">
      <c r="A244" s="132">
        <v>1184</v>
      </c>
      <c r="B244" s="141">
        <v>45754</v>
      </c>
      <c r="C244" s="195" t="s">
        <v>310</v>
      </c>
      <c r="D244" s="195" t="s">
        <v>301</v>
      </c>
      <c r="E244" s="140" t="s">
        <v>74</v>
      </c>
      <c r="F244" s="157">
        <v>34</v>
      </c>
      <c r="G244" s="143">
        <v>36.75</v>
      </c>
      <c r="H244" s="196">
        <f t="shared" si="3"/>
        <v>1249.5</v>
      </c>
    </row>
    <row r="245" spans="1:8" ht="15.6" x14ac:dyDescent="0.3">
      <c r="A245" s="132">
        <v>1184</v>
      </c>
      <c r="B245" s="141">
        <v>45754</v>
      </c>
      <c r="C245" s="195" t="s">
        <v>310</v>
      </c>
      <c r="D245" s="195" t="s">
        <v>311</v>
      </c>
      <c r="E245" s="140" t="s">
        <v>51</v>
      </c>
      <c r="F245" s="157">
        <v>16</v>
      </c>
      <c r="G245" s="143">
        <v>25</v>
      </c>
      <c r="H245" s="196">
        <f t="shared" si="3"/>
        <v>400</v>
      </c>
    </row>
    <row r="246" spans="1:8" ht="15.6" x14ac:dyDescent="0.3">
      <c r="A246" s="132">
        <v>1184</v>
      </c>
      <c r="B246" s="141">
        <v>45754</v>
      </c>
      <c r="C246" s="195" t="s">
        <v>310</v>
      </c>
      <c r="D246" s="142" t="s">
        <v>339</v>
      </c>
      <c r="E246" s="142" t="s">
        <v>340</v>
      </c>
      <c r="F246" s="157">
        <v>4</v>
      </c>
      <c r="G246" s="143">
        <v>65</v>
      </c>
      <c r="H246" s="196">
        <f t="shared" si="3"/>
        <v>260</v>
      </c>
    </row>
    <row r="247" spans="1:8" ht="15.6" x14ac:dyDescent="0.3">
      <c r="A247" s="132">
        <v>1184</v>
      </c>
      <c r="B247" s="141">
        <v>45754</v>
      </c>
      <c r="C247" s="195" t="s">
        <v>310</v>
      </c>
      <c r="D247" s="195" t="s">
        <v>313</v>
      </c>
      <c r="E247" s="140" t="s">
        <v>80</v>
      </c>
      <c r="F247" s="157">
        <v>20</v>
      </c>
      <c r="G247" s="143">
        <v>21</v>
      </c>
      <c r="H247" s="196">
        <f t="shared" si="3"/>
        <v>420</v>
      </c>
    </row>
    <row r="248" spans="1:8" ht="15.6" x14ac:dyDescent="0.3">
      <c r="A248" s="132">
        <v>1187</v>
      </c>
      <c r="B248" s="141">
        <v>45756</v>
      </c>
      <c r="C248" s="142" t="s">
        <v>364</v>
      </c>
      <c r="D248" s="195" t="s">
        <v>311</v>
      </c>
      <c r="E248" s="140" t="s">
        <v>51</v>
      </c>
      <c r="F248" s="157">
        <v>8</v>
      </c>
      <c r="G248" s="143">
        <v>25</v>
      </c>
      <c r="H248" s="196">
        <f t="shared" si="3"/>
        <v>200</v>
      </c>
    </row>
    <row r="249" spans="1:8" ht="15.6" x14ac:dyDescent="0.3">
      <c r="A249" s="132">
        <v>1187</v>
      </c>
      <c r="B249" s="141">
        <v>45756</v>
      </c>
      <c r="C249" s="142" t="s">
        <v>364</v>
      </c>
      <c r="D249" s="195" t="s">
        <v>301</v>
      </c>
      <c r="E249" s="140" t="s">
        <v>74</v>
      </c>
      <c r="F249" s="157">
        <v>6</v>
      </c>
      <c r="G249" s="143">
        <v>36.75</v>
      </c>
      <c r="H249" s="196">
        <f t="shared" si="3"/>
        <v>220.5</v>
      </c>
    </row>
    <row r="250" spans="1:8" ht="15.6" x14ac:dyDescent="0.3">
      <c r="A250" s="132">
        <v>1187</v>
      </c>
      <c r="B250" s="141">
        <v>45756</v>
      </c>
      <c r="C250" s="142" t="s">
        <v>364</v>
      </c>
      <c r="D250" s="195" t="s">
        <v>308</v>
      </c>
      <c r="E250" s="140" t="s">
        <v>354</v>
      </c>
      <c r="F250" s="157">
        <v>6</v>
      </c>
      <c r="G250" s="143">
        <v>36.75</v>
      </c>
      <c r="H250" s="196">
        <f t="shared" si="3"/>
        <v>220.5</v>
      </c>
    </row>
    <row r="251" spans="1:8" ht="15.6" x14ac:dyDescent="0.3">
      <c r="A251" s="132">
        <v>1187</v>
      </c>
      <c r="B251" s="141">
        <v>45756</v>
      </c>
      <c r="C251" s="142" t="s">
        <v>364</v>
      </c>
      <c r="D251" s="195" t="s">
        <v>313</v>
      </c>
      <c r="E251" s="140" t="s">
        <v>80</v>
      </c>
      <c r="F251" s="157">
        <v>4</v>
      </c>
      <c r="G251" s="143">
        <v>21</v>
      </c>
      <c r="H251" s="196">
        <f t="shared" si="3"/>
        <v>84</v>
      </c>
    </row>
    <row r="252" spans="1:8" ht="15.6" x14ac:dyDescent="0.3">
      <c r="A252" s="132">
        <v>1186</v>
      </c>
      <c r="B252" s="141">
        <v>45756</v>
      </c>
      <c r="C252" s="142" t="s">
        <v>365</v>
      </c>
      <c r="D252" s="195" t="s">
        <v>308</v>
      </c>
      <c r="E252" s="142" t="s">
        <v>354</v>
      </c>
      <c r="F252" s="157">
        <v>2</v>
      </c>
      <c r="G252" s="143">
        <v>36.75</v>
      </c>
      <c r="H252" s="196">
        <f t="shared" si="3"/>
        <v>73.5</v>
      </c>
    </row>
    <row r="253" spans="1:8" ht="15.6" x14ac:dyDescent="0.3">
      <c r="A253" s="132">
        <v>1186</v>
      </c>
      <c r="B253" s="141">
        <v>45756</v>
      </c>
      <c r="C253" s="142" t="s">
        <v>365</v>
      </c>
      <c r="D253" s="195" t="s">
        <v>301</v>
      </c>
      <c r="E253" s="140" t="s">
        <v>74</v>
      </c>
      <c r="F253" s="157">
        <v>1</v>
      </c>
      <c r="G253" s="143">
        <v>36.75</v>
      </c>
      <c r="H253" s="196">
        <f t="shared" si="3"/>
        <v>36.75</v>
      </c>
    </row>
    <row r="254" spans="1:8" ht="15.6" x14ac:dyDescent="0.3">
      <c r="A254" s="132">
        <v>1186</v>
      </c>
      <c r="B254" s="141">
        <v>45756</v>
      </c>
      <c r="C254" s="142" t="s">
        <v>365</v>
      </c>
      <c r="D254" s="195" t="s">
        <v>318</v>
      </c>
      <c r="E254" s="142" t="s">
        <v>78</v>
      </c>
      <c r="F254" s="157">
        <v>2</v>
      </c>
      <c r="G254" s="143">
        <v>85</v>
      </c>
      <c r="H254" s="196">
        <f t="shared" si="3"/>
        <v>170</v>
      </c>
    </row>
    <row r="255" spans="1:8" ht="15.6" x14ac:dyDescent="0.3">
      <c r="A255" s="132">
        <v>1186</v>
      </c>
      <c r="B255" s="141">
        <v>45756</v>
      </c>
      <c r="C255" s="142" t="s">
        <v>365</v>
      </c>
      <c r="D255" s="195" t="s">
        <v>311</v>
      </c>
      <c r="E255" s="140" t="s">
        <v>51</v>
      </c>
      <c r="F255" s="157">
        <v>5</v>
      </c>
      <c r="G255" s="143">
        <v>25</v>
      </c>
      <c r="H255" s="196">
        <f t="shared" si="3"/>
        <v>125</v>
      </c>
    </row>
    <row r="256" spans="1:8" ht="15.6" x14ac:dyDescent="0.3">
      <c r="A256" s="132">
        <v>1186</v>
      </c>
      <c r="B256" s="141">
        <v>45756</v>
      </c>
      <c r="C256" s="142" t="s">
        <v>365</v>
      </c>
      <c r="D256" s="195" t="s">
        <v>313</v>
      </c>
      <c r="E256" s="140" t="s">
        <v>80</v>
      </c>
      <c r="F256" s="157">
        <v>3</v>
      </c>
      <c r="G256" s="143">
        <v>21</v>
      </c>
      <c r="H256" s="196">
        <f t="shared" si="3"/>
        <v>63</v>
      </c>
    </row>
    <row r="257" spans="1:8" ht="15.6" x14ac:dyDescent="0.3">
      <c r="A257" s="132">
        <v>1186</v>
      </c>
      <c r="B257" s="141">
        <v>45756</v>
      </c>
      <c r="C257" s="142" t="s">
        <v>365</v>
      </c>
      <c r="D257" s="140" t="s">
        <v>328</v>
      </c>
      <c r="E257" s="140" t="s">
        <v>78</v>
      </c>
      <c r="F257" s="157">
        <v>5</v>
      </c>
      <c r="G257" s="143">
        <v>75</v>
      </c>
      <c r="H257" s="196">
        <f t="shared" si="3"/>
        <v>375</v>
      </c>
    </row>
    <row r="258" spans="1:8" ht="15.6" x14ac:dyDescent="0.3">
      <c r="A258" s="132">
        <v>1193</v>
      </c>
      <c r="B258" s="141">
        <v>45758</v>
      </c>
      <c r="C258" s="142" t="s">
        <v>360</v>
      </c>
      <c r="D258" s="142" t="s">
        <v>339</v>
      </c>
      <c r="E258" s="142" t="s">
        <v>340</v>
      </c>
      <c r="F258" s="157">
        <v>4</v>
      </c>
      <c r="G258" s="143">
        <v>65</v>
      </c>
      <c r="H258" s="196">
        <f t="shared" si="3"/>
        <v>260</v>
      </c>
    </row>
    <row r="259" spans="1:8" ht="15.6" x14ac:dyDescent="0.3">
      <c r="A259" s="132">
        <v>1190</v>
      </c>
      <c r="B259" s="141">
        <v>45758</v>
      </c>
      <c r="C259" s="142" t="s">
        <v>360</v>
      </c>
      <c r="D259" s="195" t="s">
        <v>311</v>
      </c>
      <c r="E259" s="140" t="s">
        <v>51</v>
      </c>
      <c r="F259" s="157">
        <v>6</v>
      </c>
      <c r="G259" s="143">
        <v>25</v>
      </c>
      <c r="H259" s="196">
        <f t="shared" si="3"/>
        <v>150</v>
      </c>
    </row>
    <row r="260" spans="1:8" ht="15.6" x14ac:dyDescent="0.3">
      <c r="A260" s="132">
        <v>1190</v>
      </c>
      <c r="B260" s="141">
        <v>45758</v>
      </c>
      <c r="C260" s="142" t="s">
        <v>360</v>
      </c>
      <c r="D260" s="195" t="s">
        <v>301</v>
      </c>
      <c r="E260" s="140" t="s">
        <v>74</v>
      </c>
      <c r="F260" s="157">
        <v>12</v>
      </c>
      <c r="G260" s="143">
        <v>36.75</v>
      </c>
      <c r="H260" s="196">
        <f t="shared" si="3"/>
        <v>441</v>
      </c>
    </row>
    <row r="261" spans="1:8" ht="15.6" x14ac:dyDescent="0.3">
      <c r="A261" s="132">
        <v>1190</v>
      </c>
      <c r="B261" s="141">
        <v>45758</v>
      </c>
      <c r="C261" s="142" t="s">
        <v>360</v>
      </c>
      <c r="D261" s="195" t="s">
        <v>308</v>
      </c>
      <c r="E261" s="140" t="s">
        <v>354</v>
      </c>
      <c r="F261" s="157">
        <v>1</v>
      </c>
      <c r="G261" s="143">
        <v>36.75</v>
      </c>
      <c r="H261" s="196">
        <f t="shared" ref="H261:H324" si="4">G261*F261</f>
        <v>36.75</v>
      </c>
    </row>
    <row r="262" spans="1:8" ht="15.6" x14ac:dyDescent="0.3">
      <c r="A262" s="132">
        <v>1193</v>
      </c>
      <c r="B262" s="141">
        <v>45761</v>
      </c>
      <c r="C262" s="142" t="s">
        <v>360</v>
      </c>
      <c r="D262" s="142" t="s">
        <v>339</v>
      </c>
      <c r="E262" s="142" t="s">
        <v>340</v>
      </c>
      <c r="F262" s="157">
        <v>4</v>
      </c>
      <c r="G262" s="143">
        <v>65</v>
      </c>
      <c r="H262" s="196">
        <f t="shared" si="4"/>
        <v>260</v>
      </c>
    </row>
    <row r="263" spans="1:8" ht="15.6" x14ac:dyDescent="0.3">
      <c r="A263" s="132">
        <v>1194</v>
      </c>
      <c r="B263" s="141">
        <v>45762</v>
      </c>
      <c r="C263" s="140" t="s">
        <v>365</v>
      </c>
      <c r="D263" s="195" t="s">
        <v>318</v>
      </c>
      <c r="E263" s="140" t="s">
        <v>78</v>
      </c>
      <c r="F263" s="140">
        <v>4</v>
      </c>
      <c r="G263" s="156">
        <v>85</v>
      </c>
      <c r="H263" s="196">
        <f t="shared" si="4"/>
        <v>340</v>
      </c>
    </row>
    <row r="264" spans="1:8" ht="15.6" x14ac:dyDescent="0.3">
      <c r="A264" s="132">
        <v>1194</v>
      </c>
      <c r="B264" s="141">
        <v>45762</v>
      </c>
      <c r="C264" s="140" t="s">
        <v>365</v>
      </c>
      <c r="D264" s="142" t="s">
        <v>339</v>
      </c>
      <c r="E264" s="140" t="s">
        <v>340</v>
      </c>
      <c r="F264" s="140">
        <v>4</v>
      </c>
      <c r="G264" s="156">
        <v>65</v>
      </c>
      <c r="H264" s="196">
        <f t="shared" si="4"/>
        <v>260</v>
      </c>
    </row>
    <row r="265" spans="1:8" ht="15.6" x14ac:dyDescent="0.3">
      <c r="A265" s="132">
        <v>1194</v>
      </c>
      <c r="B265" s="141">
        <v>45762</v>
      </c>
      <c r="C265" s="140" t="s">
        <v>365</v>
      </c>
      <c r="D265" s="195" t="s">
        <v>301</v>
      </c>
      <c r="E265" s="140" t="s">
        <v>74</v>
      </c>
      <c r="F265" s="140">
        <v>2</v>
      </c>
      <c r="G265" s="156">
        <v>36.75</v>
      </c>
      <c r="H265" s="196">
        <f t="shared" si="4"/>
        <v>73.5</v>
      </c>
    </row>
    <row r="266" spans="1:8" ht="15.6" x14ac:dyDescent="0.3">
      <c r="A266" s="132">
        <v>1194</v>
      </c>
      <c r="B266" s="141">
        <v>45762</v>
      </c>
      <c r="C266" s="140" t="s">
        <v>365</v>
      </c>
      <c r="D266" s="195" t="s">
        <v>308</v>
      </c>
      <c r="E266" s="140" t="s">
        <v>354</v>
      </c>
      <c r="F266" s="140">
        <v>2</v>
      </c>
      <c r="G266" s="156">
        <v>36.75</v>
      </c>
      <c r="H266" s="196">
        <f t="shared" si="4"/>
        <v>73.5</v>
      </c>
    </row>
    <row r="267" spans="1:8" ht="15.6" x14ac:dyDescent="0.3">
      <c r="A267" s="132">
        <v>1201</v>
      </c>
      <c r="B267" s="141">
        <v>45765</v>
      </c>
      <c r="C267" s="140" t="s">
        <v>343</v>
      </c>
      <c r="D267" s="195" t="s">
        <v>307</v>
      </c>
      <c r="E267" s="140" t="s">
        <v>74</v>
      </c>
      <c r="F267" s="140">
        <v>2</v>
      </c>
      <c r="G267" s="156">
        <v>47.5</v>
      </c>
      <c r="H267" s="196">
        <f t="shared" si="4"/>
        <v>95</v>
      </c>
    </row>
    <row r="268" spans="1:8" ht="15.6" x14ac:dyDescent="0.3">
      <c r="A268" s="132">
        <v>1201</v>
      </c>
      <c r="B268" s="141">
        <v>45765</v>
      </c>
      <c r="C268" s="140" t="s">
        <v>343</v>
      </c>
      <c r="D268" s="140" t="s">
        <v>356</v>
      </c>
      <c r="E268" s="140" t="s">
        <v>321</v>
      </c>
      <c r="F268" s="140">
        <v>4</v>
      </c>
      <c r="G268" s="156">
        <v>85</v>
      </c>
      <c r="H268" s="196">
        <f t="shared" si="4"/>
        <v>340</v>
      </c>
    </row>
    <row r="269" spans="1:8" ht="15.6" x14ac:dyDescent="0.3">
      <c r="A269" s="132">
        <v>1201</v>
      </c>
      <c r="B269" s="141">
        <v>45765</v>
      </c>
      <c r="C269" s="140" t="s">
        <v>343</v>
      </c>
      <c r="D269" s="140" t="s">
        <v>356</v>
      </c>
      <c r="E269" s="140" t="s">
        <v>321</v>
      </c>
      <c r="F269" s="140">
        <v>2</v>
      </c>
      <c r="G269" s="156">
        <v>75</v>
      </c>
      <c r="H269" s="196">
        <f t="shared" si="4"/>
        <v>150</v>
      </c>
    </row>
    <row r="270" spans="1:8" ht="15.6" x14ac:dyDescent="0.3">
      <c r="A270" s="130">
        <v>1138</v>
      </c>
      <c r="B270" s="139">
        <v>45777</v>
      </c>
      <c r="C270" s="140" t="s">
        <v>366</v>
      </c>
      <c r="D270" s="195" t="s">
        <v>308</v>
      </c>
      <c r="E270" s="140" t="s">
        <v>354</v>
      </c>
      <c r="F270" s="154">
        <v>36</v>
      </c>
      <c r="G270" s="156">
        <v>36.75</v>
      </c>
      <c r="H270" s="196">
        <f t="shared" si="4"/>
        <v>1323</v>
      </c>
    </row>
    <row r="271" spans="1:8" ht="15.6" x14ac:dyDescent="0.3">
      <c r="A271" s="130">
        <v>1138</v>
      </c>
      <c r="B271" s="139">
        <v>45777</v>
      </c>
      <c r="C271" s="140" t="s">
        <v>366</v>
      </c>
      <c r="D271" s="195" t="s">
        <v>301</v>
      </c>
      <c r="E271" s="140" t="s">
        <v>74</v>
      </c>
      <c r="F271" s="154">
        <v>36</v>
      </c>
      <c r="G271" s="156">
        <v>36.75</v>
      </c>
      <c r="H271" s="196">
        <f t="shared" si="4"/>
        <v>1323</v>
      </c>
    </row>
    <row r="272" spans="1:8" ht="15.6" x14ac:dyDescent="0.3">
      <c r="A272" s="130">
        <v>1138</v>
      </c>
      <c r="B272" s="139">
        <v>45777</v>
      </c>
      <c r="C272" s="140" t="s">
        <v>366</v>
      </c>
      <c r="D272" s="195" t="s">
        <v>318</v>
      </c>
      <c r="E272" s="140" t="s">
        <v>78</v>
      </c>
      <c r="F272" s="154">
        <v>34</v>
      </c>
      <c r="G272" s="156">
        <v>65</v>
      </c>
      <c r="H272" s="196">
        <f t="shared" si="4"/>
        <v>2210</v>
      </c>
    </row>
    <row r="273" spans="1:8" ht="15.6" x14ac:dyDescent="0.3">
      <c r="A273" s="130">
        <v>1138</v>
      </c>
      <c r="B273" s="139">
        <v>45777</v>
      </c>
      <c r="C273" s="140" t="s">
        <v>366</v>
      </c>
      <c r="D273" s="140" t="s">
        <v>328</v>
      </c>
      <c r="E273" s="140" t="s">
        <v>78</v>
      </c>
      <c r="F273" s="154">
        <v>34</v>
      </c>
      <c r="G273" s="156">
        <v>75</v>
      </c>
      <c r="H273" s="196">
        <f t="shared" si="4"/>
        <v>2550</v>
      </c>
    </row>
    <row r="274" spans="1:8" ht="15.6" x14ac:dyDescent="0.3">
      <c r="A274" s="130">
        <v>1138</v>
      </c>
      <c r="B274" s="139">
        <v>45777</v>
      </c>
      <c r="C274" s="140" t="s">
        <v>366</v>
      </c>
      <c r="D274" s="142" t="s">
        <v>339</v>
      </c>
      <c r="E274" s="140" t="s">
        <v>340</v>
      </c>
      <c r="F274" s="154">
        <v>6</v>
      </c>
      <c r="G274" s="156">
        <v>65</v>
      </c>
      <c r="H274" s="196">
        <f t="shared" si="4"/>
        <v>390</v>
      </c>
    </row>
    <row r="275" spans="1:8" ht="15.6" x14ac:dyDescent="0.3">
      <c r="A275" s="132">
        <v>1213</v>
      </c>
      <c r="B275" s="141">
        <v>45777</v>
      </c>
      <c r="C275" s="142" t="s">
        <v>367</v>
      </c>
      <c r="D275" s="195" t="s">
        <v>301</v>
      </c>
      <c r="E275" s="140" t="s">
        <v>74</v>
      </c>
      <c r="F275" s="157">
        <v>8</v>
      </c>
      <c r="G275" s="143">
        <v>36.75</v>
      </c>
      <c r="H275" s="196">
        <f t="shared" si="4"/>
        <v>294</v>
      </c>
    </row>
    <row r="276" spans="1:8" ht="15.6" x14ac:dyDescent="0.3">
      <c r="A276" s="132">
        <v>1163</v>
      </c>
      <c r="B276" s="139">
        <v>45777</v>
      </c>
      <c r="C276" s="142" t="s">
        <v>343</v>
      </c>
      <c r="D276" s="142" t="s">
        <v>368</v>
      </c>
      <c r="E276" s="140" t="s">
        <v>74</v>
      </c>
      <c r="F276" s="157">
        <v>4</v>
      </c>
      <c r="G276" s="143">
        <v>70</v>
      </c>
      <c r="H276" s="196">
        <f t="shared" si="4"/>
        <v>280</v>
      </c>
    </row>
    <row r="277" spans="1:8" ht="15.6" x14ac:dyDescent="0.3">
      <c r="A277" s="132">
        <v>1216</v>
      </c>
      <c r="B277" s="141">
        <v>45782</v>
      </c>
      <c r="C277" s="142" t="s">
        <v>369</v>
      </c>
      <c r="D277" s="195" t="s">
        <v>311</v>
      </c>
      <c r="E277" s="140" t="s">
        <v>51</v>
      </c>
      <c r="F277" s="157">
        <v>20</v>
      </c>
      <c r="G277" s="143">
        <v>25</v>
      </c>
      <c r="H277" s="196">
        <f t="shared" si="4"/>
        <v>500</v>
      </c>
    </row>
    <row r="278" spans="1:8" ht="15.6" x14ac:dyDescent="0.3">
      <c r="A278" s="132">
        <v>1216</v>
      </c>
      <c r="B278" s="141">
        <v>45782</v>
      </c>
      <c r="C278" s="142" t="s">
        <v>369</v>
      </c>
      <c r="D278" s="195" t="s">
        <v>313</v>
      </c>
      <c r="E278" s="140" t="s">
        <v>80</v>
      </c>
      <c r="F278" s="157">
        <v>10</v>
      </c>
      <c r="G278" s="143">
        <v>21</v>
      </c>
      <c r="H278" s="196">
        <f t="shared" si="4"/>
        <v>210</v>
      </c>
    </row>
    <row r="279" spans="1:8" ht="15.6" x14ac:dyDescent="0.3">
      <c r="A279" s="132">
        <v>1216</v>
      </c>
      <c r="B279" s="141">
        <v>45782</v>
      </c>
      <c r="C279" s="142" t="s">
        <v>369</v>
      </c>
      <c r="D279" s="195" t="s">
        <v>308</v>
      </c>
      <c r="E279" s="140" t="s">
        <v>354</v>
      </c>
      <c r="F279" s="157">
        <v>30</v>
      </c>
      <c r="G279" s="143">
        <v>36.75</v>
      </c>
      <c r="H279" s="196">
        <f t="shared" si="4"/>
        <v>1102.5</v>
      </c>
    </row>
    <row r="280" spans="1:8" ht="15.6" x14ac:dyDescent="0.3">
      <c r="A280" s="132">
        <v>1216</v>
      </c>
      <c r="B280" s="141">
        <v>45782</v>
      </c>
      <c r="C280" s="142" t="s">
        <v>369</v>
      </c>
      <c r="D280" s="195" t="s">
        <v>301</v>
      </c>
      <c r="E280" s="140" t="s">
        <v>74</v>
      </c>
      <c r="F280" s="157">
        <v>12</v>
      </c>
      <c r="G280" s="143">
        <v>36.75</v>
      </c>
      <c r="H280" s="196">
        <f t="shared" si="4"/>
        <v>441</v>
      </c>
    </row>
    <row r="281" spans="1:8" ht="15.6" x14ac:dyDescent="0.3">
      <c r="A281" s="132">
        <v>1214</v>
      </c>
      <c r="B281" s="141">
        <v>45782</v>
      </c>
      <c r="C281" s="140" t="s">
        <v>365</v>
      </c>
      <c r="D281" s="195" t="s">
        <v>311</v>
      </c>
      <c r="E281" s="140" t="s">
        <v>51</v>
      </c>
      <c r="F281" s="140">
        <v>8</v>
      </c>
      <c r="G281" s="156">
        <v>25</v>
      </c>
      <c r="H281" s="196">
        <f t="shared" si="4"/>
        <v>200</v>
      </c>
    </row>
    <row r="282" spans="1:8" ht="15.6" x14ac:dyDescent="0.3">
      <c r="A282" s="132">
        <v>1214</v>
      </c>
      <c r="B282" s="141">
        <v>45782</v>
      </c>
      <c r="C282" s="140" t="s">
        <v>365</v>
      </c>
      <c r="D282" s="195" t="s">
        <v>307</v>
      </c>
      <c r="E282" s="140" t="s">
        <v>74</v>
      </c>
      <c r="F282" s="140">
        <v>4</v>
      </c>
      <c r="G282" s="156">
        <v>47.5</v>
      </c>
      <c r="H282" s="196">
        <f t="shared" si="4"/>
        <v>190</v>
      </c>
    </row>
    <row r="283" spans="1:8" ht="15.6" x14ac:dyDescent="0.3">
      <c r="A283" s="132">
        <v>1214</v>
      </c>
      <c r="B283" s="141">
        <v>45782</v>
      </c>
      <c r="C283" s="140" t="s">
        <v>365</v>
      </c>
      <c r="D283" s="142" t="s">
        <v>339</v>
      </c>
      <c r="E283" s="140" t="s">
        <v>340</v>
      </c>
      <c r="F283" s="140">
        <v>4</v>
      </c>
      <c r="G283" s="156">
        <v>65</v>
      </c>
      <c r="H283" s="196">
        <f t="shared" si="4"/>
        <v>260</v>
      </c>
    </row>
    <row r="284" spans="1:8" ht="15.6" x14ac:dyDescent="0.3">
      <c r="A284" s="132">
        <v>1214</v>
      </c>
      <c r="B284" s="141">
        <v>45782</v>
      </c>
      <c r="C284" s="140" t="s">
        <v>365</v>
      </c>
      <c r="D284" s="195" t="s">
        <v>301</v>
      </c>
      <c r="E284" s="140" t="s">
        <v>74</v>
      </c>
      <c r="F284" s="140">
        <v>1</v>
      </c>
      <c r="G284" s="156">
        <v>36.75</v>
      </c>
      <c r="H284" s="196">
        <f t="shared" si="4"/>
        <v>36.75</v>
      </c>
    </row>
    <row r="285" spans="1:8" ht="15.6" x14ac:dyDescent="0.3">
      <c r="A285" s="132">
        <v>1214</v>
      </c>
      <c r="B285" s="141">
        <v>45782</v>
      </c>
      <c r="C285" s="140" t="s">
        <v>365</v>
      </c>
      <c r="D285" s="195" t="s">
        <v>318</v>
      </c>
      <c r="E285" s="140" t="s">
        <v>78</v>
      </c>
      <c r="F285" s="140">
        <v>3</v>
      </c>
      <c r="G285" s="156">
        <v>65</v>
      </c>
      <c r="H285" s="196">
        <f t="shared" si="4"/>
        <v>195</v>
      </c>
    </row>
    <row r="286" spans="1:8" ht="15.6" x14ac:dyDescent="0.3">
      <c r="A286" s="132">
        <v>1214</v>
      </c>
      <c r="B286" s="141">
        <v>45782</v>
      </c>
      <c r="C286" s="140" t="s">
        <v>365</v>
      </c>
      <c r="D286" s="195" t="s">
        <v>308</v>
      </c>
      <c r="E286" s="140" t="s">
        <v>354</v>
      </c>
      <c r="F286" s="140">
        <v>1</v>
      </c>
      <c r="G286" s="156">
        <v>36.5</v>
      </c>
      <c r="H286" s="196">
        <f t="shared" si="4"/>
        <v>36.5</v>
      </c>
    </row>
    <row r="287" spans="1:8" ht="15.6" x14ac:dyDescent="0.3">
      <c r="A287" s="132">
        <v>1214</v>
      </c>
      <c r="B287" s="141">
        <v>45782</v>
      </c>
      <c r="C287" s="140" t="s">
        <v>365</v>
      </c>
      <c r="D287" s="140" t="s">
        <v>328</v>
      </c>
      <c r="E287" s="140" t="s">
        <v>78</v>
      </c>
      <c r="F287" s="140">
        <v>2</v>
      </c>
      <c r="G287" s="156">
        <v>75</v>
      </c>
      <c r="H287" s="196">
        <f t="shared" si="4"/>
        <v>150</v>
      </c>
    </row>
    <row r="288" spans="1:8" ht="15.6" x14ac:dyDescent="0.3">
      <c r="A288" s="132">
        <v>1218</v>
      </c>
      <c r="B288" s="141">
        <v>45784</v>
      </c>
      <c r="C288" s="142" t="s">
        <v>370</v>
      </c>
      <c r="D288" s="195" t="s">
        <v>311</v>
      </c>
      <c r="E288" s="140" t="s">
        <v>51</v>
      </c>
      <c r="F288" s="157">
        <v>6</v>
      </c>
      <c r="G288" s="143">
        <v>25</v>
      </c>
      <c r="H288" s="196">
        <f t="shared" si="4"/>
        <v>150</v>
      </c>
    </row>
    <row r="289" spans="1:8" ht="15.6" x14ac:dyDescent="0.3">
      <c r="A289" s="132">
        <v>1218</v>
      </c>
      <c r="B289" s="141">
        <v>45784</v>
      </c>
      <c r="C289" s="142" t="s">
        <v>370</v>
      </c>
      <c r="D289" s="195" t="s">
        <v>301</v>
      </c>
      <c r="E289" s="140" t="s">
        <v>74</v>
      </c>
      <c r="F289" s="157">
        <v>18</v>
      </c>
      <c r="G289" s="143">
        <v>36.75</v>
      </c>
      <c r="H289" s="196">
        <f t="shared" si="4"/>
        <v>661.5</v>
      </c>
    </row>
    <row r="290" spans="1:8" ht="15.6" x14ac:dyDescent="0.3">
      <c r="A290" s="132">
        <v>1218</v>
      </c>
      <c r="B290" s="141">
        <v>45784</v>
      </c>
      <c r="C290" s="142" t="s">
        <v>370</v>
      </c>
      <c r="D290" s="195" t="s">
        <v>313</v>
      </c>
      <c r="E290" s="140" t="s">
        <v>80</v>
      </c>
      <c r="F290" s="157">
        <v>4</v>
      </c>
      <c r="G290" s="143">
        <v>21</v>
      </c>
      <c r="H290" s="196">
        <f t="shared" si="4"/>
        <v>84</v>
      </c>
    </row>
    <row r="291" spans="1:8" ht="15.6" x14ac:dyDescent="0.3">
      <c r="A291" s="132">
        <v>1220</v>
      </c>
      <c r="B291" s="141">
        <v>45790</v>
      </c>
      <c r="C291" s="142" t="s">
        <v>371</v>
      </c>
      <c r="D291" s="140" t="s">
        <v>356</v>
      </c>
      <c r="E291" s="140" t="s">
        <v>321</v>
      </c>
      <c r="F291" s="157">
        <v>3</v>
      </c>
      <c r="G291" s="143">
        <v>85</v>
      </c>
      <c r="H291" s="196">
        <f t="shared" si="4"/>
        <v>255</v>
      </c>
    </row>
    <row r="292" spans="1:8" ht="15.6" x14ac:dyDescent="0.3">
      <c r="A292" s="132">
        <v>1220</v>
      </c>
      <c r="B292" s="141">
        <v>45790</v>
      </c>
      <c r="C292" s="142" t="s">
        <v>371</v>
      </c>
      <c r="D292" s="195" t="s">
        <v>301</v>
      </c>
      <c r="E292" s="140" t="s">
        <v>74</v>
      </c>
      <c r="F292" s="157">
        <v>2</v>
      </c>
      <c r="G292" s="143">
        <v>36.75</v>
      </c>
      <c r="H292" s="196">
        <f t="shared" si="4"/>
        <v>73.5</v>
      </c>
    </row>
    <row r="293" spans="1:8" ht="15.6" x14ac:dyDescent="0.3">
      <c r="A293" s="132">
        <v>1220</v>
      </c>
      <c r="B293" s="141">
        <v>45790</v>
      </c>
      <c r="C293" s="142" t="s">
        <v>371</v>
      </c>
      <c r="D293" s="195" t="s">
        <v>318</v>
      </c>
      <c r="E293" s="140" t="s">
        <v>78</v>
      </c>
      <c r="F293" s="157">
        <v>2</v>
      </c>
      <c r="G293" s="143">
        <v>65</v>
      </c>
      <c r="H293" s="196">
        <f t="shared" si="4"/>
        <v>130</v>
      </c>
    </row>
    <row r="294" spans="1:8" ht="15.6" x14ac:dyDescent="0.3">
      <c r="A294" s="132">
        <v>1220</v>
      </c>
      <c r="B294" s="141">
        <v>45790</v>
      </c>
      <c r="C294" s="142" t="s">
        <v>371</v>
      </c>
      <c r="D294" s="140" t="s">
        <v>328</v>
      </c>
      <c r="E294" s="140" t="s">
        <v>78</v>
      </c>
      <c r="F294" s="157">
        <v>2</v>
      </c>
      <c r="G294" s="143">
        <v>75</v>
      </c>
      <c r="H294" s="196">
        <f t="shared" si="4"/>
        <v>150</v>
      </c>
    </row>
    <row r="295" spans="1:8" ht="15.6" x14ac:dyDescent="0.3">
      <c r="A295" s="132">
        <v>1220</v>
      </c>
      <c r="B295" s="141">
        <v>45790</v>
      </c>
      <c r="C295" s="142" t="s">
        <v>371</v>
      </c>
      <c r="D295" s="195" t="s">
        <v>308</v>
      </c>
      <c r="E295" s="142" t="s">
        <v>354</v>
      </c>
      <c r="F295" s="157">
        <v>5</v>
      </c>
      <c r="G295" s="143">
        <v>36.75</v>
      </c>
      <c r="H295" s="196">
        <f t="shared" si="4"/>
        <v>183.75</v>
      </c>
    </row>
    <row r="296" spans="1:8" ht="15.6" x14ac:dyDescent="0.3">
      <c r="A296" s="132">
        <v>1220</v>
      </c>
      <c r="B296" s="141">
        <v>45790</v>
      </c>
      <c r="C296" s="142" t="s">
        <v>371</v>
      </c>
      <c r="D296" s="142" t="s">
        <v>339</v>
      </c>
      <c r="E296" s="142" t="s">
        <v>340</v>
      </c>
      <c r="F296" s="157">
        <v>1</v>
      </c>
      <c r="G296" s="143">
        <v>65</v>
      </c>
      <c r="H296" s="196">
        <f t="shared" si="4"/>
        <v>65</v>
      </c>
    </row>
    <row r="297" spans="1:8" ht="15.6" x14ac:dyDescent="0.3">
      <c r="A297" s="132">
        <v>1225</v>
      </c>
      <c r="B297" s="141">
        <v>45799</v>
      </c>
      <c r="C297" s="195" t="s">
        <v>324</v>
      </c>
      <c r="D297" s="195" t="s">
        <v>301</v>
      </c>
      <c r="E297" s="140" t="s">
        <v>74</v>
      </c>
      <c r="F297" s="157">
        <v>12</v>
      </c>
      <c r="G297" s="143">
        <v>36.75</v>
      </c>
      <c r="H297" s="196">
        <f t="shared" si="4"/>
        <v>441</v>
      </c>
    </row>
    <row r="298" spans="1:8" ht="15.6" x14ac:dyDescent="0.3">
      <c r="A298" s="132">
        <v>1225</v>
      </c>
      <c r="B298" s="141">
        <v>45799</v>
      </c>
      <c r="C298" s="195" t="s">
        <v>324</v>
      </c>
      <c r="D298" s="195" t="s">
        <v>307</v>
      </c>
      <c r="E298" s="140" t="s">
        <v>74</v>
      </c>
      <c r="F298" s="157">
        <v>4</v>
      </c>
      <c r="G298" s="143">
        <v>47.5</v>
      </c>
      <c r="H298" s="196">
        <f t="shared" si="4"/>
        <v>190</v>
      </c>
    </row>
    <row r="299" spans="1:8" ht="15.6" x14ac:dyDescent="0.3">
      <c r="A299" s="132">
        <v>1226</v>
      </c>
      <c r="B299" s="141">
        <v>45805</v>
      </c>
      <c r="C299" s="142" t="s">
        <v>363</v>
      </c>
      <c r="D299" s="195" t="s">
        <v>311</v>
      </c>
      <c r="E299" s="140" t="s">
        <v>51</v>
      </c>
      <c r="F299" s="157">
        <v>2</v>
      </c>
      <c r="G299" s="143">
        <v>36.75</v>
      </c>
      <c r="H299" s="196">
        <f t="shared" si="4"/>
        <v>73.5</v>
      </c>
    </row>
    <row r="300" spans="1:8" ht="15.6" x14ac:dyDescent="0.3">
      <c r="A300" s="132">
        <v>1226</v>
      </c>
      <c r="B300" s="141">
        <v>45805</v>
      </c>
      <c r="C300" s="142" t="s">
        <v>363</v>
      </c>
      <c r="D300" s="195" t="s">
        <v>301</v>
      </c>
      <c r="E300" s="140" t="s">
        <v>74</v>
      </c>
      <c r="F300" s="157">
        <v>4</v>
      </c>
      <c r="G300" s="143">
        <v>25</v>
      </c>
      <c r="H300" s="196">
        <f t="shared" si="4"/>
        <v>100</v>
      </c>
    </row>
    <row r="301" spans="1:8" ht="15.6" x14ac:dyDescent="0.3">
      <c r="A301" s="132">
        <v>1227</v>
      </c>
      <c r="B301" s="141">
        <v>45807</v>
      </c>
      <c r="C301" s="142" t="s">
        <v>372</v>
      </c>
      <c r="D301" s="195" t="s">
        <v>311</v>
      </c>
      <c r="E301" s="140" t="s">
        <v>51</v>
      </c>
      <c r="F301" s="157">
        <v>6</v>
      </c>
      <c r="G301" s="143">
        <v>25</v>
      </c>
      <c r="H301" s="196">
        <f t="shared" si="4"/>
        <v>150</v>
      </c>
    </row>
    <row r="302" spans="1:8" ht="15.6" x14ac:dyDescent="0.3">
      <c r="A302" s="132">
        <v>1227</v>
      </c>
      <c r="B302" s="141">
        <v>45807</v>
      </c>
      <c r="C302" s="142" t="s">
        <v>372</v>
      </c>
      <c r="D302" s="195" t="s">
        <v>313</v>
      </c>
      <c r="E302" s="140" t="s">
        <v>80</v>
      </c>
      <c r="F302" s="157">
        <v>3</v>
      </c>
      <c r="G302" s="143">
        <v>21</v>
      </c>
      <c r="H302" s="196">
        <f t="shared" si="4"/>
        <v>63</v>
      </c>
    </row>
    <row r="303" spans="1:8" ht="15.6" x14ac:dyDescent="0.3">
      <c r="A303" s="132">
        <v>1227</v>
      </c>
      <c r="B303" s="141">
        <v>45807</v>
      </c>
      <c r="C303" s="142" t="s">
        <v>372</v>
      </c>
      <c r="D303" s="140" t="s">
        <v>328</v>
      </c>
      <c r="E303" s="140" t="s">
        <v>78</v>
      </c>
      <c r="F303" s="157">
        <v>2</v>
      </c>
      <c r="G303" s="143">
        <v>75</v>
      </c>
      <c r="H303" s="196">
        <f t="shared" si="4"/>
        <v>150</v>
      </c>
    </row>
    <row r="304" spans="1:8" ht="15.6" x14ac:dyDescent="0.3">
      <c r="A304" s="132">
        <v>1227</v>
      </c>
      <c r="B304" s="141">
        <v>45807</v>
      </c>
      <c r="C304" s="142" t="s">
        <v>372</v>
      </c>
      <c r="D304" s="195" t="s">
        <v>318</v>
      </c>
      <c r="E304" s="140" t="s">
        <v>78</v>
      </c>
      <c r="F304" s="157">
        <v>2</v>
      </c>
      <c r="G304" s="143">
        <v>65</v>
      </c>
      <c r="H304" s="196">
        <f t="shared" si="4"/>
        <v>130</v>
      </c>
    </row>
    <row r="305" spans="1:8" ht="15.6" x14ac:dyDescent="0.3">
      <c r="A305" s="132">
        <v>1227</v>
      </c>
      <c r="B305" s="141">
        <v>45807</v>
      </c>
      <c r="C305" s="142" t="s">
        <v>372</v>
      </c>
      <c r="D305" s="195" t="s">
        <v>308</v>
      </c>
      <c r="E305" s="142" t="s">
        <v>354</v>
      </c>
      <c r="F305" s="157">
        <v>6</v>
      </c>
      <c r="G305" s="143">
        <v>36.75</v>
      </c>
      <c r="H305" s="196">
        <f t="shared" si="4"/>
        <v>220.5</v>
      </c>
    </row>
    <row r="306" spans="1:8" ht="15.6" x14ac:dyDescent="0.3">
      <c r="A306" s="132">
        <v>1227</v>
      </c>
      <c r="B306" s="141">
        <v>45807</v>
      </c>
      <c r="C306" s="142" t="s">
        <v>372</v>
      </c>
      <c r="D306" s="195" t="s">
        <v>301</v>
      </c>
      <c r="E306" s="140" t="s">
        <v>74</v>
      </c>
      <c r="F306" s="157">
        <v>4</v>
      </c>
      <c r="G306" s="143">
        <v>36.75</v>
      </c>
      <c r="H306" s="196">
        <f t="shared" si="4"/>
        <v>147</v>
      </c>
    </row>
    <row r="307" spans="1:8" ht="15.6" x14ac:dyDescent="0.3">
      <c r="A307" s="132">
        <v>1229</v>
      </c>
      <c r="B307" s="141">
        <v>45810</v>
      </c>
      <c r="C307" s="142" t="s">
        <v>345</v>
      </c>
      <c r="D307" s="195" t="s">
        <v>301</v>
      </c>
      <c r="E307" s="140" t="s">
        <v>74</v>
      </c>
      <c r="F307" s="157">
        <v>6</v>
      </c>
      <c r="G307" s="143">
        <v>24.5</v>
      </c>
      <c r="H307" s="196">
        <f t="shared" si="4"/>
        <v>147</v>
      </c>
    </row>
    <row r="308" spans="1:8" ht="15.6" x14ac:dyDescent="0.3">
      <c r="A308" s="132">
        <v>1229</v>
      </c>
      <c r="B308" s="141">
        <v>45810</v>
      </c>
      <c r="C308" s="142" t="s">
        <v>345</v>
      </c>
      <c r="D308" s="195" t="s">
        <v>301</v>
      </c>
      <c r="E308" s="140" t="s">
        <v>74</v>
      </c>
      <c r="F308" s="157">
        <v>4</v>
      </c>
      <c r="G308" s="143">
        <v>37</v>
      </c>
      <c r="H308" s="196">
        <f t="shared" si="4"/>
        <v>148</v>
      </c>
    </row>
    <row r="309" spans="1:8" ht="15.6" x14ac:dyDescent="0.3">
      <c r="A309" s="132">
        <v>1229</v>
      </c>
      <c r="B309" s="141">
        <v>45810</v>
      </c>
      <c r="C309" s="142" t="s">
        <v>345</v>
      </c>
      <c r="D309" s="140" t="s">
        <v>356</v>
      </c>
      <c r="E309" s="140" t="s">
        <v>321</v>
      </c>
      <c r="F309" s="157">
        <v>4</v>
      </c>
      <c r="G309" s="143">
        <v>78</v>
      </c>
      <c r="H309" s="196">
        <f t="shared" si="4"/>
        <v>312</v>
      </c>
    </row>
    <row r="310" spans="1:8" ht="15.6" x14ac:dyDescent="0.3">
      <c r="A310" s="132">
        <v>1229</v>
      </c>
      <c r="B310" s="141">
        <v>45810</v>
      </c>
      <c r="C310" s="142" t="s">
        <v>345</v>
      </c>
      <c r="D310" s="195" t="s">
        <v>311</v>
      </c>
      <c r="E310" s="140" t="s">
        <v>51</v>
      </c>
      <c r="F310" s="157">
        <v>3</v>
      </c>
      <c r="G310" s="143">
        <v>25</v>
      </c>
      <c r="H310" s="196">
        <f t="shared" si="4"/>
        <v>75</v>
      </c>
    </row>
    <row r="311" spans="1:8" ht="15.6" x14ac:dyDescent="0.3">
      <c r="A311" s="132">
        <v>1230</v>
      </c>
      <c r="B311" s="141">
        <v>45813</v>
      </c>
      <c r="C311" s="142" t="s">
        <v>329</v>
      </c>
      <c r="D311" s="195" t="s">
        <v>301</v>
      </c>
      <c r="E311" s="140" t="s">
        <v>74</v>
      </c>
      <c r="F311" s="157">
        <v>3</v>
      </c>
      <c r="G311" s="143">
        <v>36.75</v>
      </c>
      <c r="H311" s="196">
        <f t="shared" si="4"/>
        <v>110.25</v>
      </c>
    </row>
    <row r="312" spans="1:8" ht="15.6" x14ac:dyDescent="0.3">
      <c r="A312" s="132">
        <v>1230</v>
      </c>
      <c r="B312" s="141">
        <v>45813</v>
      </c>
      <c r="C312" s="142" t="s">
        <v>329</v>
      </c>
      <c r="D312" s="195" t="s">
        <v>311</v>
      </c>
      <c r="E312" s="140" t="s">
        <v>51</v>
      </c>
      <c r="F312" s="157">
        <v>4</v>
      </c>
      <c r="G312" s="143">
        <v>25</v>
      </c>
      <c r="H312" s="196">
        <f t="shared" si="4"/>
        <v>100</v>
      </c>
    </row>
    <row r="313" spans="1:8" ht="15.6" x14ac:dyDescent="0.3">
      <c r="A313" s="132">
        <v>1230</v>
      </c>
      <c r="B313" s="141">
        <v>45813</v>
      </c>
      <c r="C313" s="142" t="s">
        <v>329</v>
      </c>
      <c r="D313" s="195" t="s">
        <v>307</v>
      </c>
      <c r="E313" s="140" t="s">
        <v>74</v>
      </c>
      <c r="F313" s="157">
        <v>2</v>
      </c>
      <c r="G313" s="143">
        <v>47.5</v>
      </c>
      <c r="H313" s="196">
        <f t="shared" si="4"/>
        <v>95</v>
      </c>
    </row>
    <row r="314" spans="1:8" ht="15.6" x14ac:dyDescent="0.3">
      <c r="A314" s="132">
        <v>1230</v>
      </c>
      <c r="B314" s="141">
        <v>45813</v>
      </c>
      <c r="C314" s="142" t="s">
        <v>329</v>
      </c>
      <c r="D314" s="140" t="s">
        <v>356</v>
      </c>
      <c r="E314" s="140" t="s">
        <v>321</v>
      </c>
      <c r="F314" s="157">
        <v>1</v>
      </c>
      <c r="G314" s="143">
        <v>85</v>
      </c>
      <c r="H314" s="196">
        <f t="shared" si="4"/>
        <v>85</v>
      </c>
    </row>
    <row r="315" spans="1:8" ht="15.6" x14ac:dyDescent="0.3">
      <c r="A315" s="132">
        <v>1231</v>
      </c>
      <c r="B315" s="141">
        <v>45813</v>
      </c>
      <c r="C315" s="142" t="s">
        <v>359</v>
      </c>
      <c r="D315" s="195" t="s">
        <v>311</v>
      </c>
      <c r="E315" s="140" t="s">
        <v>51</v>
      </c>
      <c r="F315" s="157">
        <v>4</v>
      </c>
      <c r="G315" s="143">
        <v>25</v>
      </c>
      <c r="H315" s="196">
        <f t="shared" si="4"/>
        <v>100</v>
      </c>
    </row>
    <row r="316" spans="1:8" ht="15.6" x14ac:dyDescent="0.3">
      <c r="A316" s="132">
        <v>1231</v>
      </c>
      <c r="B316" s="141">
        <v>45813</v>
      </c>
      <c r="C316" s="142" t="s">
        <v>359</v>
      </c>
      <c r="D316" s="195" t="s">
        <v>313</v>
      </c>
      <c r="E316" s="140" t="s">
        <v>80</v>
      </c>
      <c r="F316" s="157">
        <v>4</v>
      </c>
      <c r="G316" s="143">
        <v>21</v>
      </c>
      <c r="H316" s="196">
        <f t="shared" si="4"/>
        <v>84</v>
      </c>
    </row>
    <row r="317" spans="1:8" ht="15.6" x14ac:dyDescent="0.3">
      <c r="A317" s="132">
        <v>1231</v>
      </c>
      <c r="B317" s="141">
        <v>45813</v>
      </c>
      <c r="C317" s="142" t="s">
        <v>359</v>
      </c>
      <c r="D317" s="140" t="s">
        <v>356</v>
      </c>
      <c r="E317" s="140" t="s">
        <v>321</v>
      </c>
      <c r="F317" s="157">
        <v>2</v>
      </c>
      <c r="G317" s="143">
        <v>78</v>
      </c>
      <c r="H317" s="196">
        <f t="shared" si="4"/>
        <v>156</v>
      </c>
    </row>
    <row r="318" spans="1:8" ht="15.6" x14ac:dyDescent="0.3">
      <c r="A318" s="132">
        <v>183</v>
      </c>
      <c r="B318" s="131">
        <v>45818</v>
      </c>
      <c r="C318" s="130" t="s">
        <v>373</v>
      </c>
      <c r="D318" s="132" t="s">
        <v>311</v>
      </c>
      <c r="E318" s="132" t="s">
        <v>51</v>
      </c>
      <c r="F318" s="132">
        <v>3</v>
      </c>
      <c r="G318" s="133">
        <v>25</v>
      </c>
      <c r="H318" s="196">
        <f t="shared" si="4"/>
        <v>75</v>
      </c>
    </row>
    <row r="319" spans="1:8" ht="15.6" x14ac:dyDescent="0.3">
      <c r="A319" s="132">
        <v>183</v>
      </c>
      <c r="B319" s="131">
        <v>45818</v>
      </c>
      <c r="C319" s="130" t="s">
        <v>373</v>
      </c>
      <c r="D319" s="132" t="s">
        <v>318</v>
      </c>
      <c r="E319" s="132" t="s">
        <v>190</v>
      </c>
      <c r="F319" s="132">
        <v>1</v>
      </c>
      <c r="G319" s="133">
        <v>65</v>
      </c>
      <c r="H319" s="196">
        <f t="shared" si="4"/>
        <v>65</v>
      </c>
    </row>
    <row r="320" spans="1:8" ht="15.6" x14ac:dyDescent="0.3">
      <c r="A320" s="132">
        <v>183</v>
      </c>
      <c r="B320" s="131">
        <v>45818</v>
      </c>
      <c r="C320" s="130" t="s">
        <v>373</v>
      </c>
      <c r="D320" s="132" t="s">
        <v>313</v>
      </c>
      <c r="E320" s="132" t="s">
        <v>80</v>
      </c>
      <c r="F320" s="132">
        <v>3</v>
      </c>
      <c r="G320" s="133">
        <v>21</v>
      </c>
      <c r="H320" s="196">
        <f t="shared" si="4"/>
        <v>63</v>
      </c>
    </row>
    <row r="321" spans="1:8" ht="15.6" x14ac:dyDescent="0.3">
      <c r="A321" s="132">
        <v>183</v>
      </c>
      <c r="B321" s="131">
        <v>45818</v>
      </c>
      <c r="C321" s="130" t="s">
        <v>373</v>
      </c>
      <c r="D321" s="132" t="s">
        <v>356</v>
      </c>
      <c r="E321" s="132" t="s">
        <v>321</v>
      </c>
      <c r="F321" s="132">
        <v>2</v>
      </c>
      <c r="G321" s="133">
        <v>85</v>
      </c>
      <c r="H321" s="196">
        <f t="shared" si="4"/>
        <v>170</v>
      </c>
    </row>
    <row r="322" spans="1:8" ht="15.6" x14ac:dyDescent="0.3">
      <c r="A322" s="132">
        <v>183</v>
      </c>
      <c r="B322" s="131">
        <v>45818</v>
      </c>
      <c r="C322" s="130" t="s">
        <v>373</v>
      </c>
      <c r="D322" s="132" t="s">
        <v>374</v>
      </c>
      <c r="E322" s="132" t="s">
        <v>74</v>
      </c>
      <c r="F322" s="132">
        <v>4</v>
      </c>
      <c r="G322" s="133">
        <v>47.5</v>
      </c>
      <c r="H322" s="196">
        <f t="shared" si="4"/>
        <v>190</v>
      </c>
    </row>
    <row r="323" spans="1:8" ht="15.6" x14ac:dyDescent="0.3">
      <c r="A323" s="132">
        <v>183</v>
      </c>
      <c r="B323" s="131">
        <v>45818</v>
      </c>
      <c r="C323" s="130" t="s">
        <v>373</v>
      </c>
      <c r="D323" s="132" t="s">
        <v>328</v>
      </c>
      <c r="E323" s="132" t="s">
        <v>190</v>
      </c>
      <c r="F323" s="132">
        <v>1</v>
      </c>
      <c r="G323" s="133">
        <v>75</v>
      </c>
      <c r="H323" s="196">
        <f t="shared" si="4"/>
        <v>75</v>
      </c>
    </row>
    <row r="324" spans="1:8" ht="15.6" x14ac:dyDescent="0.3">
      <c r="A324" s="132">
        <v>1233</v>
      </c>
      <c r="B324" s="141">
        <v>45819</v>
      </c>
      <c r="C324" s="195" t="s">
        <v>337</v>
      </c>
      <c r="D324" s="195" t="s">
        <v>308</v>
      </c>
      <c r="E324" s="142" t="s">
        <v>354</v>
      </c>
      <c r="F324" s="157">
        <v>12</v>
      </c>
      <c r="G324" s="143">
        <v>36.75</v>
      </c>
      <c r="H324" s="196">
        <f t="shared" si="4"/>
        <v>441</v>
      </c>
    </row>
    <row r="325" spans="1:8" ht="15.6" x14ac:dyDescent="0.3">
      <c r="A325" s="132">
        <v>1233</v>
      </c>
      <c r="B325" s="141">
        <v>45819</v>
      </c>
      <c r="C325" s="195" t="s">
        <v>337</v>
      </c>
      <c r="D325" s="195" t="s">
        <v>301</v>
      </c>
      <c r="E325" s="140" t="s">
        <v>74</v>
      </c>
      <c r="F325" s="157">
        <v>2</v>
      </c>
      <c r="G325" s="143">
        <v>36.75</v>
      </c>
      <c r="H325" s="196">
        <f t="shared" ref="H325:H388" si="5">G325*F325</f>
        <v>73.5</v>
      </c>
    </row>
    <row r="326" spans="1:8" ht="15.6" x14ac:dyDescent="0.3">
      <c r="A326" s="132">
        <v>1233</v>
      </c>
      <c r="B326" s="141">
        <v>45819</v>
      </c>
      <c r="C326" s="195" t="s">
        <v>337</v>
      </c>
      <c r="D326" s="195" t="s">
        <v>311</v>
      </c>
      <c r="E326" s="140" t="s">
        <v>51</v>
      </c>
      <c r="F326" s="157">
        <v>10</v>
      </c>
      <c r="G326" s="143">
        <v>25</v>
      </c>
      <c r="H326" s="196">
        <f t="shared" si="5"/>
        <v>250</v>
      </c>
    </row>
    <row r="327" spans="1:8" ht="15.6" x14ac:dyDescent="0.3">
      <c r="A327" s="132">
        <v>1233</v>
      </c>
      <c r="B327" s="141">
        <v>45819</v>
      </c>
      <c r="C327" s="195" t="s">
        <v>337</v>
      </c>
      <c r="D327" s="195" t="s">
        <v>313</v>
      </c>
      <c r="E327" s="140" t="s">
        <v>80</v>
      </c>
      <c r="F327" s="157">
        <v>3</v>
      </c>
      <c r="G327" s="143">
        <v>21</v>
      </c>
      <c r="H327" s="196">
        <f t="shared" si="5"/>
        <v>63</v>
      </c>
    </row>
    <row r="328" spans="1:8" ht="15.6" x14ac:dyDescent="0.3">
      <c r="A328" s="132">
        <v>1234</v>
      </c>
      <c r="B328" s="141">
        <v>45824</v>
      </c>
      <c r="C328" s="142" t="s">
        <v>375</v>
      </c>
      <c r="D328" s="195" t="s">
        <v>307</v>
      </c>
      <c r="E328" s="140" t="s">
        <v>74</v>
      </c>
      <c r="F328" s="157">
        <v>12</v>
      </c>
      <c r="G328" s="143">
        <v>47.5</v>
      </c>
      <c r="H328" s="196">
        <f t="shared" si="5"/>
        <v>570</v>
      </c>
    </row>
    <row r="329" spans="1:8" ht="15.6" x14ac:dyDescent="0.3">
      <c r="A329" s="132">
        <v>1234</v>
      </c>
      <c r="B329" s="141">
        <v>45824</v>
      </c>
      <c r="C329" s="142" t="s">
        <v>375</v>
      </c>
      <c r="D329" s="195" t="s">
        <v>311</v>
      </c>
      <c r="E329" s="140" t="s">
        <v>51</v>
      </c>
      <c r="F329" s="157">
        <v>8</v>
      </c>
      <c r="G329" s="143">
        <v>25</v>
      </c>
      <c r="H329" s="196">
        <f t="shared" si="5"/>
        <v>200</v>
      </c>
    </row>
    <row r="330" spans="1:8" ht="15.6" x14ac:dyDescent="0.3">
      <c r="A330" s="132">
        <v>1234</v>
      </c>
      <c r="B330" s="141">
        <v>45824</v>
      </c>
      <c r="C330" s="142" t="s">
        <v>375</v>
      </c>
      <c r="D330" s="195" t="s">
        <v>313</v>
      </c>
      <c r="E330" s="140" t="s">
        <v>80</v>
      </c>
      <c r="F330" s="157">
        <v>4</v>
      </c>
      <c r="G330" s="143">
        <v>21</v>
      </c>
      <c r="H330" s="196">
        <f t="shared" si="5"/>
        <v>84</v>
      </c>
    </row>
    <row r="331" spans="1:8" ht="15.6" x14ac:dyDescent="0.3">
      <c r="A331" s="132">
        <v>1234</v>
      </c>
      <c r="B331" s="141">
        <v>45824</v>
      </c>
      <c r="C331" s="142" t="s">
        <v>375</v>
      </c>
      <c r="D331" s="142" t="s">
        <v>339</v>
      </c>
      <c r="E331" s="142" t="s">
        <v>340</v>
      </c>
      <c r="F331" s="157">
        <v>2</v>
      </c>
      <c r="G331" s="143">
        <v>65</v>
      </c>
      <c r="H331" s="196">
        <f t="shared" si="5"/>
        <v>130</v>
      </c>
    </row>
    <row r="332" spans="1:8" ht="15.6" x14ac:dyDescent="0.3">
      <c r="A332" s="132">
        <v>1236</v>
      </c>
      <c r="B332" s="141">
        <v>45826</v>
      </c>
      <c r="C332" s="142" t="s">
        <v>376</v>
      </c>
      <c r="D332" s="195" t="s">
        <v>311</v>
      </c>
      <c r="E332" s="140" t="s">
        <v>51</v>
      </c>
      <c r="F332" s="157">
        <v>14</v>
      </c>
      <c r="G332" s="143">
        <v>25</v>
      </c>
      <c r="H332" s="196">
        <f t="shared" si="5"/>
        <v>350</v>
      </c>
    </row>
    <row r="333" spans="1:8" ht="15.6" x14ac:dyDescent="0.3">
      <c r="A333" s="132">
        <v>1236</v>
      </c>
      <c r="B333" s="141">
        <v>45826</v>
      </c>
      <c r="C333" s="142" t="s">
        <v>376</v>
      </c>
      <c r="D333" s="195" t="s">
        <v>301</v>
      </c>
      <c r="E333" s="140" t="s">
        <v>74</v>
      </c>
      <c r="F333" s="157">
        <v>16</v>
      </c>
      <c r="G333" s="143">
        <v>36.75</v>
      </c>
      <c r="H333" s="196">
        <f t="shared" si="5"/>
        <v>588</v>
      </c>
    </row>
    <row r="334" spans="1:8" ht="15.6" x14ac:dyDescent="0.3">
      <c r="A334" s="132">
        <v>1236</v>
      </c>
      <c r="B334" s="141">
        <v>45826</v>
      </c>
      <c r="C334" s="142" t="s">
        <v>376</v>
      </c>
      <c r="D334" s="140" t="s">
        <v>356</v>
      </c>
      <c r="E334" s="140" t="s">
        <v>321</v>
      </c>
      <c r="F334" s="157">
        <v>10</v>
      </c>
      <c r="G334" s="143">
        <v>85</v>
      </c>
      <c r="H334" s="196">
        <f t="shared" si="5"/>
        <v>850</v>
      </c>
    </row>
    <row r="335" spans="1:8" ht="15.6" x14ac:dyDescent="0.3">
      <c r="A335" s="132">
        <v>1236</v>
      </c>
      <c r="B335" s="141">
        <v>45826</v>
      </c>
      <c r="C335" s="142" t="s">
        <v>376</v>
      </c>
      <c r="D335" s="142" t="s">
        <v>339</v>
      </c>
      <c r="E335" s="142" t="s">
        <v>340</v>
      </c>
      <c r="F335" s="157">
        <v>2</v>
      </c>
      <c r="G335" s="143">
        <v>65</v>
      </c>
      <c r="H335" s="196">
        <f t="shared" si="5"/>
        <v>130</v>
      </c>
    </row>
    <row r="336" spans="1:8" ht="15.6" x14ac:dyDescent="0.3">
      <c r="A336" s="132">
        <v>1235</v>
      </c>
      <c r="B336" s="141">
        <v>45826</v>
      </c>
      <c r="C336" s="142" t="s">
        <v>377</v>
      </c>
      <c r="D336" s="195" t="s">
        <v>313</v>
      </c>
      <c r="E336" s="140" t="s">
        <v>80</v>
      </c>
      <c r="F336" s="157">
        <v>3</v>
      </c>
      <c r="G336" s="143">
        <v>16</v>
      </c>
      <c r="H336" s="196">
        <f t="shared" si="5"/>
        <v>48</v>
      </c>
    </row>
    <row r="337" spans="1:8" ht="15.6" x14ac:dyDescent="0.3">
      <c r="A337" s="132">
        <v>1235</v>
      </c>
      <c r="B337" s="141">
        <v>45826</v>
      </c>
      <c r="C337" s="142" t="s">
        <v>377</v>
      </c>
      <c r="D337" s="195" t="s">
        <v>301</v>
      </c>
      <c r="E337" s="140" t="s">
        <v>74</v>
      </c>
      <c r="F337" s="157">
        <v>1</v>
      </c>
      <c r="G337" s="143">
        <v>36.75</v>
      </c>
      <c r="H337" s="196">
        <f t="shared" si="5"/>
        <v>36.75</v>
      </c>
    </row>
    <row r="338" spans="1:8" ht="15.6" x14ac:dyDescent="0.3">
      <c r="A338" s="132">
        <v>1235</v>
      </c>
      <c r="B338" s="141">
        <v>45826</v>
      </c>
      <c r="C338" s="142" t="s">
        <v>377</v>
      </c>
      <c r="D338" s="195" t="s">
        <v>308</v>
      </c>
      <c r="E338" s="140" t="s">
        <v>354</v>
      </c>
      <c r="F338" s="157">
        <v>2</v>
      </c>
      <c r="G338" s="143">
        <v>36.75</v>
      </c>
      <c r="H338" s="196">
        <f t="shared" si="5"/>
        <v>73.5</v>
      </c>
    </row>
    <row r="339" spans="1:8" ht="15.6" x14ac:dyDescent="0.3">
      <c r="A339" s="132">
        <v>1235</v>
      </c>
      <c r="B339" s="141">
        <v>45826</v>
      </c>
      <c r="C339" s="142" t="s">
        <v>377</v>
      </c>
      <c r="D339" s="195" t="s">
        <v>318</v>
      </c>
      <c r="E339" s="140" t="s">
        <v>78</v>
      </c>
      <c r="F339" s="157">
        <v>1</v>
      </c>
      <c r="G339" s="143">
        <v>65</v>
      </c>
      <c r="H339" s="196">
        <f t="shared" si="5"/>
        <v>65</v>
      </c>
    </row>
    <row r="340" spans="1:8" ht="15.6" x14ac:dyDescent="0.3">
      <c r="A340" s="132">
        <v>1235</v>
      </c>
      <c r="B340" s="141">
        <v>45826</v>
      </c>
      <c r="C340" s="142" t="s">
        <v>377</v>
      </c>
      <c r="D340" s="140" t="s">
        <v>356</v>
      </c>
      <c r="E340" s="140" t="s">
        <v>321</v>
      </c>
      <c r="F340" s="157">
        <v>2</v>
      </c>
      <c r="G340" s="143">
        <v>85</v>
      </c>
      <c r="H340" s="196">
        <f t="shared" si="5"/>
        <v>170</v>
      </c>
    </row>
    <row r="341" spans="1:8" ht="15.6" x14ac:dyDescent="0.3">
      <c r="A341" s="132">
        <v>195</v>
      </c>
      <c r="B341" s="141">
        <v>45839</v>
      </c>
      <c r="C341" s="142" t="s">
        <v>378</v>
      </c>
      <c r="D341" s="195" t="s">
        <v>311</v>
      </c>
      <c r="E341" s="140" t="s">
        <v>51</v>
      </c>
      <c r="F341" s="157">
        <v>10</v>
      </c>
      <c r="G341" s="143">
        <v>25</v>
      </c>
      <c r="H341" s="196">
        <f t="shared" si="5"/>
        <v>250</v>
      </c>
    </row>
    <row r="342" spans="1:8" ht="15.6" x14ac:dyDescent="0.3">
      <c r="A342" s="132">
        <v>195</v>
      </c>
      <c r="B342" s="141">
        <v>45839</v>
      </c>
      <c r="C342" s="142" t="s">
        <v>378</v>
      </c>
      <c r="D342" s="195" t="s">
        <v>313</v>
      </c>
      <c r="E342" s="140" t="s">
        <v>80</v>
      </c>
      <c r="F342" s="157">
        <v>5</v>
      </c>
      <c r="G342" s="143">
        <v>21</v>
      </c>
      <c r="H342" s="196">
        <f t="shared" si="5"/>
        <v>105</v>
      </c>
    </row>
    <row r="343" spans="1:8" ht="15.6" x14ac:dyDescent="0.3">
      <c r="A343" s="132">
        <v>195</v>
      </c>
      <c r="B343" s="141">
        <v>45839</v>
      </c>
      <c r="C343" s="142" t="s">
        <v>378</v>
      </c>
      <c r="D343" s="195" t="s">
        <v>308</v>
      </c>
      <c r="E343" s="140" t="s">
        <v>354</v>
      </c>
      <c r="F343" s="157">
        <v>9</v>
      </c>
      <c r="G343" s="143">
        <v>36.75</v>
      </c>
      <c r="H343" s="196">
        <f t="shared" si="5"/>
        <v>330.75</v>
      </c>
    </row>
    <row r="344" spans="1:8" ht="15.6" x14ac:dyDescent="0.3">
      <c r="A344" s="132">
        <v>195</v>
      </c>
      <c r="B344" s="141">
        <v>45839</v>
      </c>
      <c r="C344" s="142" t="s">
        <v>378</v>
      </c>
      <c r="D344" s="195" t="s">
        <v>301</v>
      </c>
      <c r="E344" s="140" t="s">
        <v>74</v>
      </c>
      <c r="F344" s="157">
        <v>4</v>
      </c>
      <c r="G344" s="143">
        <v>36.75</v>
      </c>
      <c r="H344" s="196">
        <f t="shared" si="5"/>
        <v>147</v>
      </c>
    </row>
    <row r="345" spans="1:8" ht="15.6" x14ac:dyDescent="0.3">
      <c r="A345" s="132">
        <v>195</v>
      </c>
      <c r="B345" s="141">
        <v>45839</v>
      </c>
      <c r="C345" s="142" t="s">
        <v>378</v>
      </c>
      <c r="D345" s="142" t="s">
        <v>339</v>
      </c>
      <c r="E345" s="142" t="s">
        <v>340</v>
      </c>
      <c r="F345" s="157">
        <v>2</v>
      </c>
      <c r="G345" s="143">
        <v>65</v>
      </c>
      <c r="H345" s="196">
        <f t="shared" si="5"/>
        <v>130</v>
      </c>
    </row>
    <row r="346" spans="1:8" ht="15.6" x14ac:dyDescent="0.3">
      <c r="A346" s="132">
        <v>195</v>
      </c>
      <c r="B346" s="141">
        <v>45839</v>
      </c>
      <c r="C346" s="142" t="s">
        <v>378</v>
      </c>
      <c r="D346" s="140" t="s">
        <v>328</v>
      </c>
      <c r="E346" s="140" t="s">
        <v>78</v>
      </c>
      <c r="F346" s="157">
        <v>4</v>
      </c>
      <c r="G346" s="143">
        <v>75</v>
      </c>
      <c r="H346" s="196">
        <f t="shared" si="5"/>
        <v>300</v>
      </c>
    </row>
    <row r="347" spans="1:8" ht="15.6" x14ac:dyDescent="0.3">
      <c r="A347" s="132">
        <v>1237</v>
      </c>
      <c r="B347" s="141">
        <v>45842</v>
      </c>
      <c r="C347" s="142" t="s">
        <v>375</v>
      </c>
      <c r="D347" s="195" t="s">
        <v>301</v>
      </c>
      <c r="E347" s="140" t="s">
        <v>74</v>
      </c>
      <c r="F347" s="157">
        <v>28</v>
      </c>
      <c r="G347" s="143">
        <v>36.75</v>
      </c>
      <c r="H347" s="196">
        <f t="shared" si="5"/>
        <v>1029</v>
      </c>
    </row>
    <row r="348" spans="1:8" ht="15.6" x14ac:dyDescent="0.3">
      <c r="A348" s="132">
        <v>1237</v>
      </c>
      <c r="B348" s="141">
        <v>45842</v>
      </c>
      <c r="C348" s="142" t="s">
        <v>375</v>
      </c>
      <c r="D348" s="195" t="s">
        <v>311</v>
      </c>
      <c r="E348" s="140" t="s">
        <v>51</v>
      </c>
      <c r="F348" s="157">
        <v>14</v>
      </c>
      <c r="G348" s="143">
        <v>25</v>
      </c>
      <c r="H348" s="196">
        <f t="shared" si="5"/>
        <v>350</v>
      </c>
    </row>
    <row r="349" spans="1:8" ht="15.6" x14ac:dyDescent="0.3">
      <c r="A349" s="132">
        <v>1237</v>
      </c>
      <c r="B349" s="141">
        <v>45842</v>
      </c>
      <c r="C349" s="142" t="s">
        <v>375</v>
      </c>
      <c r="D349" s="195" t="s">
        <v>313</v>
      </c>
      <c r="E349" s="140" t="s">
        <v>80</v>
      </c>
      <c r="F349" s="157">
        <v>12</v>
      </c>
      <c r="G349" s="143">
        <v>21</v>
      </c>
      <c r="H349" s="196">
        <f t="shared" si="5"/>
        <v>252</v>
      </c>
    </row>
    <row r="350" spans="1:8" ht="15.6" x14ac:dyDescent="0.3">
      <c r="A350" s="132">
        <v>1237</v>
      </c>
      <c r="B350" s="141">
        <v>45842</v>
      </c>
      <c r="C350" s="142" t="s">
        <v>375</v>
      </c>
      <c r="D350" s="142" t="s">
        <v>339</v>
      </c>
      <c r="E350" s="142" t="s">
        <v>340</v>
      </c>
      <c r="F350" s="157">
        <v>6</v>
      </c>
      <c r="G350" s="143">
        <v>65</v>
      </c>
      <c r="H350" s="196">
        <f t="shared" si="5"/>
        <v>390</v>
      </c>
    </row>
    <row r="351" spans="1:8" ht="15.6" x14ac:dyDescent="0.3">
      <c r="A351" s="132">
        <v>1237</v>
      </c>
      <c r="B351" s="141">
        <v>45842</v>
      </c>
      <c r="C351" s="142" t="s">
        <v>375</v>
      </c>
      <c r="D351" s="195" t="s">
        <v>307</v>
      </c>
      <c r="E351" s="140" t="s">
        <v>74</v>
      </c>
      <c r="F351" s="157">
        <v>34</v>
      </c>
      <c r="G351" s="143">
        <v>47.5</v>
      </c>
      <c r="H351" s="196">
        <f t="shared" si="5"/>
        <v>1615</v>
      </c>
    </row>
    <row r="352" spans="1:8" ht="15.6" x14ac:dyDescent="0.3">
      <c r="A352" s="132">
        <v>198</v>
      </c>
      <c r="B352" s="141">
        <v>45845</v>
      </c>
      <c r="C352" s="142" t="s">
        <v>317</v>
      </c>
      <c r="D352" s="142" t="s">
        <v>339</v>
      </c>
      <c r="E352" s="142" t="s">
        <v>340</v>
      </c>
      <c r="F352" s="157">
        <v>3</v>
      </c>
      <c r="G352" s="143">
        <v>65</v>
      </c>
      <c r="H352" s="196">
        <f t="shared" si="5"/>
        <v>195</v>
      </c>
    </row>
    <row r="353" spans="1:8" ht="15.6" x14ac:dyDescent="0.3">
      <c r="A353" s="132">
        <v>198</v>
      </c>
      <c r="B353" s="141">
        <v>45845</v>
      </c>
      <c r="C353" s="142" t="s">
        <v>317</v>
      </c>
      <c r="D353" s="195" t="s">
        <v>311</v>
      </c>
      <c r="E353" s="140" t="s">
        <v>51</v>
      </c>
      <c r="F353" s="157">
        <v>5</v>
      </c>
      <c r="G353" s="143">
        <v>25</v>
      </c>
      <c r="H353" s="196">
        <f t="shared" si="5"/>
        <v>125</v>
      </c>
    </row>
    <row r="354" spans="1:8" ht="15.6" x14ac:dyDescent="0.3">
      <c r="A354" s="132">
        <v>200</v>
      </c>
      <c r="B354" s="141">
        <v>45853</v>
      </c>
      <c r="C354" s="142" t="s">
        <v>379</v>
      </c>
      <c r="D354" s="195" t="s">
        <v>311</v>
      </c>
      <c r="E354" s="140" t="s">
        <v>51</v>
      </c>
      <c r="F354" s="157">
        <v>4</v>
      </c>
      <c r="G354" s="143">
        <v>25</v>
      </c>
      <c r="H354" s="196">
        <f t="shared" si="5"/>
        <v>100</v>
      </c>
    </row>
    <row r="355" spans="1:8" ht="15.6" x14ac:dyDescent="0.3">
      <c r="A355" s="132">
        <v>200</v>
      </c>
      <c r="B355" s="141">
        <v>45853</v>
      </c>
      <c r="C355" s="142" t="s">
        <v>379</v>
      </c>
      <c r="D355" s="195" t="s">
        <v>313</v>
      </c>
      <c r="E355" s="140" t="s">
        <v>80</v>
      </c>
      <c r="F355" s="157">
        <v>4</v>
      </c>
      <c r="G355" s="143">
        <v>21</v>
      </c>
      <c r="H355" s="196">
        <f t="shared" si="5"/>
        <v>84</v>
      </c>
    </row>
    <row r="356" spans="1:8" ht="15.6" x14ac:dyDescent="0.3">
      <c r="A356" s="132">
        <v>200</v>
      </c>
      <c r="B356" s="141">
        <v>45853</v>
      </c>
      <c r="C356" s="142" t="s">
        <v>379</v>
      </c>
      <c r="D356" s="195" t="s">
        <v>308</v>
      </c>
      <c r="E356" s="140" t="s">
        <v>354</v>
      </c>
      <c r="F356" s="157">
        <v>4</v>
      </c>
      <c r="G356" s="143">
        <v>36.75</v>
      </c>
      <c r="H356" s="196">
        <f t="shared" si="5"/>
        <v>147</v>
      </c>
    </row>
    <row r="357" spans="1:8" ht="15.6" x14ac:dyDescent="0.3">
      <c r="A357" s="132">
        <v>200</v>
      </c>
      <c r="B357" s="141">
        <v>45853</v>
      </c>
      <c r="C357" s="142" t="s">
        <v>379</v>
      </c>
      <c r="D357" s="195" t="s">
        <v>301</v>
      </c>
      <c r="E357" s="140" t="s">
        <v>74</v>
      </c>
      <c r="F357" s="157">
        <v>1</v>
      </c>
      <c r="G357" s="143">
        <v>36.75</v>
      </c>
      <c r="H357" s="196">
        <f t="shared" si="5"/>
        <v>36.75</v>
      </c>
    </row>
    <row r="358" spans="1:8" ht="15.6" x14ac:dyDescent="0.3">
      <c r="A358" s="132">
        <v>200</v>
      </c>
      <c r="B358" s="141">
        <v>45853</v>
      </c>
      <c r="C358" s="142" t="s">
        <v>379</v>
      </c>
      <c r="D358" s="142" t="s">
        <v>339</v>
      </c>
      <c r="E358" s="142" t="s">
        <v>340</v>
      </c>
      <c r="F358" s="157">
        <v>1</v>
      </c>
      <c r="G358" s="143">
        <v>65</v>
      </c>
      <c r="H358" s="196">
        <f t="shared" si="5"/>
        <v>65</v>
      </c>
    </row>
    <row r="359" spans="1:8" ht="15.6" x14ac:dyDescent="0.3">
      <c r="A359" s="132">
        <v>1238</v>
      </c>
      <c r="B359" s="141">
        <v>45853</v>
      </c>
      <c r="C359" s="142" t="s">
        <v>376</v>
      </c>
      <c r="D359" s="195" t="s">
        <v>311</v>
      </c>
      <c r="E359" s="140" t="s">
        <v>51</v>
      </c>
      <c r="F359" s="157">
        <v>12</v>
      </c>
      <c r="G359" s="143">
        <v>25</v>
      </c>
      <c r="H359" s="196">
        <f t="shared" si="5"/>
        <v>300</v>
      </c>
    </row>
    <row r="360" spans="1:8" ht="15.6" x14ac:dyDescent="0.3">
      <c r="A360" s="132">
        <v>1238</v>
      </c>
      <c r="B360" s="141">
        <v>45853</v>
      </c>
      <c r="C360" s="142" t="s">
        <v>376</v>
      </c>
      <c r="D360" s="195" t="s">
        <v>301</v>
      </c>
      <c r="E360" s="140" t="s">
        <v>74</v>
      </c>
      <c r="F360" s="157">
        <v>27</v>
      </c>
      <c r="G360" s="143">
        <v>36.75</v>
      </c>
      <c r="H360" s="196">
        <f t="shared" si="5"/>
        <v>992.25</v>
      </c>
    </row>
    <row r="361" spans="1:8" ht="15.6" x14ac:dyDescent="0.3">
      <c r="A361" s="132">
        <v>1239</v>
      </c>
      <c r="B361" s="141">
        <v>45854</v>
      </c>
      <c r="C361" s="142" t="s">
        <v>380</v>
      </c>
      <c r="D361" s="140" t="s">
        <v>356</v>
      </c>
      <c r="E361" s="140" t="s">
        <v>321</v>
      </c>
      <c r="F361" s="157">
        <v>5</v>
      </c>
      <c r="G361" s="143">
        <v>85</v>
      </c>
      <c r="H361" s="196">
        <f t="shared" si="5"/>
        <v>425</v>
      </c>
    </row>
    <row r="362" spans="1:8" ht="15.6" x14ac:dyDescent="0.3">
      <c r="A362" s="132">
        <v>1239</v>
      </c>
      <c r="B362" s="141">
        <v>45854</v>
      </c>
      <c r="C362" s="142" t="s">
        <v>380</v>
      </c>
      <c r="D362" s="140" t="s">
        <v>328</v>
      </c>
      <c r="E362" s="140" t="s">
        <v>78</v>
      </c>
      <c r="F362" s="157">
        <v>1</v>
      </c>
      <c r="G362" s="143">
        <v>75</v>
      </c>
      <c r="H362" s="196">
        <f t="shared" si="5"/>
        <v>75</v>
      </c>
    </row>
    <row r="363" spans="1:8" ht="15.6" x14ac:dyDescent="0.3">
      <c r="A363" s="132">
        <v>1239</v>
      </c>
      <c r="B363" s="141">
        <v>45854</v>
      </c>
      <c r="C363" s="142" t="s">
        <v>380</v>
      </c>
      <c r="D363" s="142" t="s">
        <v>339</v>
      </c>
      <c r="E363" s="142" t="s">
        <v>340</v>
      </c>
      <c r="F363" s="157">
        <v>2</v>
      </c>
      <c r="G363" s="143">
        <v>65</v>
      </c>
      <c r="H363" s="196">
        <f t="shared" si="5"/>
        <v>130</v>
      </c>
    </row>
    <row r="364" spans="1:8" ht="15.6" x14ac:dyDescent="0.3">
      <c r="A364" s="132">
        <v>861</v>
      </c>
      <c r="B364" s="141">
        <v>45854</v>
      </c>
      <c r="C364" s="195" t="s">
        <v>312</v>
      </c>
      <c r="D364" s="195" t="s">
        <v>301</v>
      </c>
      <c r="E364" s="140" t="s">
        <v>74</v>
      </c>
      <c r="F364" s="157">
        <v>24</v>
      </c>
      <c r="G364" s="143">
        <v>36.75</v>
      </c>
      <c r="H364" s="196">
        <f t="shared" si="5"/>
        <v>882</v>
      </c>
    </row>
    <row r="365" spans="1:8" ht="15.6" x14ac:dyDescent="0.3">
      <c r="A365" s="132">
        <v>861</v>
      </c>
      <c r="B365" s="141">
        <v>45854</v>
      </c>
      <c r="C365" s="195" t="s">
        <v>312</v>
      </c>
      <c r="D365" s="195" t="s">
        <v>307</v>
      </c>
      <c r="E365" s="140" t="s">
        <v>74</v>
      </c>
      <c r="F365" s="157">
        <v>8</v>
      </c>
      <c r="G365" s="143">
        <v>55</v>
      </c>
      <c r="H365" s="196">
        <f t="shared" si="5"/>
        <v>440</v>
      </c>
    </row>
    <row r="366" spans="1:8" ht="15.6" x14ac:dyDescent="0.3">
      <c r="A366" s="132">
        <v>868</v>
      </c>
      <c r="B366" s="141">
        <v>45859</v>
      </c>
      <c r="C366" s="142" t="s">
        <v>381</v>
      </c>
      <c r="D366" s="195" t="s">
        <v>301</v>
      </c>
      <c r="E366" s="140" t="s">
        <v>74</v>
      </c>
      <c r="F366" s="157">
        <v>13</v>
      </c>
      <c r="G366" s="143">
        <v>36.75</v>
      </c>
      <c r="H366" s="196">
        <f t="shared" si="5"/>
        <v>477.75</v>
      </c>
    </row>
    <row r="367" spans="1:8" ht="15.6" x14ac:dyDescent="0.3">
      <c r="A367" s="132">
        <v>868</v>
      </c>
      <c r="B367" s="141">
        <v>45859</v>
      </c>
      <c r="C367" s="142" t="s">
        <v>381</v>
      </c>
      <c r="D367" s="142" t="s">
        <v>368</v>
      </c>
      <c r="E367" s="140" t="s">
        <v>74</v>
      </c>
      <c r="F367" s="157">
        <v>2</v>
      </c>
      <c r="G367" s="143">
        <v>45</v>
      </c>
      <c r="H367" s="196">
        <f t="shared" si="5"/>
        <v>90</v>
      </c>
    </row>
    <row r="368" spans="1:8" ht="15.6" x14ac:dyDescent="0.3">
      <c r="A368" s="132">
        <v>868</v>
      </c>
      <c r="B368" s="141">
        <v>45859</v>
      </c>
      <c r="C368" s="142" t="s">
        <v>381</v>
      </c>
      <c r="D368" s="195" t="s">
        <v>311</v>
      </c>
      <c r="E368" s="140" t="s">
        <v>51</v>
      </c>
      <c r="F368" s="157">
        <v>4</v>
      </c>
      <c r="G368" s="143">
        <v>25</v>
      </c>
      <c r="H368" s="196">
        <f t="shared" si="5"/>
        <v>100</v>
      </c>
    </row>
    <row r="369" spans="1:8" ht="15.6" x14ac:dyDescent="0.3">
      <c r="A369" s="132">
        <v>868</v>
      </c>
      <c r="B369" s="141">
        <v>45859</v>
      </c>
      <c r="C369" s="142" t="s">
        <v>381</v>
      </c>
      <c r="D369" s="195" t="s">
        <v>313</v>
      </c>
      <c r="E369" s="140" t="s">
        <v>80</v>
      </c>
      <c r="F369" s="157">
        <v>3</v>
      </c>
      <c r="G369" s="143">
        <v>21</v>
      </c>
      <c r="H369" s="196">
        <f t="shared" si="5"/>
        <v>63</v>
      </c>
    </row>
    <row r="370" spans="1:8" ht="15.6" x14ac:dyDescent="0.3">
      <c r="A370" s="132">
        <v>203</v>
      </c>
      <c r="B370" s="141">
        <v>45863</v>
      </c>
      <c r="C370" s="142" t="s">
        <v>382</v>
      </c>
      <c r="D370" s="195" t="s">
        <v>311</v>
      </c>
      <c r="E370" s="140" t="s">
        <v>51</v>
      </c>
      <c r="F370" s="157">
        <v>18</v>
      </c>
      <c r="G370" s="143">
        <v>25</v>
      </c>
      <c r="H370" s="196">
        <f t="shared" si="5"/>
        <v>450</v>
      </c>
    </row>
    <row r="371" spans="1:8" ht="15.6" x14ac:dyDescent="0.3">
      <c r="A371" s="132">
        <v>203</v>
      </c>
      <c r="B371" s="141">
        <v>45863</v>
      </c>
      <c r="C371" s="142" t="s">
        <v>382</v>
      </c>
      <c r="D371" s="195" t="s">
        <v>308</v>
      </c>
      <c r="E371" s="140" t="s">
        <v>354</v>
      </c>
      <c r="F371" s="157">
        <v>42</v>
      </c>
      <c r="G371" s="143">
        <v>36.75</v>
      </c>
      <c r="H371" s="196">
        <f t="shared" si="5"/>
        <v>1543.5</v>
      </c>
    </row>
    <row r="372" spans="1:8" ht="15.6" x14ac:dyDescent="0.3">
      <c r="A372" s="132">
        <v>203</v>
      </c>
      <c r="B372" s="141">
        <v>45863</v>
      </c>
      <c r="C372" s="142" t="s">
        <v>382</v>
      </c>
      <c r="D372" s="195" t="s">
        <v>301</v>
      </c>
      <c r="E372" s="140" t="s">
        <v>74</v>
      </c>
      <c r="F372" s="157">
        <v>20</v>
      </c>
      <c r="G372" s="143">
        <v>36.75</v>
      </c>
      <c r="H372" s="196">
        <f t="shared" si="5"/>
        <v>735</v>
      </c>
    </row>
    <row r="373" spans="1:8" ht="15.6" x14ac:dyDescent="0.3">
      <c r="A373" s="132">
        <v>203</v>
      </c>
      <c r="B373" s="141">
        <v>45863</v>
      </c>
      <c r="C373" s="142" t="s">
        <v>382</v>
      </c>
      <c r="D373" s="195" t="s">
        <v>307</v>
      </c>
      <c r="E373" s="140" t="s">
        <v>74</v>
      </c>
      <c r="F373" s="157">
        <v>6</v>
      </c>
      <c r="G373" s="143">
        <v>47.5</v>
      </c>
      <c r="H373" s="196">
        <f t="shared" si="5"/>
        <v>285</v>
      </c>
    </row>
    <row r="374" spans="1:8" ht="15.6" x14ac:dyDescent="0.3">
      <c r="A374" s="132">
        <v>203</v>
      </c>
      <c r="B374" s="141">
        <v>45863</v>
      </c>
      <c r="C374" s="142" t="s">
        <v>382</v>
      </c>
      <c r="D374" s="195" t="s">
        <v>313</v>
      </c>
      <c r="E374" s="140" t="s">
        <v>80</v>
      </c>
      <c r="F374" s="157">
        <v>22</v>
      </c>
      <c r="G374" s="143">
        <v>22</v>
      </c>
      <c r="H374" s="196">
        <f t="shared" si="5"/>
        <v>484</v>
      </c>
    </row>
    <row r="375" spans="1:8" ht="15.6" x14ac:dyDescent="0.3">
      <c r="A375" s="132">
        <v>880</v>
      </c>
      <c r="B375" s="141">
        <v>45866</v>
      </c>
      <c r="C375" s="142" t="s">
        <v>302</v>
      </c>
      <c r="D375" s="195" t="s">
        <v>301</v>
      </c>
      <c r="E375" s="140" t="s">
        <v>74</v>
      </c>
      <c r="F375" s="157">
        <v>32</v>
      </c>
      <c r="G375" s="143">
        <v>45</v>
      </c>
      <c r="H375" s="196">
        <f t="shared" si="5"/>
        <v>1440</v>
      </c>
    </row>
    <row r="376" spans="1:8" ht="15.6" x14ac:dyDescent="0.3">
      <c r="A376" s="132">
        <v>879</v>
      </c>
      <c r="B376" s="141">
        <v>45868</v>
      </c>
      <c r="C376" s="142" t="s">
        <v>353</v>
      </c>
      <c r="D376" s="142" t="s">
        <v>339</v>
      </c>
      <c r="E376" s="140" t="s">
        <v>74</v>
      </c>
      <c r="F376" s="157">
        <v>2</v>
      </c>
      <c r="G376" s="143">
        <v>65</v>
      </c>
      <c r="H376" s="196">
        <f t="shared" si="5"/>
        <v>130</v>
      </c>
    </row>
    <row r="377" spans="1:8" ht="15.6" x14ac:dyDescent="0.3">
      <c r="A377" s="132">
        <v>879</v>
      </c>
      <c r="B377" s="141">
        <v>45868</v>
      </c>
      <c r="C377" s="142" t="s">
        <v>353</v>
      </c>
      <c r="D377" s="140" t="s">
        <v>356</v>
      </c>
      <c r="E377" s="140" t="s">
        <v>321</v>
      </c>
      <c r="F377" s="157">
        <v>3</v>
      </c>
      <c r="G377" s="143">
        <v>85</v>
      </c>
      <c r="H377" s="196">
        <f t="shared" si="5"/>
        <v>255</v>
      </c>
    </row>
    <row r="378" spans="1:8" ht="15.6" x14ac:dyDescent="0.3">
      <c r="A378" s="132">
        <v>879</v>
      </c>
      <c r="B378" s="141">
        <v>45868</v>
      </c>
      <c r="C378" s="142" t="s">
        <v>353</v>
      </c>
      <c r="D378" s="195" t="s">
        <v>307</v>
      </c>
      <c r="E378" s="140" t="s">
        <v>74</v>
      </c>
      <c r="F378" s="157">
        <v>2</v>
      </c>
      <c r="G378" s="143">
        <v>47.5</v>
      </c>
      <c r="H378" s="196">
        <f t="shared" si="5"/>
        <v>95</v>
      </c>
    </row>
    <row r="379" spans="1:8" ht="15.6" x14ac:dyDescent="0.3">
      <c r="A379" s="132">
        <v>879</v>
      </c>
      <c r="B379" s="141">
        <v>45868</v>
      </c>
      <c r="C379" s="142" t="s">
        <v>353</v>
      </c>
      <c r="D379" s="195" t="s">
        <v>308</v>
      </c>
      <c r="E379" s="140" t="s">
        <v>354</v>
      </c>
      <c r="F379" s="157">
        <v>2</v>
      </c>
      <c r="G379" s="143">
        <v>36.75</v>
      </c>
      <c r="H379" s="196">
        <f t="shared" si="5"/>
        <v>73.5</v>
      </c>
    </row>
    <row r="380" spans="1:8" ht="15.6" x14ac:dyDescent="0.3">
      <c r="A380" s="132">
        <v>891</v>
      </c>
      <c r="B380" s="141">
        <v>45876</v>
      </c>
      <c r="C380" s="142" t="s">
        <v>383</v>
      </c>
      <c r="D380" s="195" t="s">
        <v>311</v>
      </c>
      <c r="E380" s="140" t="s">
        <v>51</v>
      </c>
      <c r="F380" s="157">
        <v>3</v>
      </c>
      <c r="G380" s="143">
        <v>25</v>
      </c>
      <c r="H380" s="196">
        <f t="shared" si="5"/>
        <v>75</v>
      </c>
    </row>
    <row r="381" spans="1:8" ht="15.6" x14ac:dyDescent="0.3">
      <c r="A381" s="132">
        <v>891</v>
      </c>
      <c r="B381" s="141">
        <v>45876</v>
      </c>
      <c r="C381" s="142" t="s">
        <v>383</v>
      </c>
      <c r="D381" s="195" t="s">
        <v>301</v>
      </c>
      <c r="E381" s="140" t="s">
        <v>74</v>
      </c>
      <c r="F381" s="157">
        <v>6</v>
      </c>
      <c r="G381" s="143">
        <v>36.75</v>
      </c>
      <c r="H381" s="196">
        <f t="shared" si="5"/>
        <v>220.5</v>
      </c>
    </row>
    <row r="382" spans="1:8" ht="15.6" x14ac:dyDescent="0.3">
      <c r="A382" s="132">
        <v>891</v>
      </c>
      <c r="B382" s="141">
        <v>45876</v>
      </c>
      <c r="C382" s="142" t="s">
        <v>383</v>
      </c>
      <c r="D382" s="195" t="s">
        <v>308</v>
      </c>
      <c r="E382" s="140" t="s">
        <v>354</v>
      </c>
      <c r="F382" s="157">
        <v>2</v>
      </c>
      <c r="G382" s="143">
        <v>36.75</v>
      </c>
      <c r="H382" s="196">
        <f t="shared" si="5"/>
        <v>73.5</v>
      </c>
    </row>
    <row r="383" spans="1:8" ht="15.6" x14ac:dyDescent="0.3">
      <c r="A383" s="132">
        <v>891</v>
      </c>
      <c r="B383" s="141">
        <v>45876</v>
      </c>
      <c r="C383" s="142" t="s">
        <v>383</v>
      </c>
      <c r="D383" s="142" t="s">
        <v>339</v>
      </c>
      <c r="E383" s="142" t="s">
        <v>340</v>
      </c>
      <c r="F383" s="157">
        <v>2</v>
      </c>
      <c r="G383" s="143">
        <v>65</v>
      </c>
      <c r="H383" s="196">
        <f t="shared" si="5"/>
        <v>130</v>
      </c>
    </row>
    <row r="384" spans="1:8" ht="15.6" x14ac:dyDescent="0.3">
      <c r="A384" s="132">
        <v>209</v>
      </c>
      <c r="B384" s="141">
        <v>45883</v>
      </c>
      <c r="C384" s="142" t="s">
        <v>343</v>
      </c>
      <c r="D384" s="195" t="s">
        <v>301</v>
      </c>
      <c r="E384" s="140" t="s">
        <v>74</v>
      </c>
      <c r="F384" s="157">
        <v>6</v>
      </c>
      <c r="G384" s="143">
        <v>36.75</v>
      </c>
      <c r="H384" s="196">
        <f t="shared" si="5"/>
        <v>220.5</v>
      </c>
    </row>
    <row r="385" spans="1:8" ht="15.6" x14ac:dyDescent="0.3">
      <c r="A385" s="132">
        <v>209</v>
      </c>
      <c r="B385" s="141">
        <v>45883</v>
      </c>
      <c r="C385" s="142" t="s">
        <v>343</v>
      </c>
      <c r="D385" s="140" t="s">
        <v>328</v>
      </c>
      <c r="E385" s="140" t="s">
        <v>78</v>
      </c>
      <c r="F385" s="157">
        <v>2</v>
      </c>
      <c r="G385" s="143">
        <v>75</v>
      </c>
      <c r="H385" s="196">
        <f t="shared" si="5"/>
        <v>150</v>
      </c>
    </row>
    <row r="386" spans="1:8" ht="15.6" x14ac:dyDescent="0.3">
      <c r="A386" s="132">
        <v>896</v>
      </c>
      <c r="B386" s="141">
        <v>45887</v>
      </c>
      <c r="C386" s="142" t="s">
        <v>384</v>
      </c>
      <c r="D386" s="195" t="s">
        <v>308</v>
      </c>
      <c r="E386" s="140" t="s">
        <v>354</v>
      </c>
      <c r="F386" s="157">
        <v>2</v>
      </c>
      <c r="G386" s="143">
        <v>36.75</v>
      </c>
      <c r="H386" s="196">
        <f t="shared" si="5"/>
        <v>73.5</v>
      </c>
    </row>
    <row r="387" spans="1:8" ht="15.6" x14ac:dyDescent="0.3">
      <c r="A387" s="132">
        <v>896</v>
      </c>
      <c r="B387" s="141">
        <v>45887</v>
      </c>
      <c r="C387" s="142" t="s">
        <v>384</v>
      </c>
      <c r="D387" s="195" t="s">
        <v>307</v>
      </c>
      <c r="E387" s="140" t="s">
        <v>74</v>
      </c>
      <c r="F387" s="157">
        <v>2</v>
      </c>
      <c r="G387" s="143">
        <v>47.5</v>
      </c>
      <c r="H387" s="196">
        <f t="shared" si="5"/>
        <v>95</v>
      </c>
    </row>
    <row r="388" spans="1:8" ht="15.6" x14ac:dyDescent="0.3">
      <c r="A388" s="132">
        <v>896</v>
      </c>
      <c r="B388" s="141">
        <v>45887</v>
      </c>
      <c r="C388" s="142" t="s">
        <v>384</v>
      </c>
      <c r="D388" s="195" t="s">
        <v>301</v>
      </c>
      <c r="E388" s="140" t="s">
        <v>74</v>
      </c>
      <c r="F388" s="157">
        <v>1</v>
      </c>
      <c r="G388" s="143">
        <v>36.75</v>
      </c>
      <c r="H388" s="196">
        <f t="shared" si="5"/>
        <v>36.75</v>
      </c>
    </row>
    <row r="389" spans="1:8" ht="15.6" x14ac:dyDescent="0.3">
      <c r="A389" s="132">
        <v>896</v>
      </c>
      <c r="B389" s="141">
        <v>45887</v>
      </c>
      <c r="C389" s="142" t="s">
        <v>384</v>
      </c>
      <c r="D389" s="142" t="s">
        <v>339</v>
      </c>
      <c r="E389" s="142" t="s">
        <v>340</v>
      </c>
      <c r="F389" s="157">
        <v>2</v>
      </c>
      <c r="G389" s="143">
        <v>65</v>
      </c>
      <c r="H389" s="196">
        <f t="shared" ref="H389:H452" si="6">G389*F389</f>
        <v>130</v>
      </c>
    </row>
    <row r="390" spans="1:8" ht="15.6" x14ac:dyDescent="0.3">
      <c r="A390" s="132">
        <v>287</v>
      </c>
      <c r="B390" s="141">
        <v>45889</v>
      </c>
      <c r="C390" s="195" t="s">
        <v>306</v>
      </c>
      <c r="D390" s="142" t="s">
        <v>339</v>
      </c>
      <c r="E390" s="142" t="s">
        <v>340</v>
      </c>
      <c r="F390" s="157">
        <v>6</v>
      </c>
      <c r="G390" s="143">
        <v>65</v>
      </c>
      <c r="H390" s="196">
        <f t="shared" si="6"/>
        <v>390</v>
      </c>
    </row>
    <row r="391" spans="1:8" ht="15.6" x14ac:dyDescent="0.3">
      <c r="A391" s="132">
        <v>287</v>
      </c>
      <c r="B391" s="141">
        <v>45889</v>
      </c>
      <c r="C391" s="195" t="s">
        <v>306</v>
      </c>
      <c r="D391" s="195" t="s">
        <v>301</v>
      </c>
      <c r="E391" s="140" t="s">
        <v>74</v>
      </c>
      <c r="F391" s="157">
        <v>20</v>
      </c>
      <c r="G391" s="143">
        <v>36.75</v>
      </c>
      <c r="H391" s="196">
        <f t="shared" si="6"/>
        <v>735</v>
      </c>
    </row>
    <row r="392" spans="1:8" ht="15.6" x14ac:dyDescent="0.3">
      <c r="A392" s="132">
        <v>287</v>
      </c>
      <c r="B392" s="141">
        <v>45889</v>
      </c>
      <c r="C392" s="195" t="s">
        <v>306</v>
      </c>
      <c r="D392" s="195" t="s">
        <v>307</v>
      </c>
      <c r="E392" s="140" t="s">
        <v>74</v>
      </c>
      <c r="F392" s="157">
        <v>11</v>
      </c>
      <c r="G392" s="143">
        <v>47.5</v>
      </c>
      <c r="H392" s="196">
        <f t="shared" si="6"/>
        <v>522.5</v>
      </c>
    </row>
    <row r="393" spans="1:8" ht="15.6" x14ac:dyDescent="0.3">
      <c r="A393" s="132">
        <v>287</v>
      </c>
      <c r="B393" s="141">
        <v>45889</v>
      </c>
      <c r="C393" s="195" t="s">
        <v>306</v>
      </c>
      <c r="D393" s="195" t="s">
        <v>308</v>
      </c>
      <c r="E393" s="140" t="s">
        <v>354</v>
      </c>
      <c r="F393" s="157">
        <v>20</v>
      </c>
      <c r="G393" s="143">
        <v>36.75</v>
      </c>
      <c r="H393" s="196">
        <f t="shared" si="6"/>
        <v>735</v>
      </c>
    </row>
    <row r="394" spans="1:8" ht="15.6" x14ac:dyDescent="0.3">
      <c r="A394" s="132">
        <v>287</v>
      </c>
      <c r="B394" s="141">
        <v>45889</v>
      </c>
      <c r="C394" s="195" t="s">
        <v>306</v>
      </c>
      <c r="D394" s="140" t="s">
        <v>356</v>
      </c>
      <c r="E394" s="140" t="s">
        <v>321</v>
      </c>
      <c r="F394" s="157">
        <v>14</v>
      </c>
      <c r="G394" s="143">
        <v>85</v>
      </c>
      <c r="H394" s="196">
        <f t="shared" si="6"/>
        <v>1190</v>
      </c>
    </row>
    <row r="395" spans="1:8" ht="15.6" x14ac:dyDescent="0.3">
      <c r="A395" s="132">
        <v>287</v>
      </c>
      <c r="B395" s="141">
        <v>45889</v>
      </c>
      <c r="C395" s="195" t="s">
        <v>306</v>
      </c>
      <c r="D395" s="140" t="s">
        <v>328</v>
      </c>
      <c r="E395" s="140" t="s">
        <v>78</v>
      </c>
      <c r="F395" s="157">
        <v>26</v>
      </c>
      <c r="G395" s="143">
        <v>75</v>
      </c>
      <c r="H395" s="196">
        <f t="shared" si="6"/>
        <v>1950</v>
      </c>
    </row>
    <row r="396" spans="1:8" ht="15.6" x14ac:dyDescent="0.3">
      <c r="A396" s="132">
        <v>287</v>
      </c>
      <c r="B396" s="141">
        <v>45889</v>
      </c>
      <c r="C396" s="195" t="s">
        <v>306</v>
      </c>
      <c r="D396" s="195" t="s">
        <v>313</v>
      </c>
      <c r="E396" s="140" t="s">
        <v>80</v>
      </c>
      <c r="F396" s="157">
        <v>10</v>
      </c>
      <c r="G396" s="143">
        <v>21</v>
      </c>
      <c r="H396" s="196">
        <f t="shared" si="6"/>
        <v>210</v>
      </c>
    </row>
    <row r="397" spans="1:8" ht="15.6" x14ac:dyDescent="0.3">
      <c r="A397" s="132">
        <v>287</v>
      </c>
      <c r="B397" s="141">
        <v>45889</v>
      </c>
      <c r="C397" s="195" t="s">
        <v>306</v>
      </c>
      <c r="D397" s="195" t="s">
        <v>311</v>
      </c>
      <c r="E397" s="140" t="s">
        <v>51</v>
      </c>
      <c r="F397" s="157">
        <v>30</v>
      </c>
      <c r="G397" s="143">
        <v>25</v>
      </c>
      <c r="H397" s="196">
        <f t="shared" si="6"/>
        <v>750</v>
      </c>
    </row>
    <row r="398" spans="1:8" ht="15.6" x14ac:dyDescent="0.3">
      <c r="A398" s="132">
        <v>270</v>
      </c>
      <c r="B398" s="141">
        <v>45903</v>
      </c>
      <c r="C398" s="142" t="s">
        <v>379</v>
      </c>
      <c r="D398" s="195" t="s">
        <v>301</v>
      </c>
      <c r="E398" s="140" t="s">
        <v>74</v>
      </c>
      <c r="F398" s="157">
        <v>2</v>
      </c>
      <c r="G398" s="143">
        <v>36.75</v>
      </c>
      <c r="H398" s="196">
        <f t="shared" si="6"/>
        <v>73.5</v>
      </c>
    </row>
    <row r="399" spans="1:8" ht="15.6" x14ac:dyDescent="0.3">
      <c r="A399" s="132">
        <v>270</v>
      </c>
      <c r="B399" s="141">
        <v>45903</v>
      </c>
      <c r="C399" s="142" t="s">
        <v>379</v>
      </c>
      <c r="D399" s="142" t="s">
        <v>385</v>
      </c>
      <c r="E399" s="140" t="s">
        <v>74</v>
      </c>
      <c r="F399" s="157">
        <v>2</v>
      </c>
      <c r="G399" s="143">
        <v>45</v>
      </c>
      <c r="H399" s="196">
        <f t="shared" si="6"/>
        <v>90</v>
      </c>
    </row>
    <row r="400" spans="1:8" ht="15.6" x14ac:dyDescent="0.3">
      <c r="A400" s="132">
        <v>270</v>
      </c>
      <c r="B400" s="141">
        <v>45903</v>
      </c>
      <c r="C400" s="142" t="s">
        <v>379</v>
      </c>
      <c r="D400" s="195" t="s">
        <v>308</v>
      </c>
      <c r="E400" s="142" t="s">
        <v>354</v>
      </c>
      <c r="F400" s="157">
        <v>3</v>
      </c>
      <c r="G400" s="143">
        <v>36.75</v>
      </c>
      <c r="H400" s="196">
        <f t="shared" si="6"/>
        <v>110.25</v>
      </c>
    </row>
    <row r="401" spans="1:8" ht="15.6" x14ac:dyDescent="0.3">
      <c r="A401" s="132">
        <v>270</v>
      </c>
      <c r="B401" s="141">
        <v>45903</v>
      </c>
      <c r="C401" s="142" t="s">
        <v>379</v>
      </c>
      <c r="D401" s="195" t="s">
        <v>311</v>
      </c>
      <c r="E401" s="140" t="s">
        <v>51</v>
      </c>
      <c r="F401" s="157">
        <v>2</v>
      </c>
      <c r="G401" s="143">
        <v>25</v>
      </c>
      <c r="H401" s="196">
        <f t="shared" si="6"/>
        <v>50</v>
      </c>
    </row>
    <row r="402" spans="1:8" ht="15.6" x14ac:dyDescent="0.3">
      <c r="A402" s="132">
        <v>273</v>
      </c>
      <c r="B402" s="141">
        <v>45903</v>
      </c>
      <c r="C402" s="142" t="s">
        <v>386</v>
      </c>
      <c r="D402" s="142" t="s">
        <v>339</v>
      </c>
      <c r="E402" s="142" t="s">
        <v>340</v>
      </c>
      <c r="F402" s="157">
        <v>2</v>
      </c>
      <c r="G402" s="143">
        <v>65</v>
      </c>
      <c r="H402" s="196">
        <f t="shared" si="6"/>
        <v>130</v>
      </c>
    </row>
    <row r="403" spans="1:8" ht="15.6" x14ac:dyDescent="0.3">
      <c r="A403" s="132">
        <v>273</v>
      </c>
      <c r="B403" s="141">
        <v>45903</v>
      </c>
      <c r="C403" s="142" t="s">
        <v>386</v>
      </c>
      <c r="D403" s="195" t="s">
        <v>301</v>
      </c>
      <c r="E403" s="140" t="s">
        <v>74</v>
      </c>
      <c r="F403" s="157">
        <v>2</v>
      </c>
      <c r="G403" s="143">
        <v>36.75</v>
      </c>
      <c r="H403" s="196">
        <f t="shared" si="6"/>
        <v>73.5</v>
      </c>
    </row>
    <row r="404" spans="1:8" ht="15.6" x14ac:dyDescent="0.3">
      <c r="A404" s="132">
        <v>273</v>
      </c>
      <c r="B404" s="141">
        <v>45903</v>
      </c>
      <c r="C404" s="142" t="s">
        <v>386</v>
      </c>
      <c r="D404" s="195" t="s">
        <v>307</v>
      </c>
      <c r="E404" s="140" t="s">
        <v>74</v>
      </c>
      <c r="F404" s="157">
        <v>3</v>
      </c>
      <c r="G404" s="143">
        <v>47.5</v>
      </c>
      <c r="H404" s="196">
        <f t="shared" si="6"/>
        <v>142.5</v>
      </c>
    </row>
    <row r="405" spans="1:8" ht="15.6" x14ac:dyDescent="0.3">
      <c r="A405" s="132">
        <v>290</v>
      </c>
      <c r="B405" s="141">
        <v>45923</v>
      </c>
      <c r="C405" s="142" t="s">
        <v>387</v>
      </c>
      <c r="D405" s="142" t="s">
        <v>339</v>
      </c>
      <c r="E405" s="142" t="s">
        <v>340</v>
      </c>
      <c r="F405" s="157">
        <v>2</v>
      </c>
      <c r="G405" s="143">
        <v>65</v>
      </c>
      <c r="H405" s="196">
        <f t="shared" si="6"/>
        <v>130</v>
      </c>
    </row>
    <row r="406" spans="1:8" ht="15.6" x14ac:dyDescent="0.3">
      <c r="A406" s="132">
        <v>290</v>
      </c>
      <c r="B406" s="141">
        <v>45923</v>
      </c>
      <c r="C406" s="142" t="s">
        <v>387</v>
      </c>
      <c r="D406" s="195" t="s">
        <v>308</v>
      </c>
      <c r="E406" s="142" t="s">
        <v>354</v>
      </c>
      <c r="F406" s="157">
        <v>2</v>
      </c>
      <c r="G406" s="143">
        <v>36.75</v>
      </c>
      <c r="H406" s="196">
        <f t="shared" si="6"/>
        <v>73.5</v>
      </c>
    </row>
    <row r="407" spans="1:8" ht="15.6" x14ac:dyDescent="0.3">
      <c r="A407" s="132">
        <v>290</v>
      </c>
      <c r="B407" s="141">
        <v>45923</v>
      </c>
      <c r="C407" s="142" t="s">
        <v>387</v>
      </c>
      <c r="D407" s="195" t="s">
        <v>301</v>
      </c>
      <c r="E407" s="140" t="s">
        <v>74</v>
      </c>
      <c r="F407" s="157">
        <v>2</v>
      </c>
      <c r="G407" s="143">
        <v>36.75</v>
      </c>
      <c r="H407" s="196">
        <f t="shared" si="6"/>
        <v>73.5</v>
      </c>
    </row>
    <row r="408" spans="1:8" ht="15.6" x14ac:dyDescent="0.3">
      <c r="A408" s="132">
        <v>293</v>
      </c>
      <c r="B408" s="141">
        <v>45930</v>
      </c>
      <c r="C408" s="142" t="s">
        <v>384</v>
      </c>
      <c r="D408" s="195" t="s">
        <v>308</v>
      </c>
      <c r="E408" s="142" t="s">
        <v>354</v>
      </c>
      <c r="F408" s="157">
        <v>2</v>
      </c>
      <c r="G408" s="143">
        <v>45</v>
      </c>
      <c r="H408" s="196">
        <f t="shared" si="6"/>
        <v>90</v>
      </c>
    </row>
    <row r="409" spans="1:8" ht="15.6" x14ac:dyDescent="0.3">
      <c r="A409" s="132">
        <v>293</v>
      </c>
      <c r="B409" s="141">
        <v>45930</v>
      </c>
      <c r="C409" s="142" t="s">
        <v>384</v>
      </c>
      <c r="D409" s="195" t="s">
        <v>318</v>
      </c>
      <c r="E409" s="140" t="s">
        <v>78</v>
      </c>
      <c r="F409" s="157">
        <v>1</v>
      </c>
      <c r="G409" s="143">
        <v>65</v>
      </c>
      <c r="H409" s="196">
        <f t="shared" si="6"/>
        <v>65</v>
      </c>
    </row>
    <row r="410" spans="1:8" ht="15.6" x14ac:dyDescent="0.3">
      <c r="A410" s="132">
        <v>293</v>
      </c>
      <c r="B410" s="141">
        <v>45930</v>
      </c>
      <c r="C410" s="142" t="s">
        <v>384</v>
      </c>
      <c r="D410" s="195" t="s">
        <v>301</v>
      </c>
      <c r="E410" s="140" t="s">
        <v>74</v>
      </c>
      <c r="F410" s="157">
        <v>1</v>
      </c>
      <c r="G410" s="143">
        <v>36.75</v>
      </c>
      <c r="H410" s="196">
        <f t="shared" si="6"/>
        <v>36.75</v>
      </c>
    </row>
    <row r="411" spans="1:8" ht="15.6" x14ac:dyDescent="0.3">
      <c r="A411" s="132">
        <v>293</v>
      </c>
      <c r="B411" s="141">
        <v>45930</v>
      </c>
      <c r="C411" s="142" t="s">
        <v>384</v>
      </c>
      <c r="D411" s="195" t="s">
        <v>307</v>
      </c>
      <c r="E411" s="140" t="s">
        <v>74</v>
      </c>
      <c r="F411" s="157">
        <v>1</v>
      </c>
      <c r="G411" s="143">
        <v>55</v>
      </c>
      <c r="H411" s="196">
        <f t="shared" si="6"/>
        <v>55</v>
      </c>
    </row>
    <row r="412" spans="1:8" ht="15.6" x14ac:dyDescent="0.3">
      <c r="A412" s="132">
        <v>303</v>
      </c>
      <c r="B412" s="141">
        <v>45932</v>
      </c>
      <c r="C412" s="195" t="s">
        <v>306</v>
      </c>
      <c r="D412" s="142" t="s">
        <v>339</v>
      </c>
      <c r="E412" s="142" t="s">
        <v>340</v>
      </c>
      <c r="F412" s="157">
        <v>3</v>
      </c>
      <c r="G412" s="143">
        <v>65</v>
      </c>
      <c r="H412" s="196">
        <f t="shared" si="6"/>
        <v>195</v>
      </c>
    </row>
    <row r="413" spans="1:8" ht="15.6" x14ac:dyDescent="0.3">
      <c r="A413" s="132">
        <v>303</v>
      </c>
      <c r="B413" s="141">
        <v>45932</v>
      </c>
      <c r="C413" s="195" t="s">
        <v>306</v>
      </c>
      <c r="D413" s="195" t="s">
        <v>301</v>
      </c>
      <c r="E413" s="140" t="s">
        <v>74</v>
      </c>
      <c r="F413" s="157">
        <v>24</v>
      </c>
      <c r="G413" s="143">
        <v>36.75</v>
      </c>
      <c r="H413" s="196">
        <f t="shared" si="6"/>
        <v>882</v>
      </c>
    </row>
    <row r="414" spans="1:8" ht="15.6" x14ac:dyDescent="0.3">
      <c r="A414" s="132">
        <v>303</v>
      </c>
      <c r="B414" s="141">
        <v>45932</v>
      </c>
      <c r="C414" s="195" t="s">
        <v>306</v>
      </c>
      <c r="D414" s="195" t="s">
        <v>307</v>
      </c>
      <c r="E414" s="140" t="s">
        <v>74</v>
      </c>
      <c r="F414" s="157">
        <v>20</v>
      </c>
      <c r="G414" s="143">
        <v>47.5</v>
      </c>
      <c r="H414" s="196">
        <f t="shared" si="6"/>
        <v>950</v>
      </c>
    </row>
    <row r="415" spans="1:8" ht="15.6" x14ac:dyDescent="0.3">
      <c r="A415" s="132">
        <v>303</v>
      </c>
      <c r="B415" s="141">
        <v>45932</v>
      </c>
      <c r="C415" s="195" t="s">
        <v>306</v>
      </c>
      <c r="D415" s="195" t="s">
        <v>301</v>
      </c>
      <c r="E415" s="140" t="s">
        <v>74</v>
      </c>
      <c r="F415" s="157">
        <v>25</v>
      </c>
      <c r="G415" s="143">
        <v>36.75</v>
      </c>
      <c r="H415" s="196">
        <f t="shared" si="6"/>
        <v>918.75</v>
      </c>
    </row>
    <row r="416" spans="1:8" ht="15.6" x14ac:dyDescent="0.3">
      <c r="A416" s="132">
        <v>303</v>
      </c>
      <c r="B416" s="141">
        <v>45932</v>
      </c>
      <c r="C416" s="195" t="s">
        <v>306</v>
      </c>
      <c r="D416" s="140" t="s">
        <v>328</v>
      </c>
      <c r="E416" s="140" t="s">
        <v>78</v>
      </c>
      <c r="F416" s="157">
        <v>25</v>
      </c>
      <c r="G416" s="143">
        <v>75</v>
      </c>
      <c r="H416" s="196">
        <f t="shared" si="6"/>
        <v>1875</v>
      </c>
    </row>
    <row r="417" spans="1:8" ht="15.6" x14ac:dyDescent="0.3">
      <c r="A417" s="132">
        <v>303</v>
      </c>
      <c r="B417" s="141">
        <v>45932</v>
      </c>
      <c r="C417" s="195" t="s">
        <v>306</v>
      </c>
      <c r="D417" s="195" t="s">
        <v>313</v>
      </c>
      <c r="E417" s="140" t="s">
        <v>80</v>
      </c>
      <c r="F417" s="157">
        <v>30</v>
      </c>
      <c r="G417" s="143">
        <v>25</v>
      </c>
      <c r="H417" s="196">
        <f t="shared" si="6"/>
        <v>750</v>
      </c>
    </row>
    <row r="418" spans="1:8" ht="15.6" x14ac:dyDescent="0.3">
      <c r="A418" s="132">
        <v>303</v>
      </c>
      <c r="B418" s="141">
        <v>45932</v>
      </c>
      <c r="C418" s="195" t="s">
        <v>306</v>
      </c>
      <c r="D418" s="195" t="s">
        <v>311</v>
      </c>
      <c r="E418" s="140" t="s">
        <v>51</v>
      </c>
      <c r="F418" s="157">
        <v>30</v>
      </c>
      <c r="G418" s="143">
        <v>21</v>
      </c>
      <c r="H418" s="196">
        <f t="shared" si="6"/>
        <v>630</v>
      </c>
    </row>
    <row r="419" spans="1:8" ht="15.6" x14ac:dyDescent="0.3">
      <c r="A419" s="132">
        <v>308</v>
      </c>
      <c r="B419" s="141">
        <v>45939</v>
      </c>
      <c r="C419" s="142" t="s">
        <v>388</v>
      </c>
      <c r="D419" s="195" t="s">
        <v>311</v>
      </c>
      <c r="E419" s="140" t="s">
        <v>51</v>
      </c>
      <c r="F419" s="157">
        <v>3</v>
      </c>
      <c r="G419" s="143">
        <v>25</v>
      </c>
      <c r="H419" s="196">
        <f t="shared" si="6"/>
        <v>75</v>
      </c>
    </row>
    <row r="420" spans="1:8" ht="15.6" x14ac:dyDescent="0.3">
      <c r="A420" s="132">
        <v>308</v>
      </c>
      <c r="B420" s="141">
        <v>45939</v>
      </c>
      <c r="C420" s="142" t="s">
        <v>388</v>
      </c>
      <c r="D420" s="195" t="s">
        <v>308</v>
      </c>
      <c r="E420" s="142" t="s">
        <v>354</v>
      </c>
      <c r="F420" s="157">
        <v>7</v>
      </c>
      <c r="G420" s="143">
        <v>36.75</v>
      </c>
      <c r="H420" s="196">
        <f t="shared" si="6"/>
        <v>257.25</v>
      </c>
    </row>
    <row r="421" spans="1:8" ht="15.6" x14ac:dyDescent="0.3">
      <c r="A421" s="132">
        <v>308</v>
      </c>
      <c r="B421" s="141">
        <v>45939</v>
      </c>
      <c r="C421" s="142" t="s">
        <v>388</v>
      </c>
      <c r="D421" s="195" t="s">
        <v>313</v>
      </c>
      <c r="E421" s="140" t="s">
        <v>80</v>
      </c>
      <c r="F421" s="157">
        <v>4</v>
      </c>
      <c r="G421" s="143">
        <v>21</v>
      </c>
      <c r="H421" s="196">
        <f t="shared" si="6"/>
        <v>84</v>
      </c>
    </row>
    <row r="422" spans="1:8" ht="15.6" x14ac:dyDescent="0.3">
      <c r="A422" s="132">
        <v>308</v>
      </c>
      <c r="B422" s="141">
        <v>45939</v>
      </c>
      <c r="C422" s="142" t="s">
        <v>388</v>
      </c>
      <c r="D422" s="142" t="s">
        <v>339</v>
      </c>
      <c r="E422" s="142" t="s">
        <v>340</v>
      </c>
      <c r="F422" s="157">
        <v>2</v>
      </c>
      <c r="G422" s="143">
        <v>65</v>
      </c>
      <c r="H422" s="196">
        <f t="shared" si="6"/>
        <v>130</v>
      </c>
    </row>
    <row r="423" spans="1:8" ht="15.6" x14ac:dyDescent="0.3">
      <c r="A423" s="132">
        <v>309</v>
      </c>
      <c r="B423" s="141">
        <v>45939</v>
      </c>
      <c r="C423" s="142" t="s">
        <v>389</v>
      </c>
      <c r="D423" s="195" t="s">
        <v>311</v>
      </c>
      <c r="E423" s="140" t="s">
        <v>51</v>
      </c>
      <c r="F423" s="157">
        <v>9</v>
      </c>
      <c r="G423" s="143">
        <v>25</v>
      </c>
      <c r="H423" s="196">
        <f t="shared" si="6"/>
        <v>225</v>
      </c>
    </row>
    <row r="424" spans="1:8" ht="15.6" x14ac:dyDescent="0.3">
      <c r="A424" s="132">
        <v>309</v>
      </c>
      <c r="B424" s="141">
        <v>45939</v>
      </c>
      <c r="C424" s="142" t="s">
        <v>389</v>
      </c>
      <c r="D424" s="195" t="s">
        <v>301</v>
      </c>
      <c r="E424" s="140" t="s">
        <v>74</v>
      </c>
      <c r="F424" s="157">
        <v>25</v>
      </c>
      <c r="G424" s="143">
        <v>36.75</v>
      </c>
      <c r="H424" s="196">
        <f t="shared" si="6"/>
        <v>918.75</v>
      </c>
    </row>
    <row r="425" spans="1:8" ht="15.6" x14ac:dyDescent="0.3">
      <c r="A425" s="132">
        <v>309</v>
      </c>
      <c r="B425" s="141">
        <v>45939</v>
      </c>
      <c r="C425" s="142" t="s">
        <v>389</v>
      </c>
      <c r="D425" s="142" t="s">
        <v>339</v>
      </c>
      <c r="E425" s="142" t="s">
        <v>340</v>
      </c>
      <c r="F425" s="157">
        <v>4</v>
      </c>
      <c r="G425" s="143">
        <v>65</v>
      </c>
      <c r="H425" s="196">
        <f t="shared" si="6"/>
        <v>260</v>
      </c>
    </row>
    <row r="426" spans="1:8" ht="15.6" x14ac:dyDescent="0.3">
      <c r="A426" s="132">
        <v>309</v>
      </c>
      <c r="B426" s="141">
        <v>45939</v>
      </c>
      <c r="C426" s="142" t="s">
        <v>389</v>
      </c>
      <c r="D426" s="140" t="s">
        <v>356</v>
      </c>
      <c r="E426" s="140" t="s">
        <v>321</v>
      </c>
      <c r="F426" s="157">
        <v>7</v>
      </c>
      <c r="G426" s="143">
        <v>85</v>
      </c>
      <c r="H426" s="196">
        <f t="shared" si="6"/>
        <v>595</v>
      </c>
    </row>
    <row r="427" spans="1:8" ht="15.6" x14ac:dyDescent="0.3">
      <c r="A427" s="132">
        <v>309</v>
      </c>
      <c r="B427" s="141">
        <v>45939</v>
      </c>
      <c r="C427" s="142" t="s">
        <v>389</v>
      </c>
      <c r="D427" s="195" t="s">
        <v>313</v>
      </c>
      <c r="E427" s="140" t="s">
        <v>80</v>
      </c>
      <c r="F427" s="157">
        <v>10</v>
      </c>
      <c r="G427" s="143">
        <v>21</v>
      </c>
      <c r="H427" s="196">
        <f t="shared" si="6"/>
        <v>210</v>
      </c>
    </row>
    <row r="428" spans="1:8" ht="15.6" x14ac:dyDescent="0.3">
      <c r="A428" s="132">
        <v>315</v>
      </c>
      <c r="B428" s="141">
        <v>45943</v>
      </c>
      <c r="C428" s="195" t="s">
        <v>319</v>
      </c>
      <c r="D428" s="142" t="s">
        <v>339</v>
      </c>
      <c r="E428" s="142" t="s">
        <v>340</v>
      </c>
      <c r="F428" s="157">
        <v>1</v>
      </c>
      <c r="G428" s="143">
        <v>65</v>
      </c>
      <c r="H428" s="196">
        <f t="shared" si="6"/>
        <v>65</v>
      </c>
    </row>
    <row r="429" spans="1:8" ht="15.6" x14ac:dyDescent="0.3">
      <c r="A429" s="132">
        <v>315</v>
      </c>
      <c r="B429" s="141">
        <v>45943</v>
      </c>
      <c r="C429" s="195" t="s">
        <v>319</v>
      </c>
      <c r="D429" s="195" t="s">
        <v>301</v>
      </c>
      <c r="E429" s="140" t="s">
        <v>74</v>
      </c>
      <c r="F429" s="157">
        <v>5</v>
      </c>
      <c r="G429" s="143">
        <v>36.75</v>
      </c>
      <c r="H429" s="196">
        <f t="shared" si="6"/>
        <v>183.75</v>
      </c>
    </row>
    <row r="430" spans="1:8" ht="15.6" x14ac:dyDescent="0.3">
      <c r="A430" s="132">
        <v>315</v>
      </c>
      <c r="B430" s="141">
        <v>45943</v>
      </c>
      <c r="C430" s="195" t="s">
        <v>319</v>
      </c>
      <c r="D430" s="195" t="s">
        <v>308</v>
      </c>
      <c r="E430" s="142" t="s">
        <v>354</v>
      </c>
      <c r="F430" s="157">
        <v>12</v>
      </c>
      <c r="G430" s="143">
        <v>36.75</v>
      </c>
      <c r="H430" s="196">
        <f t="shared" si="6"/>
        <v>441</v>
      </c>
    </row>
    <row r="431" spans="1:8" ht="15.6" x14ac:dyDescent="0.3">
      <c r="A431" s="132">
        <v>333</v>
      </c>
      <c r="B431" s="141">
        <v>45957</v>
      </c>
      <c r="C431" s="195" t="s">
        <v>319</v>
      </c>
      <c r="D431" s="195" t="s">
        <v>313</v>
      </c>
      <c r="E431" s="140" t="s">
        <v>80</v>
      </c>
      <c r="F431" s="157">
        <v>6</v>
      </c>
      <c r="G431" s="143">
        <v>21</v>
      </c>
      <c r="H431" s="196">
        <f t="shared" si="6"/>
        <v>126</v>
      </c>
    </row>
    <row r="432" spans="1:8" ht="15.6" x14ac:dyDescent="0.3">
      <c r="A432" s="132">
        <v>333</v>
      </c>
      <c r="B432" s="141">
        <v>45957</v>
      </c>
      <c r="C432" s="195" t="s">
        <v>319</v>
      </c>
      <c r="D432" s="195" t="s">
        <v>311</v>
      </c>
      <c r="E432" s="140" t="s">
        <v>51</v>
      </c>
      <c r="F432" s="157">
        <v>6</v>
      </c>
      <c r="G432" s="143">
        <v>25</v>
      </c>
      <c r="H432" s="196">
        <f t="shared" si="6"/>
        <v>150</v>
      </c>
    </row>
    <row r="433" spans="1:8" ht="15.6" x14ac:dyDescent="0.3">
      <c r="A433" s="132">
        <v>333</v>
      </c>
      <c r="B433" s="141">
        <v>45957</v>
      </c>
      <c r="C433" s="195" t="s">
        <v>319</v>
      </c>
      <c r="D433" s="195" t="s">
        <v>308</v>
      </c>
      <c r="E433" s="142" t="s">
        <v>354</v>
      </c>
      <c r="F433" s="157">
        <v>10</v>
      </c>
      <c r="G433" s="143">
        <v>36.75</v>
      </c>
      <c r="H433" s="196">
        <f t="shared" si="6"/>
        <v>367.5</v>
      </c>
    </row>
    <row r="434" spans="1:8" ht="15.6" x14ac:dyDescent="0.3">
      <c r="A434" s="132">
        <v>333</v>
      </c>
      <c r="B434" s="141">
        <v>45957</v>
      </c>
      <c r="C434" s="195" t="s">
        <v>319</v>
      </c>
      <c r="D434" s="195" t="s">
        <v>301</v>
      </c>
      <c r="E434" s="140" t="s">
        <v>74</v>
      </c>
      <c r="F434" s="157">
        <v>4</v>
      </c>
      <c r="G434" s="143">
        <v>36.75</v>
      </c>
      <c r="H434" s="196">
        <f t="shared" si="6"/>
        <v>147</v>
      </c>
    </row>
    <row r="435" spans="1:8" ht="15.6" x14ac:dyDescent="0.3">
      <c r="A435" s="132">
        <v>333</v>
      </c>
      <c r="B435" s="141">
        <v>45957</v>
      </c>
      <c r="C435" s="195" t="s">
        <v>319</v>
      </c>
      <c r="D435" s="142" t="s">
        <v>339</v>
      </c>
      <c r="E435" s="142" t="s">
        <v>340</v>
      </c>
      <c r="F435" s="157">
        <v>2</v>
      </c>
      <c r="G435" s="143">
        <v>65</v>
      </c>
      <c r="H435" s="196">
        <f t="shared" si="6"/>
        <v>130</v>
      </c>
    </row>
    <row r="436" spans="1:8" ht="15.6" x14ac:dyDescent="0.3">
      <c r="A436" s="132">
        <v>334</v>
      </c>
      <c r="B436" s="141">
        <v>45957</v>
      </c>
      <c r="C436" s="195" t="s">
        <v>319</v>
      </c>
      <c r="D436" s="195" t="s">
        <v>313</v>
      </c>
      <c r="E436" s="142" t="s">
        <v>80</v>
      </c>
      <c r="F436" s="157">
        <v>4</v>
      </c>
      <c r="G436" s="143">
        <v>21</v>
      </c>
      <c r="H436" s="196">
        <f t="shared" si="6"/>
        <v>84</v>
      </c>
    </row>
    <row r="437" spans="1:8" ht="15.6" x14ac:dyDescent="0.3">
      <c r="A437" s="132">
        <v>334</v>
      </c>
      <c r="B437" s="141">
        <v>45957</v>
      </c>
      <c r="C437" s="195" t="s">
        <v>319</v>
      </c>
      <c r="D437" s="195" t="s">
        <v>311</v>
      </c>
      <c r="E437" s="140" t="s">
        <v>51</v>
      </c>
      <c r="F437" s="157">
        <v>8</v>
      </c>
      <c r="G437" s="143">
        <v>25</v>
      </c>
      <c r="H437" s="196">
        <f t="shared" si="6"/>
        <v>200</v>
      </c>
    </row>
    <row r="438" spans="1:8" ht="15.6" x14ac:dyDescent="0.3">
      <c r="A438" s="132">
        <v>334</v>
      </c>
      <c r="B438" s="141">
        <v>45957</v>
      </c>
      <c r="C438" s="195" t="s">
        <v>319</v>
      </c>
      <c r="D438" s="195" t="s">
        <v>301</v>
      </c>
      <c r="E438" s="140" t="s">
        <v>74</v>
      </c>
      <c r="F438" s="157">
        <v>8</v>
      </c>
      <c r="G438" s="143">
        <v>36.75</v>
      </c>
      <c r="H438" s="196">
        <f t="shared" si="6"/>
        <v>294</v>
      </c>
    </row>
    <row r="439" spans="1:8" ht="15.6" x14ac:dyDescent="0.3">
      <c r="A439" s="132">
        <v>334</v>
      </c>
      <c r="B439" s="141">
        <v>45957</v>
      </c>
      <c r="C439" s="195" t="s">
        <v>319</v>
      </c>
      <c r="D439" s="195" t="s">
        <v>308</v>
      </c>
      <c r="E439" s="142" t="s">
        <v>354</v>
      </c>
      <c r="F439" s="157">
        <v>6</v>
      </c>
      <c r="G439" s="143">
        <v>36.75</v>
      </c>
      <c r="H439" s="196">
        <f t="shared" si="6"/>
        <v>220.5</v>
      </c>
    </row>
    <row r="440" spans="1:8" ht="15.6" x14ac:dyDescent="0.3">
      <c r="A440" s="132">
        <v>334</v>
      </c>
      <c r="B440" s="141">
        <v>45957</v>
      </c>
      <c r="C440" s="195" t="s">
        <v>319</v>
      </c>
      <c r="D440" s="142" t="s">
        <v>339</v>
      </c>
      <c r="E440" s="142" t="s">
        <v>340</v>
      </c>
      <c r="F440" s="157">
        <v>2</v>
      </c>
      <c r="G440" s="143">
        <v>65</v>
      </c>
      <c r="H440" s="196">
        <f t="shared" si="6"/>
        <v>130</v>
      </c>
    </row>
    <row r="441" spans="1:8" ht="15.6" x14ac:dyDescent="0.3">
      <c r="A441" s="132">
        <v>352</v>
      </c>
      <c r="B441" s="141">
        <v>45961</v>
      </c>
      <c r="C441" s="195" t="s">
        <v>300</v>
      </c>
      <c r="D441" s="142" t="s">
        <v>339</v>
      </c>
      <c r="E441" s="142" t="s">
        <v>340</v>
      </c>
      <c r="F441" s="157">
        <v>1</v>
      </c>
      <c r="G441" s="143">
        <v>65</v>
      </c>
      <c r="H441" s="196">
        <f t="shared" si="6"/>
        <v>65</v>
      </c>
    </row>
    <row r="442" spans="1:8" ht="15.6" x14ac:dyDescent="0.3">
      <c r="A442" s="132">
        <v>352</v>
      </c>
      <c r="B442" s="141">
        <v>45961</v>
      </c>
      <c r="C442" s="195" t="s">
        <v>300</v>
      </c>
      <c r="D442" s="195" t="s">
        <v>301</v>
      </c>
      <c r="E442" s="140" t="s">
        <v>74</v>
      </c>
      <c r="F442" s="157">
        <v>2</v>
      </c>
      <c r="G442" s="143">
        <v>36.75</v>
      </c>
      <c r="H442" s="196">
        <f t="shared" si="6"/>
        <v>73.5</v>
      </c>
    </row>
    <row r="443" spans="1:8" ht="15.6" x14ac:dyDescent="0.3">
      <c r="A443" s="132">
        <v>352</v>
      </c>
      <c r="B443" s="141">
        <v>45961</v>
      </c>
      <c r="C443" s="195" t="s">
        <v>300</v>
      </c>
      <c r="D443" s="195" t="s">
        <v>311</v>
      </c>
      <c r="E443" s="140" t="s">
        <v>51</v>
      </c>
      <c r="F443" s="157">
        <v>2</v>
      </c>
      <c r="G443" s="143">
        <v>25</v>
      </c>
      <c r="H443" s="196">
        <f t="shared" si="6"/>
        <v>50</v>
      </c>
    </row>
    <row r="444" spans="1:8" ht="15.6" x14ac:dyDescent="0.3">
      <c r="A444" s="132">
        <v>358</v>
      </c>
      <c r="B444" s="141">
        <v>45966</v>
      </c>
      <c r="C444" s="142" t="s">
        <v>345</v>
      </c>
      <c r="D444" s="195" t="s">
        <v>301</v>
      </c>
      <c r="E444" s="140" t="s">
        <v>74</v>
      </c>
      <c r="F444" s="157">
        <v>12</v>
      </c>
      <c r="G444" s="143">
        <v>36.75</v>
      </c>
      <c r="H444" s="196">
        <f t="shared" si="6"/>
        <v>441</v>
      </c>
    </row>
    <row r="445" spans="1:8" ht="15.6" x14ac:dyDescent="0.3">
      <c r="A445" s="132">
        <v>360</v>
      </c>
      <c r="B445" s="141">
        <v>45971</v>
      </c>
      <c r="C445" s="142" t="s">
        <v>359</v>
      </c>
      <c r="D445" s="195" t="s">
        <v>311</v>
      </c>
      <c r="E445" s="140" t="s">
        <v>51</v>
      </c>
      <c r="F445" s="157">
        <v>2</v>
      </c>
      <c r="G445" s="143">
        <v>25</v>
      </c>
      <c r="H445" s="196">
        <f t="shared" si="6"/>
        <v>50</v>
      </c>
    </row>
    <row r="446" spans="1:8" ht="15.6" x14ac:dyDescent="0.3">
      <c r="A446" s="132">
        <v>360</v>
      </c>
      <c r="B446" s="141">
        <v>45971</v>
      </c>
      <c r="C446" s="142" t="s">
        <v>359</v>
      </c>
      <c r="D446" s="140" t="s">
        <v>356</v>
      </c>
      <c r="E446" s="140" t="s">
        <v>321</v>
      </c>
      <c r="F446" s="157">
        <v>3</v>
      </c>
      <c r="G446" s="143">
        <v>85</v>
      </c>
      <c r="H446" s="196">
        <f t="shared" si="6"/>
        <v>255</v>
      </c>
    </row>
    <row r="447" spans="1:8" ht="15.6" x14ac:dyDescent="0.3">
      <c r="A447" s="132">
        <v>379</v>
      </c>
      <c r="B447" s="141">
        <v>45982</v>
      </c>
      <c r="C447" s="142" t="s">
        <v>390</v>
      </c>
      <c r="D447" s="142" t="s">
        <v>339</v>
      </c>
      <c r="E447" s="142" t="s">
        <v>340</v>
      </c>
      <c r="F447" s="157">
        <v>3</v>
      </c>
      <c r="G447" s="143">
        <v>65</v>
      </c>
      <c r="H447" s="196">
        <f t="shared" si="6"/>
        <v>195</v>
      </c>
    </row>
    <row r="448" spans="1:8" ht="15.6" x14ac:dyDescent="0.3">
      <c r="A448" s="132">
        <v>379</v>
      </c>
      <c r="B448" s="141">
        <v>45982</v>
      </c>
      <c r="C448" s="142" t="s">
        <v>390</v>
      </c>
      <c r="D448" s="195" t="s">
        <v>308</v>
      </c>
      <c r="E448" s="142" t="s">
        <v>354</v>
      </c>
      <c r="F448" s="157">
        <v>6</v>
      </c>
      <c r="G448" s="143">
        <v>36.75</v>
      </c>
      <c r="H448" s="196">
        <f t="shared" si="6"/>
        <v>220.5</v>
      </c>
    </row>
    <row r="449" spans="1:8" ht="15.6" x14ac:dyDescent="0.3">
      <c r="A449" s="132">
        <v>379</v>
      </c>
      <c r="B449" s="141">
        <v>45982</v>
      </c>
      <c r="C449" s="142" t="s">
        <v>390</v>
      </c>
      <c r="D449" s="195" t="s">
        <v>301</v>
      </c>
      <c r="E449" s="140" t="s">
        <v>74</v>
      </c>
      <c r="F449" s="157">
        <v>1</v>
      </c>
      <c r="G449" s="143">
        <v>36.75</v>
      </c>
      <c r="H449" s="196">
        <f t="shared" si="6"/>
        <v>36.75</v>
      </c>
    </row>
    <row r="450" spans="1:8" ht="15.6" x14ac:dyDescent="0.3">
      <c r="A450" s="132">
        <v>382</v>
      </c>
      <c r="B450" s="141">
        <v>45987</v>
      </c>
      <c r="C450" s="142" t="s">
        <v>373</v>
      </c>
      <c r="D450" s="195" t="s">
        <v>301</v>
      </c>
      <c r="E450" s="140" t="s">
        <v>74</v>
      </c>
      <c r="F450" s="157">
        <v>12</v>
      </c>
      <c r="G450" s="143">
        <v>36.75</v>
      </c>
      <c r="H450" s="196">
        <f t="shared" si="6"/>
        <v>441</v>
      </c>
    </row>
    <row r="451" spans="1:8" ht="15.6" x14ac:dyDescent="0.3">
      <c r="A451" s="132">
        <v>382</v>
      </c>
      <c r="B451" s="141">
        <v>45987</v>
      </c>
      <c r="C451" s="142" t="s">
        <v>373</v>
      </c>
      <c r="D451" s="195" t="s">
        <v>311</v>
      </c>
      <c r="E451" s="140" t="s">
        <v>51</v>
      </c>
      <c r="F451" s="157">
        <v>6</v>
      </c>
      <c r="G451" s="143">
        <v>25</v>
      </c>
      <c r="H451" s="196">
        <f t="shared" si="6"/>
        <v>150</v>
      </c>
    </row>
    <row r="452" spans="1:8" ht="15.6" x14ac:dyDescent="0.3">
      <c r="A452" s="132">
        <v>382</v>
      </c>
      <c r="B452" s="141">
        <v>45987</v>
      </c>
      <c r="C452" s="142" t="s">
        <v>373</v>
      </c>
      <c r="D452" s="195" t="s">
        <v>313</v>
      </c>
      <c r="E452" s="142" t="s">
        <v>80</v>
      </c>
      <c r="F452" s="157">
        <v>4</v>
      </c>
      <c r="G452" s="143">
        <v>21</v>
      </c>
      <c r="H452" s="196">
        <f t="shared" si="6"/>
        <v>84</v>
      </c>
    </row>
    <row r="453" spans="1:8" ht="15.6" x14ac:dyDescent="0.3">
      <c r="A453" s="132">
        <v>394</v>
      </c>
      <c r="B453" s="141">
        <v>46003</v>
      </c>
      <c r="C453" s="142" t="s">
        <v>391</v>
      </c>
      <c r="D453" s="195" t="s">
        <v>307</v>
      </c>
      <c r="E453" s="142" t="s">
        <v>74</v>
      </c>
      <c r="F453" s="157">
        <v>1</v>
      </c>
      <c r="G453" s="143">
        <v>47.5</v>
      </c>
      <c r="H453" s="196">
        <f t="shared" ref="H453:H516" si="7">G453*F453</f>
        <v>47.5</v>
      </c>
    </row>
    <row r="454" spans="1:8" ht="15.6" x14ac:dyDescent="0.3">
      <c r="A454" s="132">
        <v>394</v>
      </c>
      <c r="B454" s="141">
        <v>46003</v>
      </c>
      <c r="C454" s="142" t="s">
        <v>391</v>
      </c>
      <c r="D454" s="142" t="s">
        <v>339</v>
      </c>
      <c r="E454" s="142" t="s">
        <v>340</v>
      </c>
      <c r="F454" s="157">
        <v>4</v>
      </c>
      <c r="G454" s="143">
        <v>65</v>
      </c>
      <c r="H454" s="196">
        <f t="shared" si="7"/>
        <v>260</v>
      </c>
    </row>
    <row r="455" spans="1:8" ht="15.6" x14ac:dyDescent="0.3">
      <c r="A455" s="132">
        <v>394</v>
      </c>
      <c r="B455" s="141">
        <v>46003</v>
      </c>
      <c r="C455" s="142" t="s">
        <v>391</v>
      </c>
      <c r="D455" s="142" t="s">
        <v>392</v>
      </c>
      <c r="E455" s="142" t="s">
        <v>340</v>
      </c>
      <c r="F455" s="157">
        <v>1</v>
      </c>
      <c r="G455" s="143">
        <v>70</v>
      </c>
      <c r="H455" s="196">
        <f t="shared" si="7"/>
        <v>70</v>
      </c>
    </row>
    <row r="456" spans="1:8" ht="15.6" x14ac:dyDescent="0.3">
      <c r="A456" s="132">
        <v>394</v>
      </c>
      <c r="B456" s="141">
        <v>46003</v>
      </c>
      <c r="C456" s="142" t="s">
        <v>391</v>
      </c>
      <c r="D456" s="195" t="s">
        <v>308</v>
      </c>
      <c r="E456" s="142" t="s">
        <v>354</v>
      </c>
      <c r="F456" s="157">
        <v>4</v>
      </c>
      <c r="G456" s="143">
        <v>36.75</v>
      </c>
      <c r="H456" s="196">
        <f t="shared" si="7"/>
        <v>147</v>
      </c>
    </row>
    <row r="457" spans="1:8" ht="15.6" x14ac:dyDescent="0.3">
      <c r="A457" s="132">
        <v>394</v>
      </c>
      <c r="B457" s="141">
        <v>46003</v>
      </c>
      <c r="C457" s="142" t="s">
        <v>391</v>
      </c>
      <c r="D457" s="195" t="s">
        <v>301</v>
      </c>
      <c r="E457" s="140" t="s">
        <v>74</v>
      </c>
      <c r="F457" s="157">
        <v>9</v>
      </c>
      <c r="G457" s="143">
        <v>36.75</v>
      </c>
      <c r="H457" s="196">
        <f t="shared" si="7"/>
        <v>330.75</v>
      </c>
    </row>
    <row r="458" spans="1:8" ht="15.6" x14ac:dyDescent="0.3">
      <c r="A458" s="132">
        <v>394</v>
      </c>
      <c r="B458" s="141">
        <v>46003</v>
      </c>
      <c r="C458" s="142" t="s">
        <v>391</v>
      </c>
      <c r="D458" s="195" t="s">
        <v>393</v>
      </c>
      <c r="E458" s="140" t="s">
        <v>74</v>
      </c>
      <c r="F458" s="157">
        <v>1</v>
      </c>
      <c r="G458" s="143">
        <v>50.5</v>
      </c>
      <c r="H458" s="196">
        <f t="shared" si="7"/>
        <v>50.5</v>
      </c>
    </row>
    <row r="459" spans="1:8" ht="15.6" x14ac:dyDescent="0.3">
      <c r="A459" s="132">
        <v>394</v>
      </c>
      <c r="B459" s="141">
        <v>46003</v>
      </c>
      <c r="C459" s="142" t="s">
        <v>391</v>
      </c>
      <c r="D459" s="195" t="s">
        <v>311</v>
      </c>
      <c r="E459" s="142" t="s">
        <v>51</v>
      </c>
      <c r="F459" s="157">
        <v>6</v>
      </c>
      <c r="G459" s="143">
        <v>25</v>
      </c>
      <c r="H459" s="196">
        <f t="shared" si="7"/>
        <v>150</v>
      </c>
    </row>
    <row r="460" spans="1:8" ht="15.6" x14ac:dyDescent="0.3">
      <c r="A460" s="132">
        <v>396</v>
      </c>
      <c r="B460" s="141">
        <v>46003</v>
      </c>
      <c r="C460" s="142" t="s">
        <v>317</v>
      </c>
      <c r="D460" s="195" t="s">
        <v>307</v>
      </c>
      <c r="E460" s="140" t="s">
        <v>74</v>
      </c>
      <c r="F460" s="157">
        <v>15</v>
      </c>
      <c r="G460" s="143">
        <v>47.5</v>
      </c>
      <c r="H460" s="196">
        <f t="shared" si="7"/>
        <v>712.5</v>
      </c>
    </row>
    <row r="461" spans="1:8" ht="15.6" x14ac:dyDescent="0.3">
      <c r="A461" s="132">
        <v>399</v>
      </c>
      <c r="B461" s="141">
        <v>46028</v>
      </c>
      <c r="C461" s="142" t="s">
        <v>378</v>
      </c>
      <c r="D461" s="195" t="s">
        <v>311</v>
      </c>
      <c r="E461" s="142" t="s">
        <v>51</v>
      </c>
      <c r="F461" s="157">
        <v>7</v>
      </c>
      <c r="G461" s="143">
        <v>25</v>
      </c>
      <c r="H461" s="196">
        <f t="shared" si="7"/>
        <v>175</v>
      </c>
    </row>
    <row r="462" spans="1:8" ht="15.6" x14ac:dyDescent="0.3">
      <c r="A462" s="132">
        <v>399</v>
      </c>
      <c r="B462" s="141">
        <v>46028</v>
      </c>
      <c r="C462" s="142" t="s">
        <v>378</v>
      </c>
      <c r="D462" s="195" t="s">
        <v>313</v>
      </c>
      <c r="E462" s="142" t="s">
        <v>80</v>
      </c>
      <c r="F462" s="157">
        <v>5</v>
      </c>
      <c r="G462" s="143">
        <v>21</v>
      </c>
      <c r="H462" s="196">
        <f t="shared" si="7"/>
        <v>105</v>
      </c>
    </row>
    <row r="463" spans="1:8" ht="15.6" x14ac:dyDescent="0.3">
      <c r="A463" s="132">
        <v>399</v>
      </c>
      <c r="B463" s="141">
        <v>46028</v>
      </c>
      <c r="C463" s="142" t="s">
        <v>378</v>
      </c>
      <c r="D463" s="195" t="s">
        <v>301</v>
      </c>
      <c r="E463" s="140" t="s">
        <v>74</v>
      </c>
      <c r="F463" s="157">
        <v>10</v>
      </c>
      <c r="G463" s="143">
        <v>36.75</v>
      </c>
      <c r="H463" s="196">
        <f t="shared" si="7"/>
        <v>367.5</v>
      </c>
    </row>
    <row r="464" spans="1:8" ht="15.6" x14ac:dyDescent="0.3">
      <c r="A464" s="132">
        <v>414</v>
      </c>
      <c r="B464" s="141">
        <v>46036</v>
      </c>
      <c r="C464" s="142" t="s">
        <v>391</v>
      </c>
      <c r="D464" s="195" t="s">
        <v>311</v>
      </c>
      <c r="E464" s="142" t="s">
        <v>51</v>
      </c>
      <c r="F464" s="157">
        <v>2</v>
      </c>
      <c r="G464" s="143">
        <v>25</v>
      </c>
      <c r="H464" s="196">
        <f t="shared" si="7"/>
        <v>50</v>
      </c>
    </row>
    <row r="465" spans="1:8" ht="15.6" x14ac:dyDescent="0.3">
      <c r="A465" s="132">
        <v>414</v>
      </c>
      <c r="B465" s="141">
        <v>46036</v>
      </c>
      <c r="C465" s="142" t="s">
        <v>391</v>
      </c>
      <c r="D465" s="195" t="s">
        <v>308</v>
      </c>
      <c r="E465" s="142" t="s">
        <v>354</v>
      </c>
      <c r="F465" s="157">
        <v>2</v>
      </c>
      <c r="G465" s="143">
        <v>36.75</v>
      </c>
      <c r="H465" s="196">
        <f t="shared" si="7"/>
        <v>73.5</v>
      </c>
    </row>
    <row r="466" spans="1:8" ht="15.6" x14ac:dyDescent="0.3">
      <c r="A466" s="132">
        <v>414</v>
      </c>
      <c r="B466" s="141">
        <v>46036</v>
      </c>
      <c r="C466" s="142" t="s">
        <v>391</v>
      </c>
      <c r="D466" s="142" t="s">
        <v>339</v>
      </c>
      <c r="E466" s="142" t="s">
        <v>340</v>
      </c>
      <c r="F466" s="157">
        <v>1</v>
      </c>
      <c r="G466" s="143">
        <v>65</v>
      </c>
      <c r="H466" s="196">
        <f t="shared" si="7"/>
        <v>65</v>
      </c>
    </row>
    <row r="467" spans="1:8" ht="15.6" x14ac:dyDescent="0.3">
      <c r="A467" s="132">
        <v>415</v>
      </c>
      <c r="B467" s="141">
        <v>46037</v>
      </c>
      <c r="C467" s="142" t="s">
        <v>394</v>
      </c>
      <c r="D467" s="195" t="s">
        <v>311</v>
      </c>
      <c r="E467" s="142" t="s">
        <v>51</v>
      </c>
      <c r="F467" s="157">
        <v>18</v>
      </c>
      <c r="G467" s="143">
        <v>25</v>
      </c>
      <c r="H467" s="196">
        <f t="shared" si="7"/>
        <v>450</v>
      </c>
    </row>
    <row r="468" spans="1:8" ht="15.6" x14ac:dyDescent="0.3">
      <c r="A468" s="132">
        <v>415</v>
      </c>
      <c r="B468" s="141">
        <v>46037</v>
      </c>
      <c r="C468" s="142" t="s">
        <v>394</v>
      </c>
      <c r="D468" s="195" t="s">
        <v>301</v>
      </c>
      <c r="E468" s="140" t="s">
        <v>74</v>
      </c>
      <c r="F468" s="157">
        <v>30</v>
      </c>
      <c r="G468" s="143">
        <v>36.75</v>
      </c>
      <c r="H468" s="196">
        <f t="shared" si="7"/>
        <v>1102.5</v>
      </c>
    </row>
    <row r="469" spans="1:8" ht="15.6" x14ac:dyDescent="0.3">
      <c r="A469" s="132">
        <v>415</v>
      </c>
      <c r="B469" s="141">
        <v>46037</v>
      </c>
      <c r="C469" s="142" t="s">
        <v>394</v>
      </c>
      <c r="D469" s="195" t="s">
        <v>313</v>
      </c>
      <c r="E469" s="142" t="s">
        <v>80</v>
      </c>
      <c r="F469" s="157">
        <v>15</v>
      </c>
      <c r="G469" s="143">
        <v>21</v>
      </c>
      <c r="H469" s="196">
        <f t="shared" si="7"/>
        <v>315</v>
      </c>
    </row>
    <row r="470" spans="1:8" ht="15.6" x14ac:dyDescent="0.3">
      <c r="A470" s="132">
        <v>423</v>
      </c>
      <c r="B470" s="141">
        <v>46041</v>
      </c>
      <c r="C470" s="195" t="s">
        <v>319</v>
      </c>
      <c r="D470" s="195" t="s">
        <v>308</v>
      </c>
      <c r="E470" s="142" t="s">
        <v>354</v>
      </c>
      <c r="F470" s="157">
        <v>6</v>
      </c>
      <c r="G470" s="143">
        <v>36.75</v>
      </c>
      <c r="H470" s="196">
        <f t="shared" si="7"/>
        <v>220.5</v>
      </c>
    </row>
    <row r="471" spans="1:8" ht="15.6" x14ac:dyDescent="0.3">
      <c r="A471" s="132">
        <v>423</v>
      </c>
      <c r="B471" s="141">
        <v>46041</v>
      </c>
      <c r="C471" s="195" t="s">
        <v>319</v>
      </c>
      <c r="D471" s="195" t="s">
        <v>301</v>
      </c>
      <c r="E471" s="140" t="s">
        <v>74</v>
      </c>
      <c r="F471" s="157">
        <v>8</v>
      </c>
      <c r="G471" s="143">
        <v>36.75</v>
      </c>
      <c r="H471" s="196">
        <f t="shared" si="7"/>
        <v>294</v>
      </c>
    </row>
    <row r="472" spans="1:8" ht="15.6" x14ac:dyDescent="0.3">
      <c r="A472" s="132">
        <v>423</v>
      </c>
      <c r="B472" s="141">
        <v>46041</v>
      </c>
      <c r="C472" s="195" t="s">
        <v>319</v>
      </c>
      <c r="D472" s="195" t="s">
        <v>311</v>
      </c>
      <c r="E472" s="142" t="s">
        <v>51</v>
      </c>
      <c r="F472" s="157">
        <v>3</v>
      </c>
      <c r="G472" s="143">
        <v>25</v>
      </c>
      <c r="H472" s="196">
        <f t="shared" si="7"/>
        <v>75</v>
      </c>
    </row>
    <row r="473" spans="1:8" ht="15.6" x14ac:dyDescent="0.3">
      <c r="A473" s="132">
        <v>425</v>
      </c>
      <c r="B473" s="141">
        <v>46044</v>
      </c>
      <c r="C473" s="142" t="s">
        <v>395</v>
      </c>
      <c r="D473" s="142" t="s">
        <v>339</v>
      </c>
      <c r="E473" s="142" t="s">
        <v>340</v>
      </c>
      <c r="F473" s="157">
        <v>1</v>
      </c>
      <c r="G473" s="143">
        <v>65</v>
      </c>
      <c r="H473" s="196">
        <f t="shared" si="7"/>
        <v>65</v>
      </c>
    </row>
    <row r="474" spans="1:8" ht="15.6" x14ac:dyDescent="0.3">
      <c r="A474" s="132">
        <v>425</v>
      </c>
      <c r="B474" s="141">
        <v>46044</v>
      </c>
      <c r="C474" s="142" t="s">
        <v>395</v>
      </c>
      <c r="D474" s="195" t="s">
        <v>311</v>
      </c>
      <c r="E474" s="142" t="s">
        <v>51</v>
      </c>
      <c r="F474" s="157">
        <v>7</v>
      </c>
      <c r="G474" s="143">
        <v>25</v>
      </c>
      <c r="H474" s="196">
        <f t="shared" si="7"/>
        <v>175</v>
      </c>
    </row>
    <row r="475" spans="1:8" ht="15.6" x14ac:dyDescent="0.3">
      <c r="A475" s="132">
        <v>449</v>
      </c>
      <c r="B475" s="141">
        <v>46071</v>
      </c>
      <c r="C475" s="142" t="s">
        <v>396</v>
      </c>
      <c r="D475" s="195" t="s">
        <v>311</v>
      </c>
      <c r="E475" s="142" t="s">
        <v>51</v>
      </c>
      <c r="F475" s="157">
        <v>5</v>
      </c>
      <c r="G475" s="143">
        <v>25</v>
      </c>
      <c r="H475" s="196">
        <f t="shared" si="7"/>
        <v>125</v>
      </c>
    </row>
    <row r="476" spans="1:8" ht="15.6" x14ac:dyDescent="0.3">
      <c r="A476" s="132">
        <v>449</v>
      </c>
      <c r="B476" s="141">
        <v>46071</v>
      </c>
      <c r="C476" s="142" t="s">
        <v>396</v>
      </c>
      <c r="D476" s="195" t="s">
        <v>313</v>
      </c>
      <c r="E476" s="142" t="s">
        <v>80</v>
      </c>
      <c r="F476" s="157">
        <v>3</v>
      </c>
      <c r="G476" s="143">
        <v>21</v>
      </c>
      <c r="H476" s="196">
        <f t="shared" si="7"/>
        <v>63</v>
      </c>
    </row>
    <row r="477" spans="1:8" ht="15.6" x14ac:dyDescent="0.3">
      <c r="A477" s="132">
        <v>449</v>
      </c>
      <c r="B477" s="141">
        <v>46071</v>
      </c>
      <c r="C477" s="142" t="s">
        <v>396</v>
      </c>
      <c r="D477" s="195" t="s">
        <v>301</v>
      </c>
      <c r="E477" s="140" t="s">
        <v>74</v>
      </c>
      <c r="F477" s="157">
        <v>4</v>
      </c>
      <c r="G477" s="143">
        <v>36.75</v>
      </c>
      <c r="H477" s="196">
        <f t="shared" si="7"/>
        <v>147</v>
      </c>
    </row>
    <row r="478" spans="1:8" ht="15.6" x14ac:dyDescent="0.3">
      <c r="A478" s="132">
        <v>449</v>
      </c>
      <c r="B478" s="141">
        <v>46071</v>
      </c>
      <c r="C478" s="142" t="s">
        <v>396</v>
      </c>
      <c r="D478" s="195" t="s">
        <v>308</v>
      </c>
      <c r="E478" s="142" t="s">
        <v>354</v>
      </c>
      <c r="F478" s="157">
        <v>8</v>
      </c>
      <c r="G478" s="143">
        <v>36.75</v>
      </c>
      <c r="H478" s="196">
        <f t="shared" si="7"/>
        <v>294</v>
      </c>
    </row>
    <row r="479" spans="1:8" ht="15.6" x14ac:dyDescent="0.3">
      <c r="A479" s="132">
        <v>451</v>
      </c>
      <c r="B479" s="141">
        <v>46072</v>
      </c>
      <c r="C479" s="142" t="s">
        <v>373</v>
      </c>
      <c r="D479" s="195" t="s">
        <v>313</v>
      </c>
      <c r="E479" s="142" t="s">
        <v>80</v>
      </c>
      <c r="F479" s="157">
        <v>2</v>
      </c>
      <c r="G479" s="143">
        <v>21</v>
      </c>
      <c r="H479" s="196">
        <f t="shared" si="7"/>
        <v>42</v>
      </c>
    </row>
    <row r="480" spans="1:8" ht="15.6" x14ac:dyDescent="0.3">
      <c r="A480" s="132">
        <v>451</v>
      </c>
      <c r="B480" s="141">
        <v>46072</v>
      </c>
      <c r="C480" s="142" t="s">
        <v>373</v>
      </c>
      <c r="D480" s="195" t="s">
        <v>311</v>
      </c>
      <c r="E480" s="142" t="s">
        <v>51</v>
      </c>
      <c r="F480" s="157">
        <v>4</v>
      </c>
      <c r="G480" s="143">
        <v>25</v>
      </c>
      <c r="H480" s="196">
        <f t="shared" si="7"/>
        <v>100</v>
      </c>
    </row>
    <row r="481" spans="1:8" ht="15.6" x14ac:dyDescent="0.3">
      <c r="A481" s="132">
        <v>451</v>
      </c>
      <c r="B481" s="141">
        <v>46072</v>
      </c>
      <c r="C481" s="142" t="s">
        <v>373</v>
      </c>
      <c r="D481" s="195" t="s">
        <v>307</v>
      </c>
      <c r="E481" s="140" t="s">
        <v>74</v>
      </c>
      <c r="F481" s="157">
        <v>4</v>
      </c>
      <c r="G481" s="143">
        <v>47.5</v>
      </c>
      <c r="H481" s="196">
        <f t="shared" si="7"/>
        <v>190</v>
      </c>
    </row>
    <row r="482" spans="1:8" ht="15.6" x14ac:dyDescent="0.3">
      <c r="A482" s="132">
        <v>451</v>
      </c>
      <c r="B482" s="141">
        <v>46072</v>
      </c>
      <c r="C482" s="142" t="s">
        <v>373</v>
      </c>
      <c r="D482" s="140" t="s">
        <v>356</v>
      </c>
      <c r="E482" s="140" t="s">
        <v>321</v>
      </c>
      <c r="F482" s="157">
        <v>2</v>
      </c>
      <c r="G482" s="143">
        <v>85</v>
      </c>
      <c r="H482" s="196">
        <f t="shared" si="7"/>
        <v>170</v>
      </c>
    </row>
    <row r="483" spans="1:8" ht="15.6" x14ac:dyDescent="0.3">
      <c r="A483" s="132">
        <v>451</v>
      </c>
      <c r="B483" s="141">
        <v>46072</v>
      </c>
      <c r="C483" s="142" t="s">
        <v>373</v>
      </c>
      <c r="D483" s="195" t="s">
        <v>308</v>
      </c>
      <c r="E483" s="142" t="s">
        <v>354</v>
      </c>
      <c r="F483" s="157">
        <v>2</v>
      </c>
      <c r="G483" s="143">
        <v>36.75</v>
      </c>
      <c r="H483" s="196">
        <f t="shared" si="7"/>
        <v>73.5</v>
      </c>
    </row>
    <row r="484" spans="1:8" ht="15.6" x14ac:dyDescent="0.3">
      <c r="A484" s="132">
        <v>456</v>
      </c>
      <c r="B484" s="141">
        <v>46079</v>
      </c>
      <c r="C484" s="142" t="s">
        <v>397</v>
      </c>
      <c r="D484" s="195" t="s">
        <v>307</v>
      </c>
      <c r="E484" s="140" t="s">
        <v>74</v>
      </c>
      <c r="F484" s="157">
        <v>2</v>
      </c>
      <c r="G484" s="143">
        <v>47.5</v>
      </c>
      <c r="H484" s="196">
        <f t="shared" si="7"/>
        <v>95</v>
      </c>
    </row>
    <row r="485" spans="1:8" ht="15.6" x14ac:dyDescent="0.3">
      <c r="A485" s="132">
        <v>456</v>
      </c>
      <c r="B485" s="141">
        <v>46079</v>
      </c>
      <c r="C485" s="142" t="s">
        <v>397</v>
      </c>
      <c r="D485" s="195" t="s">
        <v>308</v>
      </c>
      <c r="E485" s="142" t="s">
        <v>354</v>
      </c>
      <c r="F485" s="157">
        <v>8</v>
      </c>
      <c r="G485" s="143">
        <v>36.75</v>
      </c>
      <c r="H485" s="196">
        <f t="shared" si="7"/>
        <v>294</v>
      </c>
    </row>
    <row r="486" spans="1:8" ht="15.6" x14ac:dyDescent="0.3">
      <c r="A486" s="132">
        <v>456</v>
      </c>
      <c r="B486" s="141">
        <v>46079</v>
      </c>
      <c r="C486" s="142" t="s">
        <v>397</v>
      </c>
      <c r="D486" s="195" t="s">
        <v>311</v>
      </c>
      <c r="E486" s="142" t="s">
        <v>51</v>
      </c>
      <c r="F486" s="157">
        <v>4</v>
      </c>
      <c r="G486" s="143">
        <v>25</v>
      </c>
      <c r="H486" s="196">
        <f t="shared" si="7"/>
        <v>100</v>
      </c>
    </row>
    <row r="487" spans="1:8" ht="15.6" x14ac:dyDescent="0.3">
      <c r="A487" s="132">
        <v>465</v>
      </c>
      <c r="B487" s="141">
        <v>46084</v>
      </c>
      <c r="C487" s="195" t="s">
        <v>319</v>
      </c>
      <c r="D487" s="195" t="s">
        <v>301</v>
      </c>
      <c r="E487" s="142" t="s">
        <v>74</v>
      </c>
      <c r="F487" s="157">
        <v>6</v>
      </c>
      <c r="G487" s="143">
        <v>36.75</v>
      </c>
      <c r="H487" s="196">
        <f t="shared" si="7"/>
        <v>220.5</v>
      </c>
    </row>
    <row r="488" spans="1:8" ht="15.6" x14ac:dyDescent="0.3">
      <c r="A488" s="132">
        <v>465</v>
      </c>
      <c r="B488" s="141">
        <v>46084</v>
      </c>
      <c r="C488" s="195" t="s">
        <v>319</v>
      </c>
      <c r="D488" s="195" t="s">
        <v>308</v>
      </c>
      <c r="E488" s="142" t="s">
        <v>354</v>
      </c>
      <c r="F488" s="157">
        <v>15</v>
      </c>
      <c r="G488" s="143">
        <v>36.75</v>
      </c>
      <c r="H488" s="196">
        <f t="shared" si="7"/>
        <v>551.25</v>
      </c>
    </row>
    <row r="489" spans="1:8" ht="15.6" x14ac:dyDescent="0.3">
      <c r="A489" s="132">
        <v>465</v>
      </c>
      <c r="B489" s="141">
        <v>46084</v>
      </c>
      <c r="C489" s="195" t="s">
        <v>319</v>
      </c>
      <c r="D489" s="195" t="s">
        <v>311</v>
      </c>
      <c r="E489" s="142" t="s">
        <v>51</v>
      </c>
      <c r="F489" s="157">
        <v>4</v>
      </c>
      <c r="G489" s="143">
        <v>25</v>
      </c>
      <c r="H489" s="196">
        <f t="shared" si="7"/>
        <v>100</v>
      </c>
    </row>
    <row r="490" spans="1:8" ht="15.6" x14ac:dyDescent="0.3">
      <c r="A490" s="132">
        <v>469</v>
      </c>
      <c r="B490" s="141">
        <v>46086</v>
      </c>
      <c r="C490" s="142" t="s">
        <v>362</v>
      </c>
      <c r="D490" s="142" t="s">
        <v>339</v>
      </c>
      <c r="E490" s="142" t="s">
        <v>340</v>
      </c>
      <c r="F490" s="157">
        <v>2</v>
      </c>
      <c r="G490" s="143">
        <v>65</v>
      </c>
      <c r="H490" s="196">
        <f t="shared" si="7"/>
        <v>130</v>
      </c>
    </row>
    <row r="491" spans="1:8" ht="15.6" x14ac:dyDescent="0.3">
      <c r="A491" s="132">
        <v>469</v>
      </c>
      <c r="B491" s="141">
        <v>46086</v>
      </c>
      <c r="C491" s="142" t="s">
        <v>362</v>
      </c>
      <c r="D491" s="195" t="s">
        <v>313</v>
      </c>
      <c r="E491" s="142" t="s">
        <v>80</v>
      </c>
      <c r="F491" s="157">
        <v>5</v>
      </c>
      <c r="G491" s="143">
        <v>21</v>
      </c>
      <c r="H491" s="196">
        <f t="shared" si="7"/>
        <v>105</v>
      </c>
    </row>
    <row r="492" spans="1:8" ht="15.6" x14ac:dyDescent="0.3">
      <c r="A492" s="132">
        <v>469</v>
      </c>
      <c r="B492" s="141">
        <v>46086</v>
      </c>
      <c r="C492" s="142" t="s">
        <v>362</v>
      </c>
      <c r="D492" s="195" t="s">
        <v>301</v>
      </c>
      <c r="E492" s="142" t="s">
        <v>74</v>
      </c>
      <c r="F492" s="157">
        <v>8</v>
      </c>
      <c r="G492" s="143">
        <v>36.75</v>
      </c>
      <c r="H492" s="196">
        <f t="shared" si="7"/>
        <v>294</v>
      </c>
    </row>
    <row r="493" spans="1:8" ht="15.6" x14ac:dyDescent="0.3">
      <c r="A493" s="132">
        <v>469</v>
      </c>
      <c r="B493" s="141">
        <v>46086</v>
      </c>
      <c r="C493" s="142" t="s">
        <v>362</v>
      </c>
      <c r="D493" s="195" t="s">
        <v>308</v>
      </c>
      <c r="E493" s="142" t="s">
        <v>354</v>
      </c>
      <c r="F493" s="157">
        <v>8</v>
      </c>
      <c r="G493" s="143">
        <v>36.75</v>
      </c>
      <c r="H493" s="196">
        <f t="shared" si="7"/>
        <v>294</v>
      </c>
    </row>
    <row r="494" spans="1:8" ht="15.6" x14ac:dyDescent="0.3">
      <c r="A494" s="132">
        <v>478</v>
      </c>
      <c r="B494" s="141">
        <v>46097</v>
      </c>
      <c r="C494" s="142" t="s">
        <v>387</v>
      </c>
      <c r="D494" s="195" t="s">
        <v>311</v>
      </c>
      <c r="E494" s="142" t="s">
        <v>51</v>
      </c>
      <c r="F494" s="157">
        <v>4</v>
      </c>
      <c r="G494" s="143">
        <v>25</v>
      </c>
      <c r="H494" s="196">
        <f t="shared" si="7"/>
        <v>100</v>
      </c>
    </row>
    <row r="495" spans="1:8" ht="15.6" x14ac:dyDescent="0.3">
      <c r="A495" s="132">
        <v>478</v>
      </c>
      <c r="B495" s="141">
        <v>46097</v>
      </c>
      <c r="C495" s="142" t="s">
        <v>387</v>
      </c>
      <c r="D495" s="195" t="s">
        <v>313</v>
      </c>
      <c r="E495" s="142" t="s">
        <v>80</v>
      </c>
      <c r="F495" s="157">
        <v>6</v>
      </c>
      <c r="G495" s="143">
        <v>21</v>
      </c>
      <c r="H495" s="196">
        <f t="shared" si="7"/>
        <v>126</v>
      </c>
    </row>
    <row r="496" spans="1:8" ht="15.6" x14ac:dyDescent="0.3">
      <c r="A496" s="132">
        <v>478</v>
      </c>
      <c r="B496" s="141">
        <v>46097</v>
      </c>
      <c r="C496" s="142" t="s">
        <v>387</v>
      </c>
      <c r="D496" s="142" t="s">
        <v>339</v>
      </c>
      <c r="E496" s="142" t="s">
        <v>340</v>
      </c>
      <c r="F496" s="157">
        <v>4</v>
      </c>
      <c r="G496" s="143">
        <v>65</v>
      </c>
      <c r="H496" s="196">
        <f t="shared" si="7"/>
        <v>260</v>
      </c>
    </row>
    <row r="497" spans="1:8" ht="15.6" x14ac:dyDescent="0.3">
      <c r="A497" s="132">
        <v>478</v>
      </c>
      <c r="B497" s="141">
        <v>46097</v>
      </c>
      <c r="C497" s="142" t="s">
        <v>387</v>
      </c>
      <c r="D497" s="195" t="s">
        <v>301</v>
      </c>
      <c r="E497" s="142" t="s">
        <v>74</v>
      </c>
      <c r="F497" s="157">
        <v>2</v>
      </c>
      <c r="G497" s="143">
        <v>36.75</v>
      </c>
      <c r="H497" s="196">
        <f t="shared" si="7"/>
        <v>73.5</v>
      </c>
    </row>
    <row r="498" spans="1:8" ht="15.6" x14ac:dyDescent="0.3">
      <c r="A498" s="132">
        <v>478</v>
      </c>
      <c r="B498" s="141">
        <v>46097</v>
      </c>
      <c r="C498" s="142" t="s">
        <v>387</v>
      </c>
      <c r="D498" s="195" t="s">
        <v>308</v>
      </c>
      <c r="E498" s="142" t="s">
        <v>354</v>
      </c>
      <c r="F498" s="157">
        <v>1</v>
      </c>
      <c r="G498" s="143">
        <v>36.75</v>
      </c>
      <c r="H498" s="196">
        <f t="shared" si="7"/>
        <v>36.75</v>
      </c>
    </row>
    <row r="499" spans="1:8" ht="15.6" x14ac:dyDescent="0.3">
      <c r="A499" s="132">
        <v>485</v>
      </c>
      <c r="B499" s="141">
        <v>46100</v>
      </c>
      <c r="C499" s="142" t="s">
        <v>379</v>
      </c>
      <c r="D499" s="195" t="s">
        <v>311</v>
      </c>
      <c r="E499" s="142" t="s">
        <v>51</v>
      </c>
      <c r="F499" s="157">
        <v>2</v>
      </c>
      <c r="G499" s="143">
        <v>25</v>
      </c>
      <c r="H499" s="196">
        <f t="shared" si="7"/>
        <v>50</v>
      </c>
    </row>
    <row r="500" spans="1:8" ht="15.6" x14ac:dyDescent="0.3">
      <c r="A500" s="132">
        <v>485</v>
      </c>
      <c r="B500" s="141">
        <v>46100</v>
      </c>
      <c r="C500" s="142" t="s">
        <v>379</v>
      </c>
      <c r="D500" s="195" t="s">
        <v>313</v>
      </c>
      <c r="E500" s="142" t="s">
        <v>80</v>
      </c>
      <c r="F500" s="157">
        <v>2</v>
      </c>
      <c r="G500" s="143">
        <v>21</v>
      </c>
      <c r="H500" s="196">
        <f t="shared" si="7"/>
        <v>42</v>
      </c>
    </row>
    <row r="501" spans="1:8" ht="15.6" x14ac:dyDescent="0.3">
      <c r="A501" s="132">
        <v>485</v>
      </c>
      <c r="B501" s="141">
        <v>46100</v>
      </c>
      <c r="C501" s="142" t="s">
        <v>379</v>
      </c>
      <c r="D501" s="195" t="s">
        <v>308</v>
      </c>
      <c r="E501" s="142" t="s">
        <v>354</v>
      </c>
      <c r="F501" s="157">
        <v>3</v>
      </c>
      <c r="G501" s="143">
        <v>36.75</v>
      </c>
      <c r="H501" s="196">
        <f t="shared" si="7"/>
        <v>110.25</v>
      </c>
    </row>
    <row r="502" spans="1:8" ht="15.6" x14ac:dyDescent="0.3">
      <c r="A502" s="132">
        <v>485</v>
      </c>
      <c r="B502" s="141">
        <v>46100</v>
      </c>
      <c r="C502" s="142" t="s">
        <v>379</v>
      </c>
      <c r="D502" s="195" t="s">
        <v>301</v>
      </c>
      <c r="E502" s="142" t="s">
        <v>74</v>
      </c>
      <c r="F502" s="157">
        <v>1</v>
      </c>
      <c r="G502" s="143">
        <v>36.75</v>
      </c>
      <c r="H502" s="196">
        <f t="shared" si="7"/>
        <v>36.75</v>
      </c>
    </row>
    <row r="503" spans="1:8" ht="15.6" x14ac:dyDescent="0.3">
      <c r="A503" s="132">
        <v>491</v>
      </c>
      <c r="B503" s="141">
        <v>46104</v>
      </c>
      <c r="C503" s="142" t="s">
        <v>371</v>
      </c>
      <c r="D503" s="195" t="s">
        <v>311</v>
      </c>
      <c r="E503" s="142" t="s">
        <v>51</v>
      </c>
      <c r="F503" s="157">
        <v>6</v>
      </c>
      <c r="G503" s="143">
        <v>25</v>
      </c>
      <c r="H503" s="196">
        <f t="shared" si="7"/>
        <v>150</v>
      </c>
    </row>
    <row r="504" spans="1:8" ht="15.6" x14ac:dyDescent="0.3">
      <c r="A504" s="132">
        <v>492</v>
      </c>
      <c r="B504" s="141">
        <v>46108</v>
      </c>
      <c r="C504" s="142" t="s">
        <v>371</v>
      </c>
      <c r="D504" s="195" t="s">
        <v>301</v>
      </c>
      <c r="E504" s="142" t="s">
        <v>74</v>
      </c>
      <c r="F504" s="157">
        <v>8</v>
      </c>
      <c r="G504" s="143">
        <v>36.75</v>
      </c>
      <c r="H504" s="196">
        <f t="shared" si="7"/>
        <v>294</v>
      </c>
    </row>
    <row r="505" spans="1:8" ht="15.6" x14ac:dyDescent="0.3">
      <c r="A505" s="132">
        <v>500</v>
      </c>
      <c r="B505" s="141">
        <v>46111</v>
      </c>
      <c r="C505" s="142" t="s">
        <v>398</v>
      </c>
      <c r="D505" s="195" t="s">
        <v>311</v>
      </c>
      <c r="E505" s="142" t="s">
        <v>51</v>
      </c>
      <c r="F505" s="157">
        <v>9</v>
      </c>
      <c r="G505" s="143">
        <v>25</v>
      </c>
      <c r="H505" s="196">
        <f t="shared" si="7"/>
        <v>225</v>
      </c>
    </row>
    <row r="506" spans="1:8" ht="15.6" x14ac:dyDescent="0.3">
      <c r="A506" s="132">
        <v>500</v>
      </c>
      <c r="B506" s="141">
        <v>46111</v>
      </c>
      <c r="C506" s="142" t="s">
        <v>398</v>
      </c>
      <c r="D506" s="195" t="s">
        <v>301</v>
      </c>
      <c r="E506" s="142" t="s">
        <v>74</v>
      </c>
      <c r="F506" s="157">
        <v>24</v>
      </c>
      <c r="G506" s="143">
        <v>36.75</v>
      </c>
      <c r="H506" s="196">
        <f t="shared" si="7"/>
        <v>882</v>
      </c>
    </row>
    <row r="507" spans="1:8" ht="15.6" x14ac:dyDescent="0.3">
      <c r="A507" s="132">
        <v>500</v>
      </c>
      <c r="B507" s="141">
        <v>46111</v>
      </c>
      <c r="C507" s="142" t="s">
        <v>398</v>
      </c>
      <c r="D507" s="140" t="s">
        <v>328</v>
      </c>
      <c r="E507" s="142" t="s">
        <v>190</v>
      </c>
      <c r="F507" s="157">
        <v>13</v>
      </c>
      <c r="G507" s="143">
        <v>75</v>
      </c>
      <c r="H507" s="196">
        <f t="shared" si="7"/>
        <v>975</v>
      </c>
    </row>
    <row r="508" spans="1:8" ht="15.6" x14ac:dyDescent="0.3">
      <c r="A508" s="132">
        <v>500</v>
      </c>
      <c r="B508" s="141">
        <v>46111</v>
      </c>
      <c r="C508" s="142" t="s">
        <v>398</v>
      </c>
      <c r="D508" s="140" t="s">
        <v>356</v>
      </c>
      <c r="E508" s="140" t="s">
        <v>321</v>
      </c>
      <c r="F508" s="157">
        <v>1</v>
      </c>
      <c r="G508" s="143">
        <v>85</v>
      </c>
      <c r="H508" s="196">
        <f t="shared" si="7"/>
        <v>85</v>
      </c>
    </row>
    <row r="509" spans="1:8" ht="15.6" x14ac:dyDescent="0.3">
      <c r="A509" s="137">
        <v>500</v>
      </c>
      <c r="B509" s="200">
        <v>46111</v>
      </c>
      <c r="C509" s="182" t="s">
        <v>398</v>
      </c>
      <c r="D509" s="195" t="s">
        <v>313</v>
      </c>
      <c r="E509" s="182" t="s">
        <v>80</v>
      </c>
      <c r="F509" s="189">
        <v>6</v>
      </c>
      <c r="G509" s="183">
        <v>21</v>
      </c>
      <c r="H509" s="196">
        <f t="shared" si="7"/>
        <v>126</v>
      </c>
    </row>
    <row r="510" spans="1:8" ht="15.6" x14ac:dyDescent="0.3">
      <c r="A510" s="137">
        <v>521</v>
      </c>
      <c r="B510" s="200">
        <v>46134</v>
      </c>
      <c r="C510" s="182" t="s">
        <v>399</v>
      </c>
      <c r="D510" s="195" t="s">
        <v>301</v>
      </c>
      <c r="E510" s="182" t="s">
        <v>74</v>
      </c>
      <c r="F510" s="189">
        <v>16</v>
      </c>
      <c r="G510" s="183">
        <v>36.75</v>
      </c>
      <c r="H510" s="196">
        <f t="shared" si="7"/>
        <v>588</v>
      </c>
    </row>
    <row r="511" spans="1:8" ht="15.6" x14ac:dyDescent="0.3">
      <c r="A511" s="137">
        <v>521</v>
      </c>
      <c r="B511" s="200">
        <v>46134</v>
      </c>
      <c r="C511" s="182" t="s">
        <v>399</v>
      </c>
      <c r="D511" s="142" t="s">
        <v>339</v>
      </c>
      <c r="E511" s="182" t="s">
        <v>340</v>
      </c>
      <c r="F511" s="189">
        <v>4</v>
      </c>
      <c r="G511" s="183">
        <v>65</v>
      </c>
      <c r="H511" s="196">
        <f t="shared" si="7"/>
        <v>260</v>
      </c>
    </row>
    <row r="512" spans="1:8" ht="15.6" x14ac:dyDescent="0.3">
      <c r="A512" s="137">
        <v>521</v>
      </c>
      <c r="B512" s="200">
        <v>46134</v>
      </c>
      <c r="C512" s="182" t="s">
        <v>399</v>
      </c>
      <c r="D512" s="195" t="s">
        <v>313</v>
      </c>
      <c r="E512" s="182" t="s">
        <v>80</v>
      </c>
      <c r="F512" s="189">
        <v>10</v>
      </c>
      <c r="G512" s="183">
        <v>21</v>
      </c>
      <c r="H512" s="196">
        <f t="shared" si="7"/>
        <v>210</v>
      </c>
    </row>
    <row r="513" spans="1:8" ht="15.6" x14ac:dyDescent="0.3">
      <c r="A513" s="137">
        <v>521</v>
      </c>
      <c r="B513" s="200">
        <v>46134</v>
      </c>
      <c r="C513" s="182" t="s">
        <v>399</v>
      </c>
      <c r="D513" s="195" t="s">
        <v>311</v>
      </c>
      <c r="E513" s="182" t="s">
        <v>51</v>
      </c>
      <c r="F513" s="189">
        <v>10</v>
      </c>
      <c r="G513" s="183">
        <v>25</v>
      </c>
      <c r="H513" s="196">
        <f t="shared" si="7"/>
        <v>250</v>
      </c>
    </row>
    <row r="514" spans="1:8" ht="15.6" x14ac:dyDescent="0.3">
      <c r="A514" s="137">
        <v>522</v>
      </c>
      <c r="B514" s="200">
        <v>46135</v>
      </c>
      <c r="C514" s="182" t="s">
        <v>400</v>
      </c>
      <c r="D514" s="195" t="s">
        <v>301</v>
      </c>
      <c r="E514" s="142" t="s">
        <v>74</v>
      </c>
      <c r="F514" s="189">
        <v>8</v>
      </c>
      <c r="G514" s="183">
        <v>36.75</v>
      </c>
      <c r="H514" s="196">
        <f t="shared" si="7"/>
        <v>294</v>
      </c>
    </row>
    <row r="515" spans="1:8" ht="15.6" x14ac:dyDescent="0.3">
      <c r="A515" s="137">
        <v>522</v>
      </c>
      <c r="B515" s="200">
        <v>46135</v>
      </c>
      <c r="C515" s="182" t="s">
        <v>400</v>
      </c>
      <c r="D515" s="195" t="s">
        <v>311</v>
      </c>
      <c r="E515" s="182" t="s">
        <v>51</v>
      </c>
      <c r="F515" s="189">
        <v>2</v>
      </c>
      <c r="G515" s="183">
        <v>25</v>
      </c>
      <c r="H515" s="196">
        <f t="shared" si="7"/>
        <v>50</v>
      </c>
    </row>
    <row r="516" spans="1:8" ht="15.6" x14ac:dyDescent="0.3">
      <c r="A516" s="137">
        <v>522</v>
      </c>
      <c r="B516" s="200">
        <v>46135</v>
      </c>
      <c r="C516" s="182" t="s">
        <v>400</v>
      </c>
      <c r="D516" s="195" t="s">
        <v>313</v>
      </c>
      <c r="E516" s="182" t="s">
        <v>80</v>
      </c>
      <c r="F516" s="189">
        <v>3</v>
      </c>
      <c r="G516" s="183">
        <v>21</v>
      </c>
      <c r="H516" s="196">
        <f t="shared" si="7"/>
        <v>63</v>
      </c>
    </row>
    <row r="517" spans="1:8" ht="15.6" x14ac:dyDescent="0.3">
      <c r="A517" s="137">
        <v>539</v>
      </c>
      <c r="B517" s="200">
        <v>46150</v>
      </c>
      <c r="C517" s="182" t="s">
        <v>401</v>
      </c>
      <c r="D517" s="140" t="s">
        <v>328</v>
      </c>
      <c r="E517" s="182" t="s">
        <v>190</v>
      </c>
      <c r="F517" s="189">
        <v>4</v>
      </c>
      <c r="G517" s="183">
        <v>80</v>
      </c>
      <c r="H517" s="196">
        <f t="shared" ref="H517:H570" si="8">G517*F517</f>
        <v>320</v>
      </c>
    </row>
    <row r="518" spans="1:8" ht="15.6" x14ac:dyDescent="0.3">
      <c r="A518" s="137">
        <v>539</v>
      </c>
      <c r="B518" s="200">
        <v>46150</v>
      </c>
      <c r="C518" s="182" t="s">
        <v>401</v>
      </c>
      <c r="D518" s="195" t="s">
        <v>301</v>
      </c>
      <c r="E518" s="182" t="s">
        <v>74</v>
      </c>
      <c r="F518" s="189">
        <v>6</v>
      </c>
      <c r="G518" s="183">
        <v>36.75</v>
      </c>
      <c r="H518" s="196">
        <f t="shared" si="8"/>
        <v>220.5</v>
      </c>
    </row>
    <row r="519" spans="1:8" ht="15.6" x14ac:dyDescent="0.3">
      <c r="A519" s="137">
        <v>539</v>
      </c>
      <c r="B519" s="200">
        <v>46150</v>
      </c>
      <c r="C519" s="182" t="s">
        <v>401</v>
      </c>
      <c r="D519" s="140" t="s">
        <v>328</v>
      </c>
      <c r="E519" s="182" t="s">
        <v>190</v>
      </c>
      <c r="F519" s="189">
        <v>1</v>
      </c>
      <c r="G519" s="183">
        <v>90</v>
      </c>
      <c r="H519" s="196">
        <f t="shared" si="8"/>
        <v>90</v>
      </c>
    </row>
    <row r="520" spans="1:8" ht="15.6" x14ac:dyDescent="0.3">
      <c r="A520" s="137">
        <v>557</v>
      </c>
      <c r="B520" s="200">
        <v>46157</v>
      </c>
      <c r="C520" s="182" t="s">
        <v>391</v>
      </c>
      <c r="D520" s="140" t="s">
        <v>356</v>
      </c>
      <c r="E520" s="144" t="s">
        <v>321</v>
      </c>
      <c r="F520" s="189">
        <v>6</v>
      </c>
      <c r="G520" s="183">
        <v>85</v>
      </c>
      <c r="H520" s="196">
        <f t="shared" si="8"/>
        <v>510</v>
      </c>
    </row>
    <row r="521" spans="1:8" ht="15.6" x14ac:dyDescent="0.3">
      <c r="A521" s="137">
        <v>575</v>
      </c>
      <c r="B521" s="200">
        <v>46170</v>
      </c>
      <c r="C521" s="182" t="s">
        <v>400</v>
      </c>
      <c r="D521" s="195" t="s">
        <v>301</v>
      </c>
      <c r="E521" s="182" t="s">
        <v>74</v>
      </c>
      <c r="F521" s="189">
        <v>4</v>
      </c>
      <c r="G521" s="183">
        <v>36.75</v>
      </c>
      <c r="H521" s="196">
        <f t="shared" si="8"/>
        <v>147</v>
      </c>
    </row>
    <row r="522" spans="1:8" ht="15.6" x14ac:dyDescent="0.3">
      <c r="A522" s="137">
        <v>575</v>
      </c>
      <c r="B522" s="200">
        <v>46170</v>
      </c>
      <c r="C522" s="142" t="s">
        <v>400</v>
      </c>
      <c r="D522" s="195" t="s">
        <v>311</v>
      </c>
      <c r="E522" s="182" t="s">
        <v>51</v>
      </c>
      <c r="F522" s="189">
        <v>1</v>
      </c>
      <c r="G522" s="183">
        <v>25</v>
      </c>
      <c r="H522" s="196">
        <f t="shared" si="8"/>
        <v>25</v>
      </c>
    </row>
    <row r="523" spans="1:8" ht="15.6" x14ac:dyDescent="0.3">
      <c r="A523" s="137">
        <v>575</v>
      </c>
      <c r="B523" s="200">
        <v>46170</v>
      </c>
      <c r="C523" s="142" t="s">
        <v>400</v>
      </c>
      <c r="D523" s="195" t="s">
        <v>313</v>
      </c>
      <c r="E523" s="182" t="s">
        <v>80</v>
      </c>
      <c r="F523" s="189">
        <v>2</v>
      </c>
      <c r="G523" s="183">
        <v>21</v>
      </c>
      <c r="H523" s="196">
        <f t="shared" si="8"/>
        <v>42</v>
      </c>
    </row>
    <row r="524" spans="1:8" ht="15.6" x14ac:dyDescent="0.3">
      <c r="A524" s="137">
        <v>581</v>
      </c>
      <c r="B524" s="135">
        <v>46175</v>
      </c>
      <c r="C524" s="130" t="s">
        <v>394</v>
      </c>
      <c r="D524" s="195" t="s">
        <v>311</v>
      </c>
      <c r="E524" s="137" t="s">
        <v>51</v>
      </c>
      <c r="F524" s="166">
        <v>10</v>
      </c>
      <c r="G524" s="167">
        <v>25</v>
      </c>
      <c r="H524" s="196">
        <f t="shared" si="8"/>
        <v>250</v>
      </c>
    </row>
    <row r="525" spans="1:8" ht="15.6" x14ac:dyDescent="0.3">
      <c r="A525" s="137">
        <v>581</v>
      </c>
      <c r="B525" s="135">
        <v>46175</v>
      </c>
      <c r="C525" s="130" t="s">
        <v>394</v>
      </c>
      <c r="D525" s="195" t="s">
        <v>301</v>
      </c>
      <c r="E525" s="137" t="s">
        <v>74</v>
      </c>
      <c r="F525" s="166">
        <v>10</v>
      </c>
      <c r="G525" s="167">
        <v>36.75</v>
      </c>
      <c r="H525" s="196">
        <f t="shared" si="8"/>
        <v>367.5</v>
      </c>
    </row>
    <row r="526" spans="1:8" ht="15.6" x14ac:dyDescent="0.3">
      <c r="A526" s="137">
        <v>584</v>
      </c>
      <c r="B526" s="135">
        <v>46181</v>
      </c>
      <c r="C526" s="195" t="s">
        <v>337</v>
      </c>
      <c r="D526" s="195" t="s">
        <v>301</v>
      </c>
      <c r="E526" s="137" t="s">
        <v>74</v>
      </c>
      <c r="F526" s="166">
        <v>14</v>
      </c>
      <c r="G526" s="167">
        <v>36.75</v>
      </c>
      <c r="H526" s="196">
        <f t="shared" si="8"/>
        <v>514.5</v>
      </c>
    </row>
    <row r="527" spans="1:8" ht="15.6" x14ac:dyDescent="0.3">
      <c r="A527" s="137">
        <v>584</v>
      </c>
      <c r="B527" s="135">
        <v>46181</v>
      </c>
      <c r="C527" s="195" t="s">
        <v>337</v>
      </c>
      <c r="D527" s="195" t="s">
        <v>311</v>
      </c>
      <c r="E527" s="132" t="s">
        <v>51</v>
      </c>
      <c r="F527" s="166">
        <v>8</v>
      </c>
      <c r="G527" s="167">
        <v>25</v>
      </c>
      <c r="H527" s="196">
        <f t="shared" si="8"/>
        <v>200</v>
      </c>
    </row>
    <row r="528" spans="1:8" ht="15.6" x14ac:dyDescent="0.3">
      <c r="A528" s="137">
        <v>584</v>
      </c>
      <c r="B528" s="135">
        <v>46181</v>
      </c>
      <c r="C528" s="195" t="s">
        <v>337</v>
      </c>
      <c r="D528" s="195" t="s">
        <v>313</v>
      </c>
      <c r="E528" s="137" t="s">
        <v>80</v>
      </c>
      <c r="F528" s="166">
        <v>8</v>
      </c>
      <c r="G528" s="167">
        <v>21</v>
      </c>
      <c r="H528" s="196">
        <f t="shared" si="8"/>
        <v>168</v>
      </c>
    </row>
    <row r="529" spans="1:8" ht="15.6" x14ac:dyDescent="0.3">
      <c r="A529" s="137">
        <v>587</v>
      </c>
      <c r="B529" s="135">
        <v>46182</v>
      </c>
      <c r="C529" s="130" t="s">
        <v>402</v>
      </c>
      <c r="D529" s="140" t="s">
        <v>356</v>
      </c>
      <c r="E529" s="144" t="s">
        <v>321</v>
      </c>
      <c r="F529" s="166">
        <v>8</v>
      </c>
      <c r="G529" s="167">
        <v>120</v>
      </c>
      <c r="H529" s="196">
        <f t="shared" si="8"/>
        <v>960</v>
      </c>
    </row>
    <row r="530" spans="1:8" ht="15.6" x14ac:dyDescent="0.3">
      <c r="A530" s="137">
        <v>587</v>
      </c>
      <c r="B530" s="135">
        <v>46182</v>
      </c>
      <c r="C530" s="130" t="s">
        <v>402</v>
      </c>
      <c r="D530" s="195" t="s">
        <v>301</v>
      </c>
      <c r="E530" s="137" t="s">
        <v>74</v>
      </c>
      <c r="F530" s="166">
        <v>10</v>
      </c>
      <c r="G530" s="167">
        <v>36.75</v>
      </c>
      <c r="H530" s="196">
        <f t="shared" si="8"/>
        <v>367.5</v>
      </c>
    </row>
    <row r="531" spans="1:8" ht="15.6" x14ac:dyDescent="0.3">
      <c r="A531" s="137">
        <v>587</v>
      </c>
      <c r="B531" s="135">
        <v>46182</v>
      </c>
      <c r="C531" s="130" t="s">
        <v>402</v>
      </c>
      <c r="D531" s="195" t="s">
        <v>301</v>
      </c>
      <c r="E531" s="137" t="s">
        <v>74</v>
      </c>
      <c r="F531" s="166">
        <v>7</v>
      </c>
      <c r="G531" s="167">
        <v>47.5</v>
      </c>
      <c r="H531" s="196">
        <f t="shared" si="8"/>
        <v>332.5</v>
      </c>
    </row>
    <row r="532" spans="1:8" ht="15.6" x14ac:dyDescent="0.3">
      <c r="A532" s="137">
        <v>587</v>
      </c>
      <c r="B532" s="135">
        <v>46182</v>
      </c>
      <c r="C532" s="130" t="s">
        <v>402</v>
      </c>
      <c r="D532" s="142" t="s">
        <v>339</v>
      </c>
      <c r="E532" s="137" t="s">
        <v>340</v>
      </c>
      <c r="F532" s="166">
        <v>2</v>
      </c>
      <c r="G532" s="167">
        <v>65</v>
      </c>
      <c r="H532" s="196">
        <f t="shared" si="8"/>
        <v>130</v>
      </c>
    </row>
    <row r="533" spans="1:8" ht="15.6" x14ac:dyDescent="0.3">
      <c r="A533" s="137">
        <v>587</v>
      </c>
      <c r="B533" s="135">
        <v>46182</v>
      </c>
      <c r="C533" s="130" t="s">
        <v>402</v>
      </c>
      <c r="D533" s="195" t="s">
        <v>311</v>
      </c>
      <c r="E533" s="132" t="s">
        <v>51</v>
      </c>
      <c r="F533" s="166">
        <v>12</v>
      </c>
      <c r="G533" s="167">
        <v>25</v>
      </c>
      <c r="H533" s="196">
        <f t="shared" si="8"/>
        <v>300</v>
      </c>
    </row>
    <row r="534" spans="1:8" ht="15.6" x14ac:dyDescent="0.3">
      <c r="A534" s="137">
        <v>591</v>
      </c>
      <c r="B534" s="135">
        <v>46185</v>
      </c>
      <c r="C534" s="130" t="s">
        <v>403</v>
      </c>
      <c r="D534" s="195" t="s">
        <v>301</v>
      </c>
      <c r="E534" s="137" t="s">
        <v>74</v>
      </c>
      <c r="F534" s="166">
        <v>28</v>
      </c>
      <c r="G534" s="167">
        <v>36.75</v>
      </c>
      <c r="H534" s="196">
        <f t="shared" si="8"/>
        <v>1029</v>
      </c>
    </row>
    <row r="535" spans="1:8" ht="15.6" x14ac:dyDescent="0.3">
      <c r="A535" s="137">
        <v>591</v>
      </c>
      <c r="B535" s="135">
        <v>46185</v>
      </c>
      <c r="C535" s="130" t="s">
        <v>403</v>
      </c>
      <c r="D535" s="195" t="s">
        <v>313</v>
      </c>
      <c r="E535" s="137" t="s">
        <v>80</v>
      </c>
      <c r="F535" s="166">
        <v>4</v>
      </c>
      <c r="G535" s="167">
        <v>21</v>
      </c>
      <c r="H535" s="196">
        <f t="shared" si="8"/>
        <v>84</v>
      </c>
    </row>
    <row r="536" spans="1:8" ht="15.6" x14ac:dyDescent="0.3">
      <c r="A536" s="137">
        <v>591</v>
      </c>
      <c r="B536" s="135">
        <v>46186</v>
      </c>
      <c r="C536" s="130" t="s">
        <v>403</v>
      </c>
      <c r="D536" s="195" t="s">
        <v>311</v>
      </c>
      <c r="E536" s="137" t="s">
        <v>51</v>
      </c>
      <c r="F536" s="166">
        <v>7</v>
      </c>
      <c r="G536" s="167">
        <v>25</v>
      </c>
      <c r="H536" s="196">
        <f t="shared" si="8"/>
        <v>175</v>
      </c>
    </row>
    <row r="537" spans="1:8" ht="15.6" x14ac:dyDescent="0.3">
      <c r="A537" s="137">
        <v>603</v>
      </c>
      <c r="B537" s="135">
        <v>46190</v>
      </c>
      <c r="C537" s="129" t="s">
        <v>404</v>
      </c>
      <c r="D537" s="140" t="s">
        <v>328</v>
      </c>
      <c r="E537" s="132" t="s">
        <v>190</v>
      </c>
      <c r="F537" s="166">
        <v>3</v>
      </c>
      <c r="G537" s="167">
        <v>80</v>
      </c>
      <c r="H537" s="196">
        <f t="shared" si="8"/>
        <v>240</v>
      </c>
    </row>
    <row r="538" spans="1:8" ht="15.6" x14ac:dyDescent="0.3">
      <c r="A538" s="137">
        <v>603</v>
      </c>
      <c r="B538" s="135">
        <v>46190</v>
      </c>
      <c r="C538" s="129" t="s">
        <v>404</v>
      </c>
      <c r="D538" s="195" t="s">
        <v>313</v>
      </c>
      <c r="E538" s="137" t="s">
        <v>80</v>
      </c>
      <c r="F538" s="166">
        <v>3</v>
      </c>
      <c r="G538" s="167">
        <v>21</v>
      </c>
      <c r="H538" s="196">
        <f t="shared" si="8"/>
        <v>63</v>
      </c>
    </row>
    <row r="539" spans="1:8" ht="15.6" x14ac:dyDescent="0.3">
      <c r="A539" s="137">
        <v>603</v>
      </c>
      <c r="B539" s="135">
        <v>46190</v>
      </c>
      <c r="C539" s="129" t="s">
        <v>404</v>
      </c>
      <c r="D539" s="195" t="s">
        <v>307</v>
      </c>
      <c r="E539" s="137" t="s">
        <v>74</v>
      </c>
      <c r="F539" s="166">
        <v>6</v>
      </c>
      <c r="G539" s="167">
        <v>47.5</v>
      </c>
      <c r="H539" s="196">
        <f t="shared" si="8"/>
        <v>285</v>
      </c>
    </row>
    <row r="540" spans="1:8" ht="15.6" x14ac:dyDescent="0.3">
      <c r="A540" s="137">
        <v>603</v>
      </c>
      <c r="B540" s="135">
        <v>46190</v>
      </c>
      <c r="C540" s="129" t="s">
        <v>404</v>
      </c>
      <c r="D540" s="195" t="s">
        <v>301</v>
      </c>
      <c r="E540" s="137" t="s">
        <v>74</v>
      </c>
      <c r="F540" s="166">
        <v>2</v>
      </c>
      <c r="G540" s="167">
        <v>36.75</v>
      </c>
      <c r="H540" s="196">
        <f t="shared" si="8"/>
        <v>73.5</v>
      </c>
    </row>
    <row r="541" spans="1:8" ht="15.6" x14ac:dyDescent="0.3">
      <c r="A541" s="137">
        <v>603</v>
      </c>
      <c r="B541" s="135">
        <v>46190</v>
      </c>
      <c r="C541" s="129" t="s">
        <v>404</v>
      </c>
      <c r="D541" s="142" t="s">
        <v>339</v>
      </c>
      <c r="E541" s="137" t="s">
        <v>340</v>
      </c>
      <c r="F541" s="166">
        <v>1</v>
      </c>
      <c r="G541" s="167">
        <v>65</v>
      </c>
      <c r="H541" s="196">
        <f t="shared" si="8"/>
        <v>65</v>
      </c>
    </row>
    <row r="542" spans="1:8" ht="15.6" x14ac:dyDescent="0.3">
      <c r="A542" s="137">
        <v>603</v>
      </c>
      <c r="B542" s="135">
        <v>46190</v>
      </c>
      <c r="C542" s="129" t="s">
        <v>404</v>
      </c>
      <c r="D542" s="140" t="s">
        <v>356</v>
      </c>
      <c r="E542" s="144" t="s">
        <v>321</v>
      </c>
      <c r="F542" s="166">
        <v>1</v>
      </c>
      <c r="G542" s="167">
        <v>120</v>
      </c>
      <c r="H542" s="196">
        <f t="shared" si="8"/>
        <v>120</v>
      </c>
    </row>
    <row r="543" spans="1:8" ht="15.6" x14ac:dyDescent="0.3">
      <c r="A543" s="137">
        <v>606</v>
      </c>
      <c r="B543" s="135">
        <v>46190</v>
      </c>
      <c r="C543" s="129" t="s">
        <v>404</v>
      </c>
      <c r="D543" s="199" t="s">
        <v>311</v>
      </c>
      <c r="E543" s="137" t="s">
        <v>51</v>
      </c>
      <c r="F543" s="166">
        <v>6</v>
      </c>
      <c r="G543" s="167">
        <v>25</v>
      </c>
      <c r="H543" s="196">
        <f t="shared" si="8"/>
        <v>150</v>
      </c>
    </row>
    <row r="544" spans="1:8" ht="15.6" x14ac:dyDescent="0.3">
      <c r="A544" s="137">
        <v>610</v>
      </c>
      <c r="B544" s="135">
        <v>46192</v>
      </c>
      <c r="C544" s="130" t="s">
        <v>334</v>
      </c>
      <c r="D544" s="199" t="s">
        <v>307</v>
      </c>
      <c r="E544" s="137" t="s">
        <v>74</v>
      </c>
      <c r="F544" s="166">
        <v>10</v>
      </c>
      <c r="G544" s="167">
        <v>47.5</v>
      </c>
      <c r="H544" s="196">
        <f t="shared" si="8"/>
        <v>475</v>
      </c>
    </row>
    <row r="545" spans="1:8" ht="15.6" x14ac:dyDescent="0.3">
      <c r="A545" s="137">
        <v>610</v>
      </c>
      <c r="B545" s="135">
        <v>46192</v>
      </c>
      <c r="C545" s="130" t="s">
        <v>334</v>
      </c>
      <c r="D545" s="199" t="s">
        <v>301</v>
      </c>
      <c r="E545" s="137" t="s">
        <v>74</v>
      </c>
      <c r="F545" s="166">
        <v>10</v>
      </c>
      <c r="G545" s="167">
        <v>36.75</v>
      </c>
      <c r="H545" s="196">
        <f t="shared" si="8"/>
        <v>367.5</v>
      </c>
    </row>
    <row r="546" spans="1:8" ht="15.6" x14ac:dyDescent="0.3">
      <c r="A546" s="132">
        <v>610</v>
      </c>
      <c r="B546" s="131">
        <v>46192</v>
      </c>
      <c r="C546" s="130" t="s">
        <v>334</v>
      </c>
      <c r="D546" s="195" t="s">
        <v>313</v>
      </c>
      <c r="E546" s="132" t="s">
        <v>80</v>
      </c>
      <c r="F546" s="168">
        <v>10</v>
      </c>
      <c r="G546" s="133">
        <v>21</v>
      </c>
      <c r="H546" s="196">
        <f t="shared" si="8"/>
        <v>210</v>
      </c>
    </row>
    <row r="547" spans="1:8" ht="15.6" x14ac:dyDescent="0.3">
      <c r="A547" s="132">
        <v>610</v>
      </c>
      <c r="B547" s="131">
        <v>46192</v>
      </c>
      <c r="C547" s="130" t="s">
        <v>334</v>
      </c>
      <c r="D547" s="195" t="s">
        <v>311</v>
      </c>
      <c r="E547" s="132" t="s">
        <v>51</v>
      </c>
      <c r="F547" s="168">
        <v>12</v>
      </c>
      <c r="G547" s="133">
        <v>25</v>
      </c>
      <c r="H547" s="196">
        <f t="shared" si="8"/>
        <v>300</v>
      </c>
    </row>
    <row r="548" spans="1:8" ht="15.6" x14ac:dyDescent="0.3">
      <c r="A548" s="132">
        <v>610</v>
      </c>
      <c r="B548" s="131">
        <v>46192</v>
      </c>
      <c r="C548" s="130" t="s">
        <v>334</v>
      </c>
      <c r="D548" s="140" t="s">
        <v>356</v>
      </c>
      <c r="E548" s="140" t="s">
        <v>321</v>
      </c>
      <c r="F548" s="168">
        <v>6</v>
      </c>
      <c r="G548" s="133">
        <v>120</v>
      </c>
      <c r="H548" s="196">
        <f t="shared" si="8"/>
        <v>720</v>
      </c>
    </row>
    <row r="549" spans="1:8" ht="15.6" x14ac:dyDescent="0.3">
      <c r="A549" s="132">
        <v>610</v>
      </c>
      <c r="B549" s="131">
        <v>46192</v>
      </c>
      <c r="C549" s="130" t="s">
        <v>334</v>
      </c>
      <c r="D549" s="142" t="s">
        <v>339</v>
      </c>
      <c r="E549" s="132" t="s">
        <v>340</v>
      </c>
      <c r="F549" s="168">
        <v>2</v>
      </c>
      <c r="G549" s="133">
        <v>65</v>
      </c>
      <c r="H549" s="196">
        <f t="shared" si="8"/>
        <v>130</v>
      </c>
    </row>
    <row r="550" spans="1:8" ht="15.6" x14ac:dyDescent="0.3">
      <c r="A550" s="132">
        <v>600</v>
      </c>
      <c r="B550" s="131">
        <v>46192</v>
      </c>
      <c r="C550" s="130" t="s">
        <v>405</v>
      </c>
      <c r="D550" s="195" t="s">
        <v>311</v>
      </c>
      <c r="E550" s="132" t="s">
        <v>51</v>
      </c>
      <c r="F550" s="168">
        <v>5</v>
      </c>
      <c r="G550" s="133">
        <v>25</v>
      </c>
      <c r="H550" s="196">
        <f t="shared" si="8"/>
        <v>125</v>
      </c>
    </row>
    <row r="551" spans="1:8" ht="15.6" x14ac:dyDescent="0.3">
      <c r="A551" s="132">
        <v>600</v>
      </c>
      <c r="B551" s="131">
        <v>46192</v>
      </c>
      <c r="C551" s="130" t="s">
        <v>405</v>
      </c>
      <c r="D551" s="195" t="s">
        <v>301</v>
      </c>
      <c r="E551" s="132" t="s">
        <v>74</v>
      </c>
      <c r="F551" s="168">
        <v>12</v>
      </c>
      <c r="G551" s="133">
        <v>36.75</v>
      </c>
      <c r="H551" s="196">
        <f t="shared" si="8"/>
        <v>441</v>
      </c>
    </row>
    <row r="552" spans="1:8" ht="15.6" x14ac:dyDescent="0.3">
      <c r="A552" s="132">
        <v>611</v>
      </c>
      <c r="B552" s="131">
        <v>46195</v>
      </c>
      <c r="C552" s="130" t="s">
        <v>406</v>
      </c>
      <c r="D552" s="140" t="s">
        <v>356</v>
      </c>
      <c r="E552" s="140" t="s">
        <v>321</v>
      </c>
      <c r="F552" s="168">
        <v>3</v>
      </c>
      <c r="G552" s="133">
        <v>120</v>
      </c>
      <c r="H552" s="196">
        <f t="shared" si="8"/>
        <v>360</v>
      </c>
    </row>
    <row r="553" spans="1:8" ht="15.6" x14ac:dyDescent="0.3">
      <c r="A553" s="132">
        <v>611</v>
      </c>
      <c r="B553" s="131">
        <v>46195</v>
      </c>
      <c r="C553" s="130" t="s">
        <v>406</v>
      </c>
      <c r="D553" s="195" t="s">
        <v>301</v>
      </c>
      <c r="E553" s="132" t="s">
        <v>74</v>
      </c>
      <c r="F553" s="168">
        <v>5</v>
      </c>
      <c r="G553" s="133">
        <v>36.75</v>
      </c>
      <c r="H553" s="196">
        <f t="shared" si="8"/>
        <v>183.75</v>
      </c>
    </row>
    <row r="554" spans="1:8" ht="15.6" x14ac:dyDescent="0.3">
      <c r="A554" s="132">
        <v>611</v>
      </c>
      <c r="B554" s="131">
        <v>46195</v>
      </c>
      <c r="C554" s="130" t="s">
        <v>406</v>
      </c>
      <c r="D554" s="195" t="s">
        <v>307</v>
      </c>
      <c r="E554" s="132" t="s">
        <v>74</v>
      </c>
      <c r="F554" s="168">
        <v>3</v>
      </c>
      <c r="G554" s="133">
        <v>47.5</v>
      </c>
      <c r="H554" s="196">
        <f t="shared" si="8"/>
        <v>142.5</v>
      </c>
    </row>
    <row r="555" spans="1:8" ht="15.6" x14ac:dyDescent="0.3">
      <c r="A555" s="132">
        <v>611</v>
      </c>
      <c r="B555" s="131">
        <v>46195</v>
      </c>
      <c r="C555" s="130" t="s">
        <v>406</v>
      </c>
      <c r="D555" s="195" t="s">
        <v>311</v>
      </c>
      <c r="E555" s="132" t="s">
        <v>51</v>
      </c>
      <c r="F555" s="168">
        <v>6</v>
      </c>
      <c r="G555" s="133">
        <v>25</v>
      </c>
      <c r="H555" s="196">
        <f t="shared" si="8"/>
        <v>150</v>
      </c>
    </row>
    <row r="556" spans="1:8" ht="15.6" x14ac:dyDescent="0.3">
      <c r="A556" s="132">
        <v>611</v>
      </c>
      <c r="B556" s="131">
        <v>46195</v>
      </c>
      <c r="C556" s="130" t="s">
        <v>406</v>
      </c>
      <c r="D556" s="142" t="s">
        <v>339</v>
      </c>
      <c r="E556" s="132" t="s">
        <v>340</v>
      </c>
      <c r="F556" s="168">
        <v>1</v>
      </c>
      <c r="G556" s="133">
        <v>65</v>
      </c>
      <c r="H556" s="196">
        <f t="shared" si="8"/>
        <v>65</v>
      </c>
    </row>
    <row r="557" spans="1:8" ht="15.6" x14ac:dyDescent="0.3">
      <c r="A557" s="132">
        <v>611</v>
      </c>
      <c r="B557" s="131">
        <v>46195</v>
      </c>
      <c r="C557" s="130" t="s">
        <v>406</v>
      </c>
      <c r="D557" s="195" t="s">
        <v>313</v>
      </c>
      <c r="E557" s="132" t="s">
        <v>80</v>
      </c>
      <c r="F557" s="168">
        <v>2</v>
      </c>
      <c r="G557" s="133">
        <v>21</v>
      </c>
      <c r="H557" s="196">
        <f t="shared" si="8"/>
        <v>42</v>
      </c>
    </row>
    <row r="558" spans="1:8" ht="15.6" x14ac:dyDescent="0.3">
      <c r="A558" s="137">
        <v>620</v>
      </c>
      <c r="B558" s="135">
        <v>46203</v>
      </c>
      <c r="C558" s="130" t="s">
        <v>407</v>
      </c>
      <c r="D558" s="137" t="s">
        <v>301</v>
      </c>
      <c r="E558" s="132" t="s">
        <v>74</v>
      </c>
      <c r="F558" s="137">
        <v>3</v>
      </c>
      <c r="G558" s="167">
        <v>36.75</v>
      </c>
      <c r="H558" s="196">
        <f t="shared" si="8"/>
        <v>110.25</v>
      </c>
    </row>
    <row r="559" spans="1:8" ht="15.6" x14ac:dyDescent="0.3">
      <c r="A559" s="137">
        <v>620</v>
      </c>
      <c r="B559" s="135">
        <v>46203</v>
      </c>
      <c r="C559" s="130" t="s">
        <v>407</v>
      </c>
      <c r="D559" s="182" t="s">
        <v>408</v>
      </c>
      <c r="E559" s="132" t="s">
        <v>80</v>
      </c>
      <c r="F559" s="137">
        <v>1</v>
      </c>
      <c r="G559" s="167">
        <v>21</v>
      </c>
      <c r="H559" s="196">
        <f t="shared" si="8"/>
        <v>21</v>
      </c>
    </row>
    <row r="560" spans="1:8" ht="15.6" x14ac:dyDescent="0.3">
      <c r="A560" s="132">
        <v>626</v>
      </c>
      <c r="B560" s="131">
        <v>46210</v>
      </c>
      <c r="C560" s="130" t="s">
        <v>409</v>
      </c>
      <c r="D560" s="137" t="s">
        <v>311</v>
      </c>
      <c r="E560" s="132" t="s">
        <v>51</v>
      </c>
      <c r="F560" s="137">
        <v>2</v>
      </c>
      <c r="G560" s="167">
        <v>25</v>
      </c>
      <c r="H560" s="196">
        <f t="shared" si="8"/>
        <v>50</v>
      </c>
    </row>
    <row r="561" spans="1:8" ht="15.6" x14ac:dyDescent="0.3">
      <c r="A561" s="132">
        <v>626</v>
      </c>
      <c r="B561" s="131">
        <v>46210</v>
      </c>
      <c r="C561" s="130" t="s">
        <v>409</v>
      </c>
      <c r="D561" s="137" t="s">
        <v>301</v>
      </c>
      <c r="E561" s="132" t="s">
        <v>74</v>
      </c>
      <c r="F561" s="137">
        <v>10</v>
      </c>
      <c r="G561" s="167">
        <v>36.75</v>
      </c>
      <c r="H561" s="196">
        <f t="shared" si="8"/>
        <v>367.5</v>
      </c>
    </row>
    <row r="562" spans="1:8" ht="15.6" x14ac:dyDescent="0.3">
      <c r="A562" s="132">
        <v>642</v>
      </c>
      <c r="B562" s="131">
        <v>46219</v>
      </c>
      <c r="C562" s="130" t="s">
        <v>410</v>
      </c>
      <c r="D562" s="137" t="s">
        <v>311</v>
      </c>
      <c r="E562" s="132" t="s">
        <v>51</v>
      </c>
      <c r="F562" s="130">
        <v>5</v>
      </c>
      <c r="G562" s="213">
        <v>25</v>
      </c>
      <c r="H562" s="196">
        <f t="shared" si="8"/>
        <v>125</v>
      </c>
    </row>
    <row r="563" spans="1:8" ht="15.6" x14ac:dyDescent="0.3">
      <c r="A563" s="132">
        <v>642</v>
      </c>
      <c r="B563" s="131">
        <v>46219</v>
      </c>
      <c r="C563" s="130" t="s">
        <v>410</v>
      </c>
      <c r="D563" s="137" t="s">
        <v>301</v>
      </c>
      <c r="E563" s="132" t="s">
        <v>74</v>
      </c>
      <c r="F563" s="130">
        <v>3</v>
      </c>
      <c r="G563" s="213">
        <v>36.75</v>
      </c>
      <c r="H563" s="196">
        <f t="shared" si="8"/>
        <v>110.25</v>
      </c>
    </row>
    <row r="564" spans="1:8" ht="15.6" x14ac:dyDescent="0.3">
      <c r="A564" s="132">
        <v>642</v>
      </c>
      <c r="B564" s="131">
        <v>46219</v>
      </c>
      <c r="C564" s="130" t="s">
        <v>410</v>
      </c>
      <c r="D564" s="137" t="s">
        <v>411</v>
      </c>
      <c r="E564" s="132" t="s">
        <v>340</v>
      </c>
      <c r="F564" s="130">
        <v>3</v>
      </c>
      <c r="G564" s="213">
        <v>65</v>
      </c>
      <c r="H564" s="196">
        <f t="shared" si="8"/>
        <v>195</v>
      </c>
    </row>
    <row r="565" spans="1:8" ht="15.6" x14ac:dyDescent="0.3">
      <c r="A565" s="132">
        <v>642</v>
      </c>
      <c r="B565" s="131">
        <v>46219</v>
      </c>
      <c r="C565" s="130" t="s">
        <v>410</v>
      </c>
      <c r="D565" s="137" t="s">
        <v>408</v>
      </c>
      <c r="E565" s="132" t="s">
        <v>80</v>
      </c>
      <c r="F565" s="130">
        <v>5</v>
      </c>
      <c r="G565" s="213">
        <v>21</v>
      </c>
      <c r="H565" s="196">
        <f t="shared" si="8"/>
        <v>105</v>
      </c>
    </row>
    <row r="566" spans="1:8" ht="15.6" x14ac:dyDescent="0.3">
      <c r="A566" s="132">
        <v>642</v>
      </c>
      <c r="B566" s="131">
        <v>46219</v>
      </c>
      <c r="C566" s="130" t="s">
        <v>410</v>
      </c>
      <c r="D566" s="137" t="s">
        <v>412</v>
      </c>
      <c r="E566" s="132" t="s">
        <v>74</v>
      </c>
      <c r="F566" s="211">
        <v>3</v>
      </c>
      <c r="G566" s="6">
        <v>47.5</v>
      </c>
      <c r="H566" s="196">
        <f t="shared" si="8"/>
        <v>142.5</v>
      </c>
    </row>
    <row r="567" spans="1:8" ht="15.6" x14ac:dyDescent="0.3">
      <c r="A567" s="132">
        <v>637</v>
      </c>
      <c r="B567" s="131">
        <v>46219</v>
      </c>
      <c r="C567" s="130" t="s">
        <v>413</v>
      </c>
      <c r="D567" s="137" t="s">
        <v>301</v>
      </c>
      <c r="E567" s="132" t="s">
        <v>74</v>
      </c>
      <c r="F567" s="137">
        <v>12</v>
      </c>
      <c r="G567" s="167">
        <v>36.75</v>
      </c>
      <c r="H567" s="196">
        <f t="shared" si="8"/>
        <v>441</v>
      </c>
    </row>
    <row r="568" spans="1:8" ht="15.6" x14ac:dyDescent="0.3">
      <c r="A568" s="132">
        <v>637</v>
      </c>
      <c r="B568" s="131">
        <v>46219</v>
      </c>
      <c r="C568" s="130" t="s">
        <v>413</v>
      </c>
      <c r="D568" s="137" t="s">
        <v>408</v>
      </c>
      <c r="E568" s="132" t="s">
        <v>80</v>
      </c>
      <c r="F568" s="137">
        <v>6</v>
      </c>
      <c r="G568" s="167">
        <v>21</v>
      </c>
      <c r="H568" s="196">
        <f t="shared" si="8"/>
        <v>126</v>
      </c>
    </row>
    <row r="569" spans="1:8" ht="15.6" x14ac:dyDescent="0.3">
      <c r="A569" s="132">
        <v>637</v>
      </c>
      <c r="B569" s="131">
        <v>46219</v>
      </c>
      <c r="C569" s="130" t="s">
        <v>413</v>
      </c>
      <c r="D569" s="137" t="s">
        <v>311</v>
      </c>
      <c r="E569" s="132" t="s">
        <v>51</v>
      </c>
      <c r="F569" s="137">
        <v>5</v>
      </c>
      <c r="G569" s="167">
        <v>25</v>
      </c>
      <c r="H569" s="196">
        <f t="shared" si="8"/>
        <v>125</v>
      </c>
    </row>
    <row r="570" spans="1:8" ht="15.6" x14ac:dyDescent="0.3">
      <c r="A570" s="132">
        <v>637</v>
      </c>
      <c r="B570" s="131">
        <v>46219</v>
      </c>
      <c r="C570" s="130" t="s">
        <v>413</v>
      </c>
      <c r="D570" s="137" t="s">
        <v>411</v>
      </c>
      <c r="E570" s="132" t="s">
        <v>340</v>
      </c>
      <c r="F570" s="137">
        <v>2</v>
      </c>
      <c r="G570" s="167">
        <v>65</v>
      </c>
      <c r="H570" s="196">
        <f t="shared" si="8"/>
        <v>130</v>
      </c>
    </row>
    <row r="571" spans="1:8" ht="15.6" x14ac:dyDescent="0.3">
      <c r="A571" s="132"/>
      <c r="B571" s="131"/>
      <c r="C571" s="130"/>
      <c r="D571" s="195"/>
      <c r="E571" s="132"/>
      <c r="F571" s="168"/>
      <c r="G571" s="133"/>
      <c r="H571" s="196"/>
    </row>
    <row r="572" spans="1:8" ht="15.6" x14ac:dyDescent="0.3">
      <c r="A572" s="132"/>
      <c r="B572" s="131"/>
      <c r="C572" s="130"/>
      <c r="D572" s="195"/>
      <c r="E572" s="132"/>
      <c r="F572" s="168"/>
      <c r="G572" s="133"/>
      <c r="H572" s="196"/>
    </row>
    <row r="574" spans="1:8" ht="15.6" x14ac:dyDescent="0.3">
      <c r="F574" s="204">
        <f>SUM(F4:F573)</f>
        <v>5510</v>
      </c>
      <c r="G574" s="204"/>
      <c r="H574" s="205">
        <f>SUM(H4:H573)</f>
        <v>198103.11</v>
      </c>
    </row>
    <row r="575" spans="1:8" ht="13.2" customHeight="1" x14ac:dyDescent="0.3">
      <c r="F575" s="206" t="s">
        <v>257</v>
      </c>
      <c r="G575" s="206"/>
      <c r="H575" s="206" t="s">
        <v>414</v>
      </c>
    </row>
  </sheetData>
  <autoFilter ref="A3:H570" xr:uid="{6BAAF0D4-4DFC-4DBC-9614-B26C7ED2A57E}"/>
  <mergeCells count="1">
    <mergeCell ref="A1:H2"/>
  </mergeCells>
  <pageMargins left="0.511811024" right="0.511811024" top="0.78740157499999996" bottom="0.78740157499999996" header="0.31496062000000002" footer="0.31496062000000002"/>
  <pageSetup paperSize="9" scale="79" fitToHeight="0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15DD0-C8E5-41A0-89AF-8E9A8AEF8238}">
  <dimension ref="B1:AD93"/>
  <sheetViews>
    <sheetView showGridLines="0" zoomScale="94" zoomScaleNormal="94" workbookViewId="0">
      <selection activeCell="I21" sqref="I21"/>
    </sheetView>
  </sheetViews>
  <sheetFormatPr defaultColWidth="8.6640625" defaultRowHeight="12" x14ac:dyDescent="0.3"/>
  <cols>
    <col min="1" max="1" width="0.6640625" style="107" customWidth="1"/>
    <col min="2" max="2" width="19.33203125" style="107" customWidth="1"/>
    <col min="3" max="3" width="10.33203125" style="106" customWidth="1"/>
    <col min="4" max="4" width="10" style="106" customWidth="1"/>
    <col min="5" max="13" width="10.33203125" style="106" customWidth="1"/>
    <col min="14" max="14" width="9.44140625" style="107" customWidth="1"/>
    <col min="15" max="15" width="5.109375" style="107" bestFit="1" customWidth="1"/>
    <col min="16" max="16" width="19.33203125" style="107" customWidth="1"/>
    <col min="17" max="17" width="18" style="107" customWidth="1"/>
    <col min="18" max="27" width="11.44140625" style="107" customWidth="1"/>
    <col min="28" max="28" width="13" style="107" customWidth="1"/>
    <col min="29" max="29" width="9.6640625" style="107" bestFit="1" customWidth="1"/>
    <col min="30" max="30" width="10.6640625" style="107" bestFit="1" customWidth="1"/>
    <col min="31" max="16384" width="8.6640625" style="107"/>
  </cols>
  <sheetData>
    <row r="1" spans="2:28" x14ac:dyDescent="0.3">
      <c r="B1" s="300">
        <v>2026</v>
      </c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  <c r="AA1" s="300"/>
      <c r="AB1" s="300"/>
    </row>
    <row r="2" spans="2:28" ht="13.2" customHeight="1" x14ac:dyDescent="0.3"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  <c r="AA2" s="300"/>
      <c r="AB2" s="300"/>
    </row>
    <row r="3" spans="2:28" ht="19.95" customHeight="1" x14ac:dyDescent="0.3">
      <c r="B3" s="302" t="s">
        <v>415</v>
      </c>
      <c r="C3" s="233" t="s">
        <v>260</v>
      </c>
      <c r="D3" s="233" t="s">
        <v>234</v>
      </c>
      <c r="E3" s="296" t="s">
        <v>263</v>
      </c>
      <c r="F3" s="296"/>
    </row>
    <row r="4" spans="2:28" ht="13.2" customHeight="1" x14ac:dyDescent="0.3">
      <c r="B4" s="302"/>
      <c r="C4" s="108" t="s">
        <v>416</v>
      </c>
      <c r="D4" s="236">
        <v>115</v>
      </c>
      <c r="E4" s="303">
        <v>3533</v>
      </c>
      <c r="F4" s="303"/>
    </row>
    <row r="5" spans="2:28" ht="13.2" customHeight="1" x14ac:dyDescent="0.3">
      <c r="B5" s="302"/>
      <c r="C5" s="108" t="s">
        <v>417</v>
      </c>
      <c r="D5" s="236">
        <v>48</v>
      </c>
      <c r="E5" s="304">
        <v>1693.5</v>
      </c>
      <c r="F5" s="305"/>
    </row>
    <row r="6" spans="2:28" ht="13.2" customHeight="1" x14ac:dyDescent="0.3">
      <c r="B6" s="302"/>
      <c r="C6" s="108" t="s">
        <v>418</v>
      </c>
      <c r="D6" s="236">
        <v>140</v>
      </c>
      <c r="E6" s="304">
        <v>5267</v>
      </c>
      <c r="F6" s="305"/>
    </row>
    <row r="7" spans="2:28" ht="13.2" customHeight="1" x14ac:dyDescent="0.3">
      <c r="B7" s="302"/>
      <c r="C7" s="108" t="s">
        <v>264</v>
      </c>
      <c r="D7" s="236">
        <v>53</v>
      </c>
      <c r="E7" s="304">
        <v>1715</v>
      </c>
      <c r="F7" s="305"/>
    </row>
    <row r="8" spans="2:28" ht="13.2" customHeight="1" x14ac:dyDescent="0.3">
      <c r="B8" s="302"/>
      <c r="C8" s="108" t="s">
        <v>265</v>
      </c>
      <c r="D8" s="236">
        <v>24</v>
      </c>
      <c r="E8" s="303">
        <v>1354.5</v>
      </c>
      <c r="F8" s="303"/>
    </row>
    <row r="9" spans="2:28" ht="13.2" customHeight="1" x14ac:dyDescent="0.3">
      <c r="B9" s="302"/>
      <c r="C9" s="108" t="s">
        <v>266</v>
      </c>
      <c r="D9" s="236">
        <v>241</v>
      </c>
      <c r="E9" s="303">
        <v>9717.5</v>
      </c>
      <c r="F9" s="303"/>
    </row>
    <row r="10" spans="2:28" ht="13.2" customHeight="1" x14ac:dyDescent="0.3">
      <c r="B10" s="302"/>
      <c r="C10" s="108" t="s">
        <v>267</v>
      </c>
      <c r="D10" s="236"/>
      <c r="E10" s="306"/>
      <c r="F10" s="306"/>
    </row>
    <row r="11" spans="2:28" ht="13.2" customHeight="1" x14ac:dyDescent="0.3">
      <c r="B11" s="302"/>
      <c r="C11" s="108" t="s">
        <v>268</v>
      </c>
      <c r="D11" s="236"/>
      <c r="E11" s="303"/>
      <c r="F11" s="303"/>
    </row>
    <row r="12" spans="2:28" ht="13.2" customHeight="1" x14ac:dyDescent="0.3">
      <c r="B12" s="302"/>
      <c r="C12" s="108" t="s">
        <v>269</v>
      </c>
      <c r="D12" s="236"/>
      <c r="E12" s="303"/>
      <c r="F12" s="303"/>
    </row>
    <row r="13" spans="2:28" ht="13.2" customHeight="1" x14ac:dyDescent="0.3">
      <c r="B13" s="302"/>
      <c r="C13" s="108" t="s">
        <v>270</v>
      </c>
      <c r="D13" s="236"/>
      <c r="E13" s="306"/>
      <c r="F13" s="306"/>
    </row>
    <row r="14" spans="2:28" ht="13.2" customHeight="1" x14ac:dyDescent="0.3">
      <c r="B14" s="302"/>
      <c r="C14" s="108" t="s">
        <v>271</v>
      </c>
      <c r="D14" s="236"/>
      <c r="E14" s="306"/>
      <c r="F14" s="306"/>
    </row>
    <row r="15" spans="2:28" ht="13.2" customHeight="1" x14ac:dyDescent="0.3">
      <c r="B15" s="302"/>
      <c r="C15" s="108" t="s">
        <v>272</v>
      </c>
      <c r="D15" s="236"/>
      <c r="E15" s="308"/>
      <c r="F15" s="308"/>
    </row>
    <row r="16" spans="2:28" ht="13.2" customHeight="1" x14ac:dyDescent="0.3">
      <c r="B16" s="302"/>
      <c r="C16" s="233" t="s">
        <v>244</v>
      </c>
      <c r="D16" s="233">
        <f>SUM(D4:D15)</f>
        <v>621</v>
      </c>
      <c r="E16" s="295">
        <f>SUM(E4:F15)</f>
        <v>23280.5</v>
      </c>
      <c r="F16" s="296"/>
    </row>
    <row r="17" spans="2:28" x14ac:dyDescent="0.3">
      <c r="R17" s="121"/>
    </row>
    <row r="18" spans="2:28" ht="8.6999999999999993" customHeight="1" x14ac:dyDescent="0.3"/>
    <row r="19" spans="2:28" ht="16.95" customHeight="1" x14ac:dyDescent="0.3">
      <c r="B19" s="297" t="s">
        <v>419</v>
      </c>
      <c r="C19" s="298"/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9"/>
      <c r="P19" s="297" t="s">
        <v>420</v>
      </c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298"/>
      <c r="AB19" s="299"/>
    </row>
    <row r="20" spans="2:28" x14ac:dyDescent="0.3">
      <c r="B20" s="233" t="s">
        <v>421</v>
      </c>
      <c r="C20" s="233" t="s">
        <v>422</v>
      </c>
      <c r="D20" s="233" t="s">
        <v>423</v>
      </c>
      <c r="E20" s="233" t="s">
        <v>424</v>
      </c>
      <c r="F20" s="233" t="s">
        <v>425</v>
      </c>
      <c r="G20" s="233" t="s">
        <v>426</v>
      </c>
      <c r="H20" s="233" t="s">
        <v>427</v>
      </c>
      <c r="I20" s="233" t="s">
        <v>428</v>
      </c>
      <c r="J20" s="233" t="s">
        <v>429</v>
      </c>
      <c r="K20" s="233" t="s">
        <v>430</v>
      </c>
      <c r="L20" s="233" t="s">
        <v>431</v>
      </c>
      <c r="M20" s="233" t="s">
        <v>432</v>
      </c>
      <c r="N20" s="233" t="s">
        <v>244</v>
      </c>
      <c r="P20" s="233" t="s">
        <v>421</v>
      </c>
      <c r="Q20" s="233" t="s">
        <v>422</v>
      </c>
      <c r="R20" s="233" t="s">
        <v>423</v>
      </c>
      <c r="S20" s="233" t="s">
        <v>424</v>
      </c>
      <c r="T20" s="233" t="s">
        <v>425</v>
      </c>
      <c r="U20" s="233" t="s">
        <v>265</v>
      </c>
      <c r="V20" s="233" t="s">
        <v>266</v>
      </c>
      <c r="W20" s="233" t="s">
        <v>267</v>
      </c>
      <c r="X20" s="233" t="s">
        <v>268</v>
      </c>
      <c r="Y20" s="233" t="s">
        <v>269</v>
      </c>
      <c r="Z20" s="233" t="s">
        <v>270</v>
      </c>
      <c r="AA20" s="233" t="s">
        <v>271</v>
      </c>
      <c r="AB20" s="233" t="s">
        <v>244</v>
      </c>
    </row>
    <row r="21" spans="2:28" x14ac:dyDescent="0.3">
      <c r="B21" s="108" t="s">
        <v>433</v>
      </c>
      <c r="C21" s="236">
        <v>37</v>
      </c>
      <c r="D21" s="236">
        <v>13</v>
      </c>
      <c r="E21" s="236">
        <v>25</v>
      </c>
      <c r="F21" s="236">
        <v>12</v>
      </c>
      <c r="G21" s="236">
        <v>1</v>
      </c>
      <c r="H21" s="236">
        <v>66</v>
      </c>
      <c r="I21" s="236"/>
      <c r="J21" s="236"/>
      <c r="K21" s="236"/>
      <c r="L21" s="236"/>
      <c r="M21" s="236"/>
      <c r="N21" s="233">
        <f>SUM(C21:M21)</f>
        <v>154</v>
      </c>
      <c r="P21" s="108" t="s">
        <v>433</v>
      </c>
      <c r="Q21" s="235">
        <f>C21*25</f>
        <v>925</v>
      </c>
      <c r="R21" s="235">
        <f t="shared" ref="R21:T21" si="0">D21*25</f>
        <v>325</v>
      </c>
      <c r="S21" s="235">
        <f t="shared" si="0"/>
        <v>625</v>
      </c>
      <c r="T21" s="235">
        <f t="shared" si="0"/>
        <v>300</v>
      </c>
      <c r="U21" s="109"/>
      <c r="V21" s="109"/>
      <c r="W21" s="109"/>
      <c r="X21" s="109"/>
      <c r="Y21" s="109"/>
      <c r="Z21" s="109"/>
      <c r="AA21" s="109"/>
      <c r="AB21" s="110">
        <f>SUM(Q21:AA21)</f>
        <v>2175</v>
      </c>
    </row>
    <row r="22" spans="2:28" x14ac:dyDescent="0.3">
      <c r="B22" s="108" t="s">
        <v>215</v>
      </c>
      <c r="C22" s="236">
        <v>48</v>
      </c>
      <c r="D22" s="236">
        <v>10</v>
      </c>
      <c r="E22" s="236">
        <v>49</v>
      </c>
      <c r="F22" s="236">
        <v>24</v>
      </c>
      <c r="G22" s="236">
        <v>10</v>
      </c>
      <c r="H22" s="236">
        <v>101</v>
      </c>
      <c r="I22" s="236"/>
      <c r="J22" s="236"/>
      <c r="K22" s="236"/>
      <c r="L22" s="236"/>
      <c r="M22" s="236"/>
      <c r="N22" s="233">
        <f>SUM(C22:M22)</f>
        <v>242</v>
      </c>
      <c r="P22" s="108" t="s">
        <v>215</v>
      </c>
      <c r="Q22" s="235">
        <f>C22*36.75</f>
        <v>1764</v>
      </c>
      <c r="R22" s="235">
        <v>432</v>
      </c>
      <c r="S22" s="235">
        <f t="shared" ref="R22:T23" si="1">E22*36.75</f>
        <v>1800.75</v>
      </c>
      <c r="T22" s="235">
        <f t="shared" si="1"/>
        <v>882</v>
      </c>
      <c r="U22" s="234"/>
      <c r="V22" s="234"/>
      <c r="W22" s="234"/>
      <c r="X22" s="234"/>
      <c r="Y22" s="234"/>
      <c r="Z22" s="234"/>
      <c r="AA22" s="234"/>
      <c r="AB22" s="110">
        <f>SUM(Q22:AA22)</f>
        <v>4878.75</v>
      </c>
    </row>
    <row r="23" spans="2:28" x14ac:dyDescent="0.3">
      <c r="B23" s="108" t="s">
        <v>412</v>
      </c>
      <c r="C23" s="236">
        <v>8</v>
      </c>
      <c r="D23" s="236">
        <v>18</v>
      </c>
      <c r="E23" s="236">
        <v>27</v>
      </c>
      <c r="F23" s="236">
        <v>0</v>
      </c>
      <c r="G23" s="236"/>
      <c r="H23" s="236">
        <v>19</v>
      </c>
      <c r="I23" s="236"/>
      <c r="J23" s="236"/>
      <c r="K23" s="236"/>
      <c r="L23" s="236"/>
      <c r="M23" s="236"/>
      <c r="N23" s="233">
        <f>SUM(C23:L23)</f>
        <v>72</v>
      </c>
      <c r="P23" s="108" t="s">
        <v>412</v>
      </c>
      <c r="Q23" s="235">
        <f>C23*36.75</f>
        <v>294</v>
      </c>
      <c r="R23" s="235">
        <f t="shared" si="1"/>
        <v>661.5</v>
      </c>
      <c r="S23" s="235">
        <f t="shared" si="1"/>
        <v>992.25</v>
      </c>
      <c r="T23" s="235">
        <f>F23*36.75</f>
        <v>0</v>
      </c>
      <c r="U23" s="109"/>
      <c r="V23" s="109"/>
      <c r="W23" s="109"/>
      <c r="X23" s="109"/>
      <c r="Y23" s="109"/>
      <c r="Z23" s="109"/>
      <c r="AA23" s="109"/>
      <c r="AB23" s="110">
        <f t="shared" ref="AB23:AB28" si="2">SUM(Q23:Z23)</f>
        <v>1947.75</v>
      </c>
    </row>
    <row r="24" spans="2:28" ht="13.2" customHeight="1" x14ac:dyDescent="0.3">
      <c r="B24" s="108" t="s">
        <v>340</v>
      </c>
      <c r="C24" s="236">
        <v>2</v>
      </c>
      <c r="D24" s="236">
        <v>0</v>
      </c>
      <c r="E24" s="236">
        <v>6</v>
      </c>
      <c r="F24" s="236">
        <v>4</v>
      </c>
      <c r="G24" s="236"/>
      <c r="H24" s="236">
        <v>6</v>
      </c>
      <c r="I24" s="236"/>
      <c r="J24" s="236"/>
      <c r="K24" s="236"/>
      <c r="L24" s="236"/>
      <c r="M24" s="236"/>
      <c r="N24" s="233">
        <f>SUM(C24:M24)</f>
        <v>18</v>
      </c>
      <c r="P24" s="108" t="s">
        <v>340</v>
      </c>
      <c r="Q24" s="235">
        <f>C24*65</f>
        <v>130</v>
      </c>
      <c r="R24" s="235">
        <f t="shared" ref="R24:S24" si="3">D24*65</f>
        <v>0</v>
      </c>
      <c r="S24" s="235">
        <f t="shared" si="3"/>
        <v>390</v>
      </c>
      <c r="T24" s="235">
        <f>F24*65</f>
        <v>260</v>
      </c>
      <c r="U24" s="109"/>
      <c r="V24" s="109"/>
      <c r="W24" s="109"/>
      <c r="X24" s="109"/>
      <c r="Y24" s="109"/>
      <c r="Z24" s="109"/>
      <c r="AA24" s="109"/>
      <c r="AB24" s="110">
        <f>SUM(Q24:AA24)</f>
        <v>780</v>
      </c>
    </row>
    <row r="25" spans="2:28" x14ac:dyDescent="0.3">
      <c r="B25" s="108" t="s">
        <v>190</v>
      </c>
      <c r="C25" s="236">
        <v>0</v>
      </c>
      <c r="D25" s="236">
        <v>0</v>
      </c>
      <c r="E25" s="236">
        <v>13</v>
      </c>
      <c r="F25" s="236"/>
      <c r="G25" s="236">
        <v>5</v>
      </c>
      <c r="H25" s="236">
        <v>3</v>
      </c>
      <c r="I25" s="236"/>
      <c r="J25" s="236"/>
      <c r="K25" s="236"/>
      <c r="L25" s="236"/>
      <c r="M25" s="236"/>
      <c r="N25" s="233">
        <f>SUM(C25:L25)</f>
        <v>21</v>
      </c>
      <c r="P25" s="108" t="s">
        <v>190</v>
      </c>
      <c r="Q25" s="235">
        <f>C25*75</f>
        <v>0</v>
      </c>
      <c r="R25" s="235">
        <f t="shared" ref="R25:T25" si="4">D25*75</f>
        <v>0</v>
      </c>
      <c r="S25" s="235">
        <f t="shared" si="4"/>
        <v>975</v>
      </c>
      <c r="T25" s="235">
        <f t="shared" si="4"/>
        <v>0</v>
      </c>
      <c r="U25" s="109"/>
      <c r="V25" s="109"/>
      <c r="W25" s="109"/>
      <c r="X25" s="109"/>
      <c r="Y25" s="109"/>
      <c r="Z25" s="109"/>
      <c r="AA25" s="109"/>
      <c r="AB25" s="110">
        <f t="shared" si="2"/>
        <v>975</v>
      </c>
    </row>
    <row r="26" spans="2:28" x14ac:dyDescent="0.3">
      <c r="B26" s="108" t="s">
        <v>434</v>
      </c>
      <c r="C26" s="236">
        <v>20</v>
      </c>
      <c r="D26" s="236">
        <v>5</v>
      </c>
      <c r="E26" s="236">
        <v>19</v>
      </c>
      <c r="F26" s="236">
        <v>13</v>
      </c>
      <c r="G26" s="236">
        <v>2</v>
      </c>
      <c r="H26" s="236">
        <v>28</v>
      </c>
      <c r="I26" s="236"/>
      <c r="J26" s="236"/>
      <c r="K26" s="236"/>
      <c r="L26" s="236"/>
      <c r="M26" s="236"/>
      <c r="N26" s="233">
        <f>SUM(C26:M26)</f>
        <v>87</v>
      </c>
      <c r="P26" s="108" t="s">
        <v>434</v>
      </c>
      <c r="Q26" s="235">
        <f>C26*21</f>
        <v>420</v>
      </c>
      <c r="R26" s="235">
        <f t="shared" ref="R26:T26" si="5">D26*21</f>
        <v>105</v>
      </c>
      <c r="S26" s="235">
        <f t="shared" si="5"/>
        <v>399</v>
      </c>
      <c r="T26" s="235">
        <f t="shared" si="5"/>
        <v>273</v>
      </c>
      <c r="U26" s="109"/>
      <c r="V26" s="109"/>
      <c r="W26" s="109"/>
      <c r="X26" s="109"/>
      <c r="Y26" s="109"/>
      <c r="Z26" s="109"/>
      <c r="AA26" s="109"/>
      <c r="AB26" s="110">
        <f>SUM(Q26:AA26)</f>
        <v>1197</v>
      </c>
    </row>
    <row r="27" spans="2:28" x14ac:dyDescent="0.3">
      <c r="B27" s="108" t="s">
        <v>321</v>
      </c>
      <c r="C27" s="236">
        <v>0</v>
      </c>
      <c r="D27" s="236">
        <v>2</v>
      </c>
      <c r="E27" s="236">
        <v>1</v>
      </c>
      <c r="F27" s="236"/>
      <c r="G27" s="236">
        <v>6</v>
      </c>
      <c r="H27" s="236">
        <v>18</v>
      </c>
      <c r="I27" s="236"/>
      <c r="J27" s="236"/>
      <c r="K27" s="236"/>
      <c r="L27" s="236"/>
      <c r="M27" s="236"/>
      <c r="N27" s="233">
        <f>SUM(C27:M27)</f>
        <v>27</v>
      </c>
      <c r="P27" s="108" t="s">
        <v>321</v>
      </c>
      <c r="Q27" s="235">
        <f>C27*85</f>
        <v>0</v>
      </c>
      <c r="R27" s="235">
        <f t="shared" ref="R27:T27" si="6">D27*85</f>
        <v>170</v>
      </c>
      <c r="S27" s="235">
        <f t="shared" si="6"/>
        <v>85</v>
      </c>
      <c r="T27" s="235">
        <f t="shared" si="6"/>
        <v>0</v>
      </c>
      <c r="U27" s="109"/>
      <c r="V27" s="109"/>
      <c r="W27" s="109"/>
      <c r="X27" s="109"/>
      <c r="Y27" s="109"/>
      <c r="Z27" s="109"/>
      <c r="AA27" s="109"/>
      <c r="AB27" s="110">
        <f>SUM(Q27:AA27)</f>
        <v>255</v>
      </c>
    </row>
    <row r="28" spans="2:28" ht="15" customHeight="1" x14ac:dyDescent="0.3">
      <c r="B28" s="233" t="s">
        <v>244</v>
      </c>
      <c r="C28" s="233">
        <f t="shared" ref="C28:M28" si="7">SUM(C21:C27)</f>
        <v>115</v>
      </c>
      <c r="D28" s="233">
        <f t="shared" si="7"/>
        <v>48</v>
      </c>
      <c r="E28" s="233">
        <f t="shared" si="7"/>
        <v>140</v>
      </c>
      <c r="F28" s="233">
        <f t="shared" si="7"/>
        <v>53</v>
      </c>
      <c r="G28" s="233">
        <f t="shared" si="7"/>
        <v>24</v>
      </c>
      <c r="H28" s="233">
        <f t="shared" si="7"/>
        <v>241</v>
      </c>
      <c r="I28" s="233">
        <f t="shared" si="7"/>
        <v>0</v>
      </c>
      <c r="J28" s="233">
        <f t="shared" si="7"/>
        <v>0</v>
      </c>
      <c r="K28" s="233">
        <f t="shared" si="7"/>
        <v>0</v>
      </c>
      <c r="L28" s="233">
        <f t="shared" si="7"/>
        <v>0</v>
      </c>
      <c r="M28" s="233">
        <f t="shared" si="7"/>
        <v>0</v>
      </c>
      <c r="N28" s="233">
        <f>SUM(C28:M28)</f>
        <v>621</v>
      </c>
      <c r="P28" s="233" t="s">
        <v>244</v>
      </c>
      <c r="Q28" s="232">
        <f>SUM(Q21:Q27)</f>
        <v>3533</v>
      </c>
      <c r="R28" s="232">
        <f>SUM(R21:R27)</f>
        <v>1693.5</v>
      </c>
      <c r="S28" s="232">
        <f t="shared" ref="S28:T28" si="8">SUM(S21:S27)</f>
        <v>5267</v>
      </c>
      <c r="T28" s="232">
        <f t="shared" si="8"/>
        <v>1715</v>
      </c>
      <c r="U28" s="232">
        <f t="shared" ref="U28:AA28" si="9">SUM(U21:U27)</f>
        <v>0</v>
      </c>
      <c r="V28" s="232">
        <f t="shared" si="9"/>
        <v>0</v>
      </c>
      <c r="W28" s="232">
        <f t="shared" si="9"/>
        <v>0</v>
      </c>
      <c r="X28" s="232">
        <f t="shared" si="9"/>
        <v>0</v>
      </c>
      <c r="Y28" s="232">
        <f t="shared" si="9"/>
        <v>0</v>
      </c>
      <c r="Z28" s="232">
        <f t="shared" si="9"/>
        <v>0</v>
      </c>
      <c r="AA28" s="232">
        <f t="shared" si="9"/>
        <v>0</v>
      </c>
      <c r="AB28" s="110">
        <f t="shared" si="2"/>
        <v>12208.5</v>
      </c>
    </row>
    <row r="50" spans="2:14" x14ac:dyDescent="0.3">
      <c r="B50" s="300">
        <v>2025</v>
      </c>
      <c r="C50" s="300"/>
      <c r="D50" s="107"/>
      <c r="E50" s="107"/>
      <c r="F50" s="107"/>
      <c r="G50" s="107"/>
      <c r="H50" s="107"/>
      <c r="I50" s="107"/>
      <c r="J50" s="107"/>
      <c r="K50" s="107"/>
      <c r="L50" s="107"/>
      <c r="M50" s="107"/>
    </row>
    <row r="51" spans="2:14" x14ac:dyDescent="0.3">
      <c r="B51" s="301"/>
      <c r="C51" s="301"/>
      <c r="D51" s="107"/>
      <c r="E51" s="107"/>
      <c r="F51" s="107"/>
      <c r="G51" s="107"/>
      <c r="H51" s="107"/>
      <c r="I51" s="107"/>
      <c r="J51" s="107"/>
      <c r="K51" s="107"/>
      <c r="L51" s="107"/>
      <c r="M51" s="107"/>
    </row>
    <row r="52" spans="2:14" x14ac:dyDescent="0.3">
      <c r="B52" s="302" t="s">
        <v>415</v>
      </c>
      <c r="C52" s="233" t="s">
        <v>260</v>
      </c>
      <c r="D52" s="233" t="s">
        <v>234</v>
      </c>
      <c r="E52" s="296" t="s">
        <v>263</v>
      </c>
      <c r="F52" s="296"/>
      <c r="N52" s="106"/>
    </row>
    <row r="53" spans="2:14" x14ac:dyDescent="0.3">
      <c r="B53" s="302"/>
      <c r="C53" s="108" t="s">
        <v>416</v>
      </c>
      <c r="D53" s="236"/>
      <c r="E53" s="303"/>
      <c r="F53" s="303"/>
      <c r="N53" s="106"/>
    </row>
    <row r="54" spans="2:14" x14ac:dyDescent="0.3">
      <c r="B54" s="302"/>
      <c r="C54" s="108" t="s">
        <v>417</v>
      </c>
      <c r="D54" s="236"/>
      <c r="E54" s="304"/>
      <c r="F54" s="305"/>
      <c r="N54" s="106"/>
    </row>
    <row r="55" spans="2:14" x14ac:dyDescent="0.3">
      <c r="B55" s="302"/>
      <c r="C55" s="108" t="s">
        <v>418</v>
      </c>
      <c r="D55" s="236"/>
      <c r="E55" s="304"/>
      <c r="F55" s="305"/>
      <c r="N55" s="106"/>
    </row>
    <row r="56" spans="2:14" x14ac:dyDescent="0.3">
      <c r="B56" s="302"/>
      <c r="C56" s="108" t="s">
        <v>264</v>
      </c>
      <c r="D56" s="236">
        <v>323</v>
      </c>
      <c r="E56" s="304">
        <v>14395.5</v>
      </c>
      <c r="F56" s="305"/>
      <c r="N56" s="106"/>
    </row>
    <row r="57" spans="2:14" x14ac:dyDescent="0.3">
      <c r="B57" s="302"/>
      <c r="C57" s="108" t="s">
        <v>265</v>
      </c>
      <c r="D57" s="236">
        <v>183</v>
      </c>
      <c r="E57" s="303">
        <v>6739.5</v>
      </c>
      <c r="F57" s="303"/>
      <c r="N57" s="106"/>
    </row>
    <row r="58" spans="2:14" x14ac:dyDescent="0.3">
      <c r="B58" s="302"/>
      <c r="C58" s="108" t="s">
        <v>266</v>
      </c>
      <c r="D58" s="236">
        <v>140</v>
      </c>
      <c r="E58" s="303">
        <v>5457</v>
      </c>
      <c r="F58" s="303"/>
      <c r="N58" s="106"/>
    </row>
    <row r="59" spans="2:14" x14ac:dyDescent="0.3">
      <c r="B59" s="302"/>
      <c r="C59" s="108" t="s">
        <v>267</v>
      </c>
      <c r="D59" s="236">
        <v>400</v>
      </c>
      <c r="E59" s="306">
        <v>15117.5</v>
      </c>
      <c r="F59" s="306"/>
      <c r="N59" s="106"/>
    </row>
    <row r="60" spans="2:14" x14ac:dyDescent="0.3">
      <c r="B60" s="302"/>
      <c r="C60" s="108" t="s">
        <v>268</v>
      </c>
      <c r="D60" s="236">
        <v>165</v>
      </c>
      <c r="E60" s="303">
        <v>7687.25</v>
      </c>
      <c r="F60" s="303"/>
      <c r="N60" s="106"/>
    </row>
    <row r="61" spans="2:14" x14ac:dyDescent="0.3">
      <c r="B61" s="302"/>
      <c r="C61" s="108" t="s">
        <v>269</v>
      </c>
      <c r="D61" s="236">
        <v>27</v>
      </c>
      <c r="E61" s="303">
        <v>1193.5</v>
      </c>
      <c r="F61" s="303"/>
      <c r="N61" s="106"/>
    </row>
    <row r="62" spans="2:14" x14ac:dyDescent="0.3">
      <c r="B62" s="302"/>
      <c r="C62" s="108" t="s">
        <v>270</v>
      </c>
      <c r="D62" s="236">
        <v>307</v>
      </c>
      <c r="E62" s="306">
        <v>11683</v>
      </c>
      <c r="F62" s="306"/>
      <c r="N62" s="106"/>
    </row>
    <row r="63" spans="2:14" x14ac:dyDescent="0.3">
      <c r="B63" s="302"/>
      <c r="C63" s="108" t="s">
        <v>271</v>
      </c>
      <c r="D63" s="236">
        <v>49</v>
      </c>
      <c r="E63" s="306">
        <v>1873.25</v>
      </c>
      <c r="F63" s="306"/>
      <c r="N63" s="106"/>
    </row>
    <row r="64" spans="2:14" x14ac:dyDescent="0.3">
      <c r="B64" s="302"/>
      <c r="C64" s="108" t="s">
        <v>272</v>
      </c>
      <c r="D64" s="236">
        <v>41</v>
      </c>
      <c r="E64" s="307">
        <v>1768.25</v>
      </c>
      <c r="F64" s="307"/>
      <c r="N64" s="106"/>
    </row>
    <row r="65" spans="2:30" x14ac:dyDescent="0.3">
      <c r="B65" s="302"/>
      <c r="C65" s="233" t="s">
        <v>244</v>
      </c>
      <c r="D65" s="233">
        <f>SUM(D53:D64)</f>
        <v>1635</v>
      </c>
      <c r="E65" s="295">
        <f>SUM(E53:F64)</f>
        <v>65914.75</v>
      </c>
      <c r="F65" s="296"/>
      <c r="N65" s="106"/>
    </row>
    <row r="66" spans="2:30" x14ac:dyDescent="0.3">
      <c r="N66" s="106"/>
      <c r="S66" s="121"/>
    </row>
    <row r="67" spans="2:30" x14ac:dyDescent="0.3">
      <c r="N67" s="106"/>
    </row>
    <row r="68" spans="2:30" x14ac:dyDescent="0.3">
      <c r="B68" s="297" t="s">
        <v>419</v>
      </c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9"/>
      <c r="Q68" s="297" t="s">
        <v>420</v>
      </c>
      <c r="R68" s="298"/>
      <c r="S68" s="298"/>
      <c r="T68" s="298"/>
      <c r="U68" s="298"/>
      <c r="V68" s="298"/>
      <c r="W68" s="298"/>
      <c r="X68" s="298"/>
      <c r="Y68" s="298"/>
      <c r="Z68" s="298"/>
      <c r="AA68" s="298"/>
      <c r="AB68" s="298"/>
      <c r="AC68" s="298"/>
      <c r="AD68" s="299"/>
    </row>
    <row r="69" spans="2:30" x14ac:dyDescent="0.3">
      <c r="B69" s="233" t="s">
        <v>421</v>
      </c>
      <c r="C69" s="233" t="s">
        <v>422</v>
      </c>
      <c r="D69" s="233" t="s">
        <v>423</v>
      </c>
      <c r="E69" s="233" t="s">
        <v>424</v>
      </c>
      <c r="F69" s="233" t="s">
        <v>425</v>
      </c>
      <c r="G69" s="233" t="s">
        <v>426</v>
      </c>
      <c r="H69" s="233" t="s">
        <v>427</v>
      </c>
      <c r="I69" s="233" t="s">
        <v>428</v>
      </c>
      <c r="J69" s="233" t="s">
        <v>429</v>
      </c>
      <c r="K69" s="233" t="s">
        <v>430</v>
      </c>
      <c r="L69" s="233" t="s">
        <v>431</v>
      </c>
      <c r="M69" s="233" t="s">
        <v>432</v>
      </c>
      <c r="N69" s="233" t="s">
        <v>272</v>
      </c>
      <c r="O69" s="233" t="s">
        <v>244</v>
      </c>
      <c r="Q69" s="233" t="s">
        <v>421</v>
      </c>
      <c r="R69" s="233" t="s">
        <v>422</v>
      </c>
      <c r="S69" s="233" t="s">
        <v>423</v>
      </c>
      <c r="T69" s="233" t="s">
        <v>424</v>
      </c>
      <c r="U69" s="233" t="s">
        <v>425</v>
      </c>
      <c r="V69" s="233" t="s">
        <v>265</v>
      </c>
      <c r="W69" s="233" t="s">
        <v>266</v>
      </c>
      <c r="X69" s="233" t="s">
        <v>267</v>
      </c>
      <c r="Y69" s="233" t="s">
        <v>268</v>
      </c>
      <c r="Z69" s="233" t="s">
        <v>269</v>
      </c>
      <c r="AA69" s="233" t="s">
        <v>270</v>
      </c>
      <c r="AB69" s="233" t="s">
        <v>271</v>
      </c>
      <c r="AC69" s="233" t="s">
        <v>272</v>
      </c>
      <c r="AD69" s="233" t="s">
        <v>244</v>
      </c>
    </row>
    <row r="70" spans="2:30" x14ac:dyDescent="0.3">
      <c r="B70" s="108" t="s">
        <v>433</v>
      </c>
      <c r="C70" s="236"/>
      <c r="D70" s="236"/>
      <c r="E70" s="236"/>
      <c r="F70" s="236">
        <v>42</v>
      </c>
      <c r="G70" s="236">
        <v>42</v>
      </c>
      <c r="H70" s="236">
        <v>43</v>
      </c>
      <c r="I70" s="236">
        <v>67</v>
      </c>
      <c r="J70" s="236">
        <v>33</v>
      </c>
      <c r="K70" s="236">
        <v>2</v>
      </c>
      <c r="L70" s="236">
        <v>58</v>
      </c>
      <c r="M70" s="236">
        <v>8</v>
      </c>
      <c r="N70" s="236">
        <v>6</v>
      </c>
      <c r="O70" s="233">
        <f t="shared" ref="O70:O77" si="10">SUM(C70:N70)</f>
        <v>301</v>
      </c>
      <c r="Q70" s="108" t="s">
        <v>433</v>
      </c>
      <c r="R70" s="235">
        <f>C70*25</f>
        <v>0</v>
      </c>
      <c r="S70" s="235">
        <f>D70*25</f>
        <v>0</v>
      </c>
      <c r="T70" s="235">
        <f>E70*25</f>
        <v>0</v>
      </c>
      <c r="U70" s="235">
        <f>F70*25</f>
        <v>1050</v>
      </c>
      <c r="V70" s="235">
        <v>1073.5</v>
      </c>
      <c r="W70" s="235">
        <f>H70*25</f>
        <v>1075</v>
      </c>
      <c r="X70" s="235">
        <f>I70*25</f>
        <v>1675</v>
      </c>
      <c r="Y70" s="235">
        <f>J70*25</f>
        <v>825</v>
      </c>
      <c r="Z70" s="235">
        <f>K70*25</f>
        <v>50</v>
      </c>
      <c r="AA70" s="235">
        <v>1330</v>
      </c>
      <c r="AB70" s="235">
        <f>M70*25</f>
        <v>200</v>
      </c>
      <c r="AC70" s="235">
        <f>N70*25</f>
        <v>150</v>
      </c>
      <c r="AD70" s="110">
        <f>SUM(R70:AC70)</f>
        <v>7428.5</v>
      </c>
    </row>
    <row r="71" spans="2:30" x14ac:dyDescent="0.3">
      <c r="B71" s="108" t="s">
        <v>435</v>
      </c>
      <c r="C71" s="236"/>
      <c r="D71" s="236"/>
      <c r="E71" s="236"/>
      <c r="F71" s="236">
        <v>104</v>
      </c>
      <c r="G71" s="236">
        <v>61</v>
      </c>
      <c r="H71" s="236">
        <v>46</v>
      </c>
      <c r="I71" s="236">
        <v>203</v>
      </c>
      <c r="J71" s="236">
        <v>46</v>
      </c>
      <c r="K71" s="236">
        <v>13</v>
      </c>
      <c r="L71" s="236">
        <v>113</v>
      </c>
      <c r="M71" s="236">
        <v>25</v>
      </c>
      <c r="N71" s="236">
        <v>26</v>
      </c>
      <c r="O71" s="233">
        <f t="shared" si="10"/>
        <v>637</v>
      </c>
      <c r="Q71" s="108" t="s">
        <v>435</v>
      </c>
      <c r="R71" s="235"/>
      <c r="S71" s="235"/>
      <c r="T71" s="235"/>
      <c r="U71" s="235">
        <v>4105.5</v>
      </c>
      <c r="V71" s="234">
        <v>2280.75</v>
      </c>
      <c r="W71" s="234">
        <v>1768.5</v>
      </c>
      <c r="X71" s="234">
        <v>8394.75</v>
      </c>
      <c r="Y71" s="234">
        <v>1830.25</v>
      </c>
      <c r="Z71" s="234">
        <v>544.75</v>
      </c>
      <c r="AA71" s="234">
        <v>4367.75</v>
      </c>
      <c r="AB71" s="234">
        <v>918.75</v>
      </c>
      <c r="AC71" s="234">
        <v>1141.25</v>
      </c>
      <c r="AD71" s="110">
        <f>SUM(R71:AC71)</f>
        <v>25352.25</v>
      </c>
    </row>
    <row r="72" spans="2:30" x14ac:dyDescent="0.3">
      <c r="B72" s="108" t="s">
        <v>354</v>
      </c>
      <c r="C72" s="236"/>
      <c r="D72" s="236"/>
      <c r="E72" s="236"/>
      <c r="F72" s="236">
        <v>52</v>
      </c>
      <c r="G72" s="236">
        <v>42</v>
      </c>
      <c r="H72" s="236">
        <v>14</v>
      </c>
      <c r="I72" s="236">
        <v>57</v>
      </c>
      <c r="J72" s="236">
        <v>24</v>
      </c>
      <c r="K72" s="236">
        <v>7</v>
      </c>
      <c r="L72" s="236">
        <v>35</v>
      </c>
      <c r="M72" s="236">
        <v>6</v>
      </c>
      <c r="N72" s="236">
        <v>4</v>
      </c>
      <c r="O72" s="233">
        <f t="shared" si="10"/>
        <v>241</v>
      </c>
      <c r="Q72" s="108" t="s">
        <v>354</v>
      </c>
      <c r="R72" s="235"/>
      <c r="S72" s="235"/>
      <c r="T72" s="235"/>
      <c r="U72" s="235">
        <v>1911</v>
      </c>
      <c r="V72" s="109">
        <v>1543.25</v>
      </c>
      <c r="W72" s="109">
        <v>514.5</v>
      </c>
      <c r="X72" s="109">
        <f>I72*36.75</f>
        <v>2094.75</v>
      </c>
      <c r="Y72" s="109">
        <v>882</v>
      </c>
      <c r="Z72" s="109">
        <v>273.75</v>
      </c>
      <c r="AA72" s="109">
        <f>L72*36.75</f>
        <v>1286.25</v>
      </c>
      <c r="AB72" s="109">
        <v>220.5</v>
      </c>
      <c r="AC72" s="109">
        <f>N72*36.75</f>
        <v>147</v>
      </c>
      <c r="AD72" s="110">
        <f>SUM(R72:AC72)</f>
        <v>8873</v>
      </c>
    </row>
    <row r="73" spans="2:30" x14ac:dyDescent="0.3">
      <c r="B73" s="108" t="s">
        <v>340</v>
      </c>
      <c r="C73" s="236"/>
      <c r="D73" s="236"/>
      <c r="E73" s="236"/>
      <c r="F73" s="236">
        <v>23</v>
      </c>
      <c r="G73" s="236">
        <v>5</v>
      </c>
      <c r="H73" s="236">
        <v>4</v>
      </c>
      <c r="I73" s="236">
        <v>14</v>
      </c>
      <c r="J73" s="236">
        <v>10</v>
      </c>
      <c r="K73" s="236">
        <v>4</v>
      </c>
      <c r="L73" s="236">
        <v>15</v>
      </c>
      <c r="M73" s="236">
        <v>3</v>
      </c>
      <c r="N73" s="236">
        <v>5</v>
      </c>
      <c r="O73" s="233">
        <f t="shared" si="10"/>
        <v>83</v>
      </c>
      <c r="Q73" s="108" t="s">
        <v>340</v>
      </c>
      <c r="R73" s="235"/>
      <c r="S73" s="235"/>
      <c r="T73" s="235"/>
      <c r="U73" s="235">
        <v>1235</v>
      </c>
      <c r="V73" s="109">
        <v>325</v>
      </c>
      <c r="W73" s="109">
        <v>260</v>
      </c>
      <c r="X73" s="109">
        <v>910</v>
      </c>
      <c r="Y73" s="109">
        <f>J73*65</f>
        <v>650</v>
      </c>
      <c r="Z73" s="109">
        <f>K73*65</f>
        <v>260</v>
      </c>
      <c r="AA73" s="109">
        <f>L73*65</f>
        <v>975</v>
      </c>
      <c r="AB73" s="109">
        <f>M73*65</f>
        <v>195</v>
      </c>
      <c r="AC73" s="109">
        <v>330</v>
      </c>
      <c r="AD73" s="110">
        <f>SUM(R73:AC73)</f>
        <v>5140</v>
      </c>
    </row>
    <row r="74" spans="2:30" x14ac:dyDescent="0.3">
      <c r="B74" s="108" t="s">
        <v>190</v>
      </c>
      <c r="C74" s="236"/>
      <c r="D74" s="236"/>
      <c r="E74" s="236"/>
      <c r="F74" s="236">
        <v>74</v>
      </c>
      <c r="G74" s="236">
        <v>13</v>
      </c>
      <c r="H74" s="236">
        <v>1</v>
      </c>
      <c r="I74" s="236">
        <v>5</v>
      </c>
      <c r="J74" s="236">
        <v>28</v>
      </c>
      <c r="K74" s="236">
        <v>1</v>
      </c>
      <c r="L74" s="236">
        <v>25</v>
      </c>
      <c r="M74" s="236">
        <v>0</v>
      </c>
      <c r="N74" s="236">
        <v>0</v>
      </c>
      <c r="O74" s="233">
        <f t="shared" si="10"/>
        <v>147</v>
      </c>
      <c r="Q74" s="108" t="s">
        <v>190</v>
      </c>
      <c r="R74" s="235"/>
      <c r="S74" s="235"/>
      <c r="T74" s="235"/>
      <c r="U74" s="235">
        <v>5250</v>
      </c>
      <c r="V74" s="109">
        <v>905</v>
      </c>
      <c r="W74" s="109">
        <v>65</v>
      </c>
      <c r="X74" s="109">
        <f>I74*75</f>
        <v>375</v>
      </c>
      <c r="Y74" s="109">
        <f>J74*75</f>
        <v>2100</v>
      </c>
      <c r="Z74" s="109">
        <v>65</v>
      </c>
      <c r="AA74" s="109">
        <f>L74*75</f>
        <v>1875</v>
      </c>
      <c r="AB74" s="109"/>
      <c r="AC74" s="109">
        <v>0</v>
      </c>
      <c r="AD74" s="110">
        <f>SUM(U74:AC74)</f>
        <v>10635</v>
      </c>
    </row>
    <row r="75" spans="2:30" x14ac:dyDescent="0.3">
      <c r="B75" s="108" t="s">
        <v>434</v>
      </c>
      <c r="C75" s="236"/>
      <c r="D75" s="236"/>
      <c r="E75" s="236"/>
      <c r="F75" s="236">
        <v>24</v>
      </c>
      <c r="G75" s="236">
        <v>17</v>
      </c>
      <c r="H75" s="236">
        <v>14</v>
      </c>
      <c r="I75" s="236">
        <v>46</v>
      </c>
      <c r="J75" s="236">
        <v>10</v>
      </c>
      <c r="K75" s="236">
        <v>0</v>
      </c>
      <c r="L75" s="236">
        <v>54</v>
      </c>
      <c r="M75" s="236">
        <v>4</v>
      </c>
      <c r="N75" s="236">
        <v>0</v>
      </c>
      <c r="O75" s="233">
        <f t="shared" si="10"/>
        <v>169</v>
      </c>
      <c r="Q75" s="108" t="s">
        <v>434</v>
      </c>
      <c r="R75" s="235"/>
      <c r="S75" s="235"/>
      <c r="T75" s="235"/>
      <c r="U75" s="235">
        <v>504</v>
      </c>
      <c r="V75" s="109">
        <v>357</v>
      </c>
      <c r="W75" s="109">
        <v>279</v>
      </c>
      <c r="X75" s="109">
        <v>988</v>
      </c>
      <c r="Y75" s="109">
        <f>J75*21</f>
        <v>210</v>
      </c>
      <c r="Z75" s="109">
        <v>0</v>
      </c>
      <c r="AA75" s="109">
        <v>1254</v>
      </c>
      <c r="AB75" s="109">
        <f>M75*21</f>
        <v>84</v>
      </c>
      <c r="AC75" s="109">
        <v>0</v>
      </c>
      <c r="AD75" s="110">
        <f>SUM(R75:AC75)</f>
        <v>3676</v>
      </c>
    </row>
    <row r="76" spans="2:30" x14ac:dyDescent="0.3">
      <c r="B76" s="108" t="s">
        <v>321</v>
      </c>
      <c r="C76" s="236"/>
      <c r="D76" s="236"/>
      <c r="E76" s="236"/>
      <c r="F76" s="236">
        <v>4</v>
      </c>
      <c r="G76" s="236">
        <v>3</v>
      </c>
      <c r="H76" s="236">
        <v>18</v>
      </c>
      <c r="I76" s="236">
        <v>8</v>
      </c>
      <c r="J76" s="236">
        <v>14</v>
      </c>
      <c r="K76" s="236">
        <v>0</v>
      </c>
      <c r="L76" s="236">
        <v>7</v>
      </c>
      <c r="M76" s="236">
        <v>3</v>
      </c>
      <c r="N76" s="236">
        <v>0</v>
      </c>
      <c r="O76" s="233">
        <f t="shared" si="10"/>
        <v>57</v>
      </c>
      <c r="Q76" s="108" t="s">
        <v>321</v>
      </c>
      <c r="R76" s="235"/>
      <c r="S76" s="235"/>
      <c r="T76" s="235"/>
      <c r="U76" s="235">
        <v>340</v>
      </c>
      <c r="V76" s="109">
        <v>255</v>
      </c>
      <c r="W76" s="109">
        <v>1495</v>
      </c>
      <c r="X76" s="109">
        <v>680</v>
      </c>
      <c r="Y76" s="109">
        <f>J76*85</f>
        <v>1190</v>
      </c>
      <c r="Z76" s="109">
        <v>0</v>
      </c>
      <c r="AA76" s="109">
        <v>595</v>
      </c>
      <c r="AB76" s="109">
        <f>M76*85</f>
        <v>255</v>
      </c>
      <c r="AC76" s="109">
        <v>0</v>
      </c>
      <c r="AD76" s="110">
        <f>SUM(R76:AC76)</f>
        <v>4810</v>
      </c>
    </row>
    <row r="77" spans="2:30" x14ac:dyDescent="0.3">
      <c r="B77" s="233" t="s">
        <v>244</v>
      </c>
      <c r="C77" s="233">
        <f>SUM(C70:C76)</f>
        <v>0</v>
      </c>
      <c r="D77" s="233">
        <f>SUM(D70:D76)</f>
        <v>0</v>
      </c>
      <c r="E77" s="233"/>
      <c r="F77" s="233">
        <f t="shared" ref="F77:N77" si="11">SUM(F70:F76)</f>
        <v>323</v>
      </c>
      <c r="G77" s="233">
        <f t="shared" si="11"/>
        <v>183</v>
      </c>
      <c r="H77" s="233">
        <f t="shared" si="11"/>
        <v>140</v>
      </c>
      <c r="I77" s="233">
        <f t="shared" si="11"/>
        <v>400</v>
      </c>
      <c r="J77" s="233">
        <f t="shared" si="11"/>
        <v>165</v>
      </c>
      <c r="K77" s="233">
        <f t="shared" si="11"/>
        <v>27</v>
      </c>
      <c r="L77" s="233">
        <f t="shared" si="11"/>
        <v>307</v>
      </c>
      <c r="M77" s="233">
        <f t="shared" si="11"/>
        <v>49</v>
      </c>
      <c r="N77" s="233">
        <f t="shared" si="11"/>
        <v>41</v>
      </c>
      <c r="O77" s="233">
        <f t="shared" si="10"/>
        <v>1635</v>
      </c>
      <c r="Q77" s="233" t="s">
        <v>244</v>
      </c>
      <c r="R77" s="232">
        <f t="shared" ref="R77:AD77" si="12">SUM(R70:R76)</f>
        <v>0</v>
      </c>
      <c r="S77" s="232">
        <f t="shared" si="12"/>
        <v>0</v>
      </c>
      <c r="T77" s="232">
        <f t="shared" si="12"/>
        <v>0</v>
      </c>
      <c r="U77" s="232">
        <f t="shared" si="12"/>
        <v>14395.5</v>
      </c>
      <c r="V77" s="232">
        <f t="shared" si="12"/>
        <v>6739.5</v>
      </c>
      <c r="W77" s="232">
        <f t="shared" si="12"/>
        <v>5457</v>
      </c>
      <c r="X77" s="232">
        <f t="shared" si="12"/>
        <v>15117.5</v>
      </c>
      <c r="Y77" s="232">
        <f t="shared" si="12"/>
        <v>7687.25</v>
      </c>
      <c r="Z77" s="232">
        <f t="shared" si="12"/>
        <v>1193.5</v>
      </c>
      <c r="AA77" s="232">
        <f t="shared" si="12"/>
        <v>11683</v>
      </c>
      <c r="AB77" s="232">
        <f t="shared" si="12"/>
        <v>1873.25</v>
      </c>
      <c r="AC77" s="232">
        <f t="shared" si="12"/>
        <v>1768.25</v>
      </c>
      <c r="AD77" s="110">
        <f t="shared" si="12"/>
        <v>65914.75</v>
      </c>
    </row>
    <row r="78" spans="2:30" x14ac:dyDescent="0.3">
      <c r="N78" s="106"/>
    </row>
    <row r="79" spans="2:30" x14ac:dyDescent="0.3">
      <c r="N79" s="106"/>
    </row>
    <row r="80" spans="2:30" x14ac:dyDescent="0.3">
      <c r="N80" s="106"/>
    </row>
    <row r="81" spans="14:14" x14ac:dyDescent="0.3">
      <c r="N81" s="106"/>
    </row>
    <row r="82" spans="14:14" x14ac:dyDescent="0.3">
      <c r="N82" s="106"/>
    </row>
    <row r="83" spans="14:14" x14ac:dyDescent="0.3">
      <c r="N83" s="106"/>
    </row>
    <row r="84" spans="14:14" x14ac:dyDescent="0.3">
      <c r="N84" s="106"/>
    </row>
    <row r="85" spans="14:14" x14ac:dyDescent="0.3">
      <c r="N85" s="106"/>
    </row>
    <row r="86" spans="14:14" x14ac:dyDescent="0.3">
      <c r="N86" s="106"/>
    </row>
    <row r="87" spans="14:14" x14ac:dyDescent="0.3">
      <c r="N87" s="106"/>
    </row>
    <row r="88" spans="14:14" x14ac:dyDescent="0.3">
      <c r="N88" s="106"/>
    </row>
    <row r="89" spans="14:14" x14ac:dyDescent="0.3">
      <c r="N89" s="106"/>
    </row>
    <row r="90" spans="14:14" x14ac:dyDescent="0.3">
      <c r="N90" s="106"/>
    </row>
    <row r="91" spans="14:14" x14ac:dyDescent="0.3">
      <c r="N91" s="106"/>
    </row>
    <row r="92" spans="14:14" x14ac:dyDescent="0.3">
      <c r="N92" s="106"/>
    </row>
    <row r="93" spans="14:14" x14ac:dyDescent="0.3">
      <c r="N93" s="106"/>
    </row>
  </sheetData>
  <mergeCells count="36">
    <mergeCell ref="P19:AB19"/>
    <mergeCell ref="E16:F16"/>
    <mergeCell ref="B3:B16"/>
    <mergeCell ref="E3:F3"/>
    <mergeCell ref="E12:F12"/>
    <mergeCell ref="E13:F13"/>
    <mergeCell ref="E14:F14"/>
    <mergeCell ref="E15:F15"/>
    <mergeCell ref="E4:F4"/>
    <mergeCell ref="E8:F8"/>
    <mergeCell ref="E9:F9"/>
    <mergeCell ref="E10:F10"/>
    <mergeCell ref="E11:F11"/>
    <mergeCell ref="E5:F5"/>
    <mergeCell ref="E62:F62"/>
    <mergeCell ref="E63:F63"/>
    <mergeCell ref="E6:F6"/>
    <mergeCell ref="E64:F64"/>
    <mergeCell ref="E7:F7"/>
    <mergeCell ref="B19:N19"/>
    <mergeCell ref="E65:F65"/>
    <mergeCell ref="B68:O68"/>
    <mergeCell ref="Q68:AD68"/>
    <mergeCell ref="B50:C51"/>
    <mergeCell ref="B1:AB2"/>
    <mergeCell ref="B52:B65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</mergeCells>
  <phoneticPr fontId="15" type="noConversion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7AAF-8FC2-47A1-957E-7A4FD73D1EF8}">
  <sheetPr>
    <pageSetUpPr fitToPage="1"/>
  </sheetPr>
  <dimension ref="A2:I350"/>
  <sheetViews>
    <sheetView zoomScale="85" zoomScaleNormal="85" workbookViewId="0">
      <selection activeCell="F16" sqref="F16"/>
    </sheetView>
  </sheetViews>
  <sheetFormatPr defaultRowHeight="14.4" x14ac:dyDescent="0.3"/>
  <cols>
    <col min="1" max="1" width="9.5546875" customWidth="1"/>
    <col min="2" max="2" width="13.6640625" bestFit="1" customWidth="1"/>
    <col min="3" max="3" width="48.6640625" customWidth="1"/>
    <col min="4" max="4" width="10.33203125" style="237" bestFit="1" customWidth="1"/>
    <col min="5" max="5" width="12.44140625" bestFit="1" customWidth="1"/>
    <col min="6" max="6" width="14.6640625" bestFit="1" customWidth="1"/>
    <col min="7" max="8" width="14.109375" bestFit="1" customWidth="1"/>
    <col min="9" max="9" width="9.5546875" bestFit="1" customWidth="1"/>
  </cols>
  <sheetData>
    <row r="2" spans="1:9" x14ac:dyDescent="0.3">
      <c r="A2" s="210" t="s">
        <v>436</v>
      </c>
      <c r="B2" s="17" t="s">
        <v>1098</v>
      </c>
    </row>
    <row r="4" spans="1:9" x14ac:dyDescent="0.3">
      <c r="A4" s="17"/>
      <c r="B4" s="17"/>
      <c r="C4" s="17"/>
      <c r="D4" s="17"/>
      <c r="E4" s="210" t="s">
        <v>258</v>
      </c>
      <c r="F4" s="17"/>
    </row>
    <row r="5" spans="1:9" x14ac:dyDescent="0.3">
      <c r="A5" s="210" t="s">
        <v>437</v>
      </c>
      <c r="B5" s="210" t="s">
        <v>298</v>
      </c>
      <c r="C5" s="210" t="s">
        <v>4</v>
      </c>
      <c r="D5" s="210" t="s">
        <v>3</v>
      </c>
      <c r="E5" s="17" t="s">
        <v>438</v>
      </c>
      <c r="F5" s="17" t="s">
        <v>439</v>
      </c>
    </row>
    <row r="6" spans="1:9" x14ac:dyDescent="0.3">
      <c r="A6" s="17" t="s">
        <v>440</v>
      </c>
      <c r="B6" s="40">
        <v>46266</v>
      </c>
      <c r="C6" s="17" t="s">
        <v>379</v>
      </c>
      <c r="D6" s="17">
        <v>254</v>
      </c>
      <c r="E6" s="321">
        <v>5</v>
      </c>
      <c r="F6" s="16">
        <v>216</v>
      </c>
    </row>
    <row r="7" spans="1:9" x14ac:dyDescent="0.3">
      <c r="A7" s="17"/>
      <c r="B7" s="17"/>
      <c r="C7" s="17" t="s">
        <v>1094</v>
      </c>
      <c r="D7" s="17">
        <v>253</v>
      </c>
      <c r="E7" s="321">
        <v>250</v>
      </c>
      <c r="F7" s="16">
        <v>4125</v>
      </c>
    </row>
    <row r="8" spans="1:9" x14ac:dyDescent="0.3">
      <c r="A8" s="17"/>
      <c r="B8" s="40">
        <v>46267</v>
      </c>
      <c r="C8" s="17" t="s">
        <v>761</v>
      </c>
      <c r="D8" s="17">
        <v>1163</v>
      </c>
      <c r="E8" s="321">
        <v>500</v>
      </c>
      <c r="F8" s="16">
        <v>5750</v>
      </c>
    </row>
    <row r="9" spans="1:9" x14ac:dyDescent="0.3">
      <c r="A9" s="17"/>
      <c r="B9" s="40">
        <v>46268</v>
      </c>
      <c r="C9" s="17" t="s">
        <v>563</v>
      </c>
      <c r="D9" s="17">
        <v>1164</v>
      </c>
      <c r="E9" s="321">
        <v>300</v>
      </c>
      <c r="F9" s="16">
        <v>7350</v>
      </c>
    </row>
    <row r="10" spans="1:9" x14ac:dyDescent="0.3">
      <c r="A10" s="214" t="s">
        <v>464</v>
      </c>
      <c r="B10" s="214"/>
      <c r="C10" s="214"/>
      <c r="D10" s="214"/>
      <c r="E10" s="322">
        <v>1055</v>
      </c>
      <c r="F10" s="215">
        <v>17441</v>
      </c>
    </row>
    <row r="11" spans="1:9" x14ac:dyDescent="0.3">
      <c r="D11"/>
    </row>
    <row r="12" spans="1:9" x14ac:dyDescent="0.3">
      <c r="D12"/>
    </row>
    <row r="13" spans="1:9" x14ac:dyDescent="0.3">
      <c r="D13"/>
    </row>
    <row r="14" spans="1:9" x14ac:dyDescent="0.3">
      <c r="D14"/>
    </row>
    <row r="15" spans="1:9" x14ac:dyDescent="0.3">
      <c r="D15"/>
      <c r="I15" s="207"/>
    </row>
    <row r="16" spans="1:9" x14ac:dyDescent="0.3">
      <c r="D16"/>
    </row>
    <row r="17" spans="4:4" x14ac:dyDescent="0.3">
      <c r="D17"/>
    </row>
    <row r="18" spans="4:4" x14ac:dyDescent="0.3">
      <c r="D18"/>
    </row>
    <row r="19" spans="4:4" x14ac:dyDescent="0.3">
      <c r="D19"/>
    </row>
    <row r="20" spans="4:4" x14ac:dyDescent="0.3">
      <c r="D20"/>
    </row>
    <row r="21" spans="4:4" x14ac:dyDescent="0.3">
      <c r="D21"/>
    </row>
    <row r="22" spans="4:4" x14ac:dyDescent="0.3">
      <c r="D22"/>
    </row>
    <row r="23" spans="4:4" x14ac:dyDescent="0.3">
      <c r="D23"/>
    </row>
    <row r="24" spans="4:4" x14ac:dyDescent="0.3">
      <c r="D24"/>
    </row>
    <row r="25" spans="4:4" x14ac:dyDescent="0.3">
      <c r="D25"/>
    </row>
    <row r="26" spans="4:4" x14ac:dyDescent="0.3">
      <c r="D26"/>
    </row>
    <row r="27" spans="4:4" x14ac:dyDescent="0.3">
      <c r="D27"/>
    </row>
    <row r="28" spans="4:4" x14ac:dyDescent="0.3">
      <c r="D28"/>
    </row>
    <row r="29" spans="4:4" x14ac:dyDescent="0.3">
      <c r="D29"/>
    </row>
    <row r="30" spans="4:4" x14ac:dyDescent="0.3">
      <c r="D30"/>
    </row>
    <row r="31" spans="4:4" x14ac:dyDescent="0.3">
      <c r="D31"/>
    </row>
    <row r="32" spans="4:4" x14ac:dyDescent="0.3">
      <c r="D32"/>
    </row>
    <row r="33" spans="4:4" x14ac:dyDescent="0.3">
      <c r="D33"/>
    </row>
    <row r="34" spans="4:4" x14ac:dyDescent="0.3">
      <c r="D34"/>
    </row>
    <row r="35" spans="4:4" x14ac:dyDescent="0.3">
      <c r="D35"/>
    </row>
    <row r="36" spans="4:4" x14ac:dyDescent="0.3">
      <c r="D36"/>
    </row>
    <row r="37" spans="4:4" x14ac:dyDescent="0.3">
      <c r="D37"/>
    </row>
    <row r="38" spans="4:4" x14ac:dyDescent="0.3">
      <c r="D38"/>
    </row>
    <row r="39" spans="4:4" x14ac:dyDescent="0.3">
      <c r="D39"/>
    </row>
    <row r="40" spans="4:4" x14ac:dyDescent="0.3">
      <c r="D40"/>
    </row>
    <row r="41" spans="4:4" x14ac:dyDescent="0.3">
      <c r="D41"/>
    </row>
    <row r="42" spans="4:4" x14ac:dyDescent="0.3">
      <c r="D42"/>
    </row>
    <row r="43" spans="4:4" x14ac:dyDescent="0.3">
      <c r="D43"/>
    </row>
    <row r="44" spans="4:4" x14ac:dyDescent="0.3">
      <c r="D44"/>
    </row>
    <row r="45" spans="4:4" x14ac:dyDescent="0.3">
      <c r="D45"/>
    </row>
    <row r="46" spans="4:4" x14ac:dyDescent="0.3">
      <c r="D46"/>
    </row>
    <row r="47" spans="4:4" x14ac:dyDescent="0.3">
      <c r="D47"/>
    </row>
    <row r="48" spans="4:4" x14ac:dyDescent="0.3">
      <c r="D48"/>
    </row>
    <row r="49" spans="4:7" ht="19.95" customHeight="1" x14ac:dyDescent="0.3">
      <c r="D49"/>
    </row>
    <row r="50" spans="4:7" x14ac:dyDescent="0.3">
      <c r="D50"/>
    </row>
    <row r="51" spans="4:7" x14ac:dyDescent="0.3">
      <c r="D51"/>
    </row>
    <row r="52" spans="4:7" x14ac:dyDescent="0.3">
      <c r="D52"/>
    </row>
    <row r="53" spans="4:7" x14ac:dyDescent="0.3">
      <c r="D53"/>
    </row>
    <row r="54" spans="4:7" x14ac:dyDescent="0.3">
      <c r="D54"/>
    </row>
    <row r="55" spans="4:7" x14ac:dyDescent="0.3">
      <c r="D55"/>
    </row>
    <row r="56" spans="4:7" x14ac:dyDescent="0.3">
      <c r="D56"/>
    </row>
    <row r="57" spans="4:7" x14ac:dyDescent="0.3">
      <c r="D57"/>
    </row>
    <row r="58" spans="4:7" x14ac:dyDescent="0.3">
      <c r="D58"/>
    </row>
    <row r="59" spans="4:7" x14ac:dyDescent="0.3">
      <c r="D59"/>
      <c r="G59" s="207"/>
    </row>
    <row r="60" spans="4:7" x14ac:dyDescent="0.3">
      <c r="D60"/>
    </row>
    <row r="61" spans="4:7" x14ac:dyDescent="0.3">
      <c r="D61"/>
    </row>
    <row r="62" spans="4:7" x14ac:dyDescent="0.3">
      <c r="D62"/>
    </row>
    <row r="63" spans="4:7" x14ac:dyDescent="0.3">
      <c r="D63"/>
    </row>
    <row r="64" spans="4:7" x14ac:dyDescent="0.3">
      <c r="D64"/>
    </row>
    <row r="65" spans="4:4" x14ac:dyDescent="0.3">
      <c r="D65"/>
    </row>
    <row r="66" spans="4:4" x14ac:dyDescent="0.3">
      <c r="D66"/>
    </row>
    <row r="67" spans="4:4" x14ac:dyDescent="0.3">
      <c r="D67"/>
    </row>
    <row r="68" spans="4:4" x14ac:dyDescent="0.3">
      <c r="D68"/>
    </row>
    <row r="69" spans="4:4" x14ac:dyDescent="0.3">
      <c r="D69"/>
    </row>
    <row r="70" spans="4:4" x14ac:dyDescent="0.3">
      <c r="D70"/>
    </row>
    <row r="71" spans="4:4" x14ac:dyDescent="0.3">
      <c r="D71"/>
    </row>
    <row r="72" spans="4:4" x14ac:dyDescent="0.3">
      <c r="D72"/>
    </row>
    <row r="73" spans="4:4" x14ac:dyDescent="0.3">
      <c r="D73"/>
    </row>
    <row r="74" spans="4:4" x14ac:dyDescent="0.3">
      <c r="D74"/>
    </row>
    <row r="75" spans="4:4" x14ac:dyDescent="0.3">
      <c r="D75"/>
    </row>
    <row r="76" spans="4:4" x14ac:dyDescent="0.3">
      <c r="D76"/>
    </row>
    <row r="77" spans="4:4" x14ac:dyDescent="0.3">
      <c r="D77"/>
    </row>
    <row r="78" spans="4:4" x14ac:dyDescent="0.3">
      <c r="D78"/>
    </row>
    <row r="79" spans="4:4" x14ac:dyDescent="0.3">
      <c r="D79"/>
    </row>
    <row r="80" spans="4:4" x14ac:dyDescent="0.3">
      <c r="D80"/>
    </row>
    <row r="81" spans="4:4" x14ac:dyDescent="0.3">
      <c r="D81"/>
    </row>
    <row r="82" spans="4:4" x14ac:dyDescent="0.3">
      <c r="D82"/>
    </row>
    <row r="83" spans="4:4" x14ac:dyDescent="0.3">
      <c r="D83"/>
    </row>
    <row r="84" spans="4:4" x14ac:dyDescent="0.3">
      <c r="D84"/>
    </row>
    <row r="85" spans="4:4" x14ac:dyDescent="0.3">
      <c r="D85"/>
    </row>
    <row r="86" spans="4:4" x14ac:dyDescent="0.3">
      <c r="D86"/>
    </row>
    <row r="87" spans="4:4" x14ac:dyDescent="0.3">
      <c r="D87"/>
    </row>
    <row r="88" spans="4:4" x14ac:dyDescent="0.3">
      <c r="D88"/>
    </row>
    <row r="89" spans="4:4" x14ac:dyDescent="0.3">
      <c r="D89"/>
    </row>
    <row r="90" spans="4:4" x14ac:dyDescent="0.3">
      <c r="D90"/>
    </row>
    <row r="91" spans="4:4" x14ac:dyDescent="0.3">
      <c r="D91"/>
    </row>
    <row r="92" spans="4:4" x14ac:dyDescent="0.3">
      <c r="D92"/>
    </row>
    <row r="93" spans="4:4" x14ac:dyDescent="0.3">
      <c r="D93"/>
    </row>
    <row r="94" spans="4:4" x14ac:dyDescent="0.3">
      <c r="D94"/>
    </row>
    <row r="95" spans="4:4" x14ac:dyDescent="0.3">
      <c r="D95"/>
    </row>
    <row r="96" spans="4:4" x14ac:dyDescent="0.3">
      <c r="D96"/>
    </row>
    <row r="97" spans="4:4" x14ac:dyDescent="0.3">
      <c r="D97"/>
    </row>
    <row r="98" spans="4:4" x14ac:dyDescent="0.3">
      <c r="D98"/>
    </row>
    <row r="99" spans="4:4" x14ac:dyDescent="0.3">
      <c r="D99"/>
    </row>
    <row r="100" spans="4:4" x14ac:dyDescent="0.3">
      <c r="D100"/>
    </row>
    <row r="101" spans="4:4" x14ac:dyDescent="0.3">
      <c r="D101"/>
    </row>
    <row r="102" spans="4:4" x14ac:dyDescent="0.3">
      <c r="D102"/>
    </row>
    <row r="103" spans="4:4" x14ac:dyDescent="0.3">
      <c r="D103"/>
    </row>
    <row r="104" spans="4:4" x14ac:dyDescent="0.3">
      <c r="D104"/>
    </row>
    <row r="105" spans="4:4" x14ac:dyDescent="0.3">
      <c r="D105"/>
    </row>
    <row r="106" spans="4:4" x14ac:dyDescent="0.3">
      <c r="D106"/>
    </row>
    <row r="107" spans="4:4" x14ac:dyDescent="0.3">
      <c r="D107"/>
    </row>
    <row r="108" spans="4:4" x14ac:dyDescent="0.3">
      <c r="D108"/>
    </row>
    <row r="109" spans="4:4" x14ac:dyDescent="0.3">
      <c r="D109"/>
    </row>
    <row r="110" spans="4:4" x14ac:dyDescent="0.3">
      <c r="D110"/>
    </row>
    <row r="111" spans="4:4" x14ac:dyDescent="0.3">
      <c r="D111"/>
    </row>
    <row r="112" spans="4:4" x14ac:dyDescent="0.3">
      <c r="D112"/>
    </row>
    <row r="113" spans="4:4" x14ac:dyDescent="0.3">
      <c r="D113"/>
    </row>
    <row r="114" spans="4:4" x14ac:dyDescent="0.3">
      <c r="D114"/>
    </row>
    <row r="115" spans="4:4" x14ac:dyDescent="0.3">
      <c r="D115"/>
    </row>
    <row r="116" spans="4:4" x14ac:dyDescent="0.3">
      <c r="D116"/>
    </row>
    <row r="117" spans="4:4" x14ac:dyDescent="0.3">
      <c r="D117"/>
    </row>
    <row r="118" spans="4:4" x14ac:dyDescent="0.3">
      <c r="D118"/>
    </row>
    <row r="119" spans="4:4" x14ac:dyDescent="0.3">
      <c r="D119"/>
    </row>
    <row r="120" spans="4:4" x14ac:dyDescent="0.3">
      <c r="D120"/>
    </row>
    <row r="121" spans="4:4" x14ac:dyDescent="0.3">
      <c r="D121"/>
    </row>
    <row r="122" spans="4:4" x14ac:dyDescent="0.3">
      <c r="D122"/>
    </row>
    <row r="123" spans="4:4" x14ac:dyDescent="0.3">
      <c r="D123"/>
    </row>
    <row r="124" spans="4:4" x14ac:dyDescent="0.3">
      <c r="D124"/>
    </row>
    <row r="125" spans="4:4" x14ac:dyDescent="0.3">
      <c r="D125"/>
    </row>
    <row r="126" spans="4:4" x14ac:dyDescent="0.3">
      <c r="D126"/>
    </row>
    <row r="127" spans="4:4" x14ac:dyDescent="0.3">
      <c r="D127"/>
    </row>
    <row r="128" spans="4:4" x14ac:dyDescent="0.3">
      <c r="D128"/>
    </row>
    <row r="129" spans="4:4" x14ac:dyDescent="0.3">
      <c r="D129"/>
    </row>
    <row r="130" spans="4:4" x14ac:dyDescent="0.3">
      <c r="D130"/>
    </row>
    <row r="131" spans="4:4" x14ac:dyDescent="0.3">
      <c r="D131"/>
    </row>
    <row r="132" spans="4:4" x14ac:dyDescent="0.3">
      <c r="D132"/>
    </row>
    <row r="133" spans="4:4" x14ac:dyDescent="0.3">
      <c r="D133"/>
    </row>
    <row r="134" spans="4:4" x14ac:dyDescent="0.3">
      <c r="D134"/>
    </row>
    <row r="135" spans="4:4" x14ac:dyDescent="0.3">
      <c r="D135"/>
    </row>
    <row r="136" spans="4:4" x14ac:dyDescent="0.3">
      <c r="D136"/>
    </row>
    <row r="137" spans="4:4" x14ac:dyDescent="0.3">
      <c r="D137"/>
    </row>
    <row r="138" spans="4:4" x14ac:dyDescent="0.3">
      <c r="D138"/>
    </row>
    <row r="139" spans="4:4" x14ac:dyDescent="0.3">
      <c r="D139"/>
    </row>
    <row r="140" spans="4:4" x14ac:dyDescent="0.3">
      <c r="D140"/>
    </row>
    <row r="141" spans="4:4" x14ac:dyDescent="0.3">
      <c r="D141"/>
    </row>
    <row r="142" spans="4:4" x14ac:dyDescent="0.3">
      <c r="D142"/>
    </row>
    <row r="143" spans="4:4" x14ac:dyDescent="0.3">
      <c r="D143"/>
    </row>
    <row r="144" spans="4:4" x14ac:dyDescent="0.3">
      <c r="D144"/>
    </row>
    <row r="145" spans="4:4" x14ac:dyDescent="0.3">
      <c r="D145"/>
    </row>
    <row r="146" spans="4:4" x14ac:dyDescent="0.3">
      <c r="D146"/>
    </row>
    <row r="147" spans="4:4" x14ac:dyDescent="0.3">
      <c r="D147"/>
    </row>
    <row r="148" spans="4:4" x14ac:dyDescent="0.3">
      <c r="D148"/>
    </row>
    <row r="149" spans="4:4" x14ac:dyDescent="0.3">
      <c r="D149"/>
    </row>
    <row r="150" spans="4:4" x14ac:dyDescent="0.3">
      <c r="D150"/>
    </row>
    <row r="151" spans="4:4" x14ac:dyDescent="0.3">
      <c r="D151"/>
    </row>
    <row r="152" spans="4:4" x14ac:dyDescent="0.3">
      <c r="D152"/>
    </row>
    <row r="153" spans="4:4" x14ac:dyDescent="0.3">
      <c r="D153"/>
    </row>
    <row r="154" spans="4:4" x14ac:dyDescent="0.3">
      <c r="D154"/>
    </row>
    <row r="155" spans="4:4" x14ac:dyDescent="0.3">
      <c r="D155"/>
    </row>
    <row r="156" spans="4:4" x14ac:dyDescent="0.3">
      <c r="D156"/>
    </row>
    <row r="157" spans="4:4" x14ac:dyDescent="0.3">
      <c r="D157"/>
    </row>
    <row r="158" spans="4:4" x14ac:dyDescent="0.3">
      <c r="D158"/>
    </row>
    <row r="159" spans="4:4" x14ac:dyDescent="0.3">
      <c r="D159"/>
    </row>
    <row r="160" spans="4:4" x14ac:dyDescent="0.3">
      <c r="D160"/>
    </row>
    <row r="161" spans="4:4" x14ac:dyDescent="0.3">
      <c r="D161"/>
    </row>
    <row r="162" spans="4:4" x14ac:dyDescent="0.3">
      <c r="D162"/>
    </row>
    <row r="163" spans="4:4" x14ac:dyDescent="0.3">
      <c r="D163"/>
    </row>
    <row r="164" spans="4:4" x14ac:dyDescent="0.3">
      <c r="D164"/>
    </row>
    <row r="165" spans="4:4" x14ac:dyDescent="0.3">
      <c r="D165"/>
    </row>
    <row r="166" spans="4:4" x14ac:dyDescent="0.3">
      <c r="D166"/>
    </row>
    <row r="167" spans="4:4" x14ac:dyDescent="0.3">
      <c r="D167"/>
    </row>
    <row r="168" spans="4:4" x14ac:dyDescent="0.3">
      <c r="D168"/>
    </row>
    <row r="169" spans="4:4" x14ac:dyDescent="0.3">
      <c r="D169"/>
    </row>
    <row r="170" spans="4:4" x14ac:dyDescent="0.3">
      <c r="D170"/>
    </row>
    <row r="171" spans="4:4" x14ac:dyDescent="0.3">
      <c r="D171"/>
    </row>
    <row r="172" spans="4:4" x14ac:dyDescent="0.3">
      <c r="D172"/>
    </row>
    <row r="173" spans="4:4" x14ac:dyDescent="0.3">
      <c r="D173"/>
    </row>
    <row r="174" spans="4:4" x14ac:dyDescent="0.3">
      <c r="D174"/>
    </row>
    <row r="175" spans="4:4" x14ac:dyDescent="0.3">
      <c r="D175"/>
    </row>
    <row r="176" spans="4:4" x14ac:dyDescent="0.3">
      <c r="D176"/>
    </row>
    <row r="177" spans="4:4" x14ac:dyDescent="0.3">
      <c r="D177"/>
    </row>
    <row r="178" spans="4:4" x14ac:dyDescent="0.3">
      <c r="D178"/>
    </row>
    <row r="179" spans="4:4" x14ac:dyDescent="0.3">
      <c r="D179"/>
    </row>
    <row r="180" spans="4:4" x14ac:dyDescent="0.3">
      <c r="D180"/>
    </row>
    <row r="181" spans="4:4" x14ac:dyDescent="0.3">
      <c r="D181"/>
    </row>
    <row r="182" spans="4:4" x14ac:dyDescent="0.3">
      <c r="D182"/>
    </row>
    <row r="183" spans="4:4" x14ac:dyDescent="0.3">
      <c r="D183"/>
    </row>
    <row r="184" spans="4:4" x14ac:dyDescent="0.3">
      <c r="D184"/>
    </row>
    <row r="185" spans="4:4" x14ac:dyDescent="0.3">
      <c r="D185"/>
    </row>
    <row r="186" spans="4:4" x14ac:dyDescent="0.3">
      <c r="D186"/>
    </row>
    <row r="187" spans="4:4" x14ac:dyDescent="0.3">
      <c r="D187"/>
    </row>
    <row r="188" spans="4:4" x14ac:dyDescent="0.3">
      <c r="D188"/>
    </row>
    <row r="189" spans="4:4" x14ac:dyDescent="0.3">
      <c r="D189"/>
    </row>
    <row r="190" spans="4:4" x14ac:dyDescent="0.3">
      <c r="D190"/>
    </row>
    <row r="191" spans="4:4" x14ac:dyDescent="0.3">
      <c r="D191"/>
    </row>
    <row r="192" spans="4:4" x14ac:dyDescent="0.3">
      <c r="D192"/>
    </row>
    <row r="193" spans="4:4" x14ac:dyDescent="0.3">
      <c r="D193"/>
    </row>
    <row r="194" spans="4:4" x14ac:dyDescent="0.3">
      <c r="D194"/>
    </row>
    <row r="195" spans="4:4" x14ac:dyDescent="0.3">
      <c r="D195"/>
    </row>
    <row r="196" spans="4:4" x14ac:dyDescent="0.3">
      <c r="D196"/>
    </row>
    <row r="197" spans="4:4" x14ac:dyDescent="0.3">
      <c r="D197"/>
    </row>
    <row r="198" spans="4:4" x14ac:dyDescent="0.3">
      <c r="D198"/>
    </row>
    <row r="199" spans="4:4" x14ac:dyDescent="0.3">
      <c r="D199"/>
    </row>
    <row r="200" spans="4:4" x14ac:dyDescent="0.3">
      <c r="D200"/>
    </row>
    <row r="201" spans="4:4" x14ac:dyDescent="0.3">
      <c r="D201"/>
    </row>
    <row r="202" spans="4:4" x14ac:dyDescent="0.3">
      <c r="D202"/>
    </row>
    <row r="203" spans="4:4" x14ac:dyDescent="0.3">
      <c r="D203"/>
    </row>
    <row r="204" spans="4:4" x14ac:dyDescent="0.3">
      <c r="D204"/>
    </row>
    <row r="205" spans="4:4" x14ac:dyDescent="0.3">
      <c r="D205"/>
    </row>
    <row r="206" spans="4:4" x14ac:dyDescent="0.3">
      <c r="D206"/>
    </row>
    <row r="207" spans="4:4" x14ac:dyDescent="0.3">
      <c r="D207"/>
    </row>
    <row r="208" spans="4:4" x14ac:dyDescent="0.3">
      <c r="D208"/>
    </row>
    <row r="209" spans="4:4" x14ac:dyDescent="0.3">
      <c r="D209"/>
    </row>
    <row r="210" spans="4:4" x14ac:dyDescent="0.3">
      <c r="D210"/>
    </row>
    <row r="211" spans="4:4" x14ac:dyDescent="0.3">
      <c r="D211"/>
    </row>
    <row r="212" spans="4:4" x14ac:dyDescent="0.3">
      <c r="D212"/>
    </row>
    <row r="213" spans="4:4" x14ac:dyDescent="0.3">
      <c r="D213"/>
    </row>
    <row r="214" spans="4:4" x14ac:dyDescent="0.3">
      <c r="D214"/>
    </row>
    <row r="215" spans="4:4" x14ac:dyDescent="0.3">
      <c r="D215"/>
    </row>
    <row r="216" spans="4:4" x14ac:dyDescent="0.3">
      <c r="D216"/>
    </row>
    <row r="217" spans="4:4" x14ac:dyDescent="0.3">
      <c r="D217"/>
    </row>
    <row r="218" spans="4:4" x14ac:dyDescent="0.3">
      <c r="D218"/>
    </row>
    <row r="219" spans="4:4" x14ac:dyDescent="0.3">
      <c r="D219"/>
    </row>
    <row r="220" spans="4:4" x14ac:dyDescent="0.3">
      <c r="D220"/>
    </row>
    <row r="221" spans="4:4" x14ac:dyDescent="0.3">
      <c r="D221"/>
    </row>
    <row r="222" spans="4:4" x14ac:dyDescent="0.3">
      <c r="D222"/>
    </row>
    <row r="223" spans="4:4" x14ac:dyDescent="0.3">
      <c r="D223"/>
    </row>
    <row r="224" spans="4:4" x14ac:dyDescent="0.3">
      <c r="D224"/>
    </row>
    <row r="225" spans="4:4" x14ac:dyDescent="0.3">
      <c r="D225"/>
    </row>
    <row r="226" spans="4:4" x14ac:dyDescent="0.3">
      <c r="D226"/>
    </row>
    <row r="227" spans="4:4" x14ac:dyDescent="0.3">
      <c r="D227"/>
    </row>
    <row r="228" spans="4:4" x14ac:dyDescent="0.3">
      <c r="D228"/>
    </row>
    <row r="229" spans="4:4" x14ac:dyDescent="0.3">
      <c r="D229"/>
    </row>
    <row r="230" spans="4:4" x14ac:dyDescent="0.3">
      <c r="D230"/>
    </row>
    <row r="231" spans="4:4" x14ac:dyDescent="0.3">
      <c r="D231"/>
    </row>
    <row r="232" spans="4:4" x14ac:dyDescent="0.3">
      <c r="D232"/>
    </row>
    <row r="233" spans="4:4" x14ac:dyDescent="0.3">
      <c r="D233"/>
    </row>
    <row r="234" spans="4:4" x14ac:dyDescent="0.3">
      <c r="D234"/>
    </row>
    <row r="235" spans="4:4" x14ac:dyDescent="0.3">
      <c r="D235"/>
    </row>
    <row r="236" spans="4:4" x14ac:dyDescent="0.3">
      <c r="D236"/>
    </row>
    <row r="237" spans="4:4" x14ac:dyDescent="0.3">
      <c r="D237"/>
    </row>
    <row r="238" spans="4:4" x14ac:dyDescent="0.3">
      <c r="D238"/>
    </row>
    <row r="239" spans="4:4" x14ac:dyDescent="0.3">
      <c r="D239"/>
    </row>
    <row r="240" spans="4:4" x14ac:dyDescent="0.3">
      <c r="D240"/>
    </row>
    <row r="241" spans="4:4" x14ac:dyDescent="0.3">
      <c r="D241"/>
    </row>
    <row r="242" spans="4:4" x14ac:dyDescent="0.3">
      <c r="D242"/>
    </row>
    <row r="243" spans="4:4" x14ac:dyDescent="0.3">
      <c r="D243"/>
    </row>
    <row r="244" spans="4:4" x14ac:dyDescent="0.3">
      <c r="D244"/>
    </row>
    <row r="245" spans="4:4" x14ac:dyDescent="0.3">
      <c r="D245"/>
    </row>
    <row r="246" spans="4:4" x14ac:dyDescent="0.3">
      <c r="D246"/>
    </row>
    <row r="247" spans="4:4" x14ac:dyDescent="0.3">
      <c r="D247"/>
    </row>
    <row r="248" spans="4:4" x14ac:dyDescent="0.3">
      <c r="D248"/>
    </row>
    <row r="249" spans="4:4" x14ac:dyDescent="0.3">
      <c r="D249"/>
    </row>
    <row r="250" spans="4:4" x14ac:dyDescent="0.3">
      <c r="D250"/>
    </row>
    <row r="251" spans="4:4" x14ac:dyDescent="0.3">
      <c r="D251"/>
    </row>
    <row r="252" spans="4:4" x14ac:dyDescent="0.3">
      <c r="D252"/>
    </row>
    <row r="253" spans="4:4" x14ac:dyDescent="0.3">
      <c r="D253"/>
    </row>
    <row r="254" spans="4:4" x14ac:dyDescent="0.3">
      <c r="D254"/>
    </row>
    <row r="255" spans="4:4" x14ac:dyDescent="0.3">
      <c r="D255"/>
    </row>
    <row r="256" spans="4:4" x14ac:dyDescent="0.3">
      <c r="D256"/>
    </row>
    <row r="257" spans="4:4" x14ac:dyDescent="0.3">
      <c r="D257"/>
    </row>
    <row r="258" spans="4:4" x14ac:dyDescent="0.3">
      <c r="D258"/>
    </row>
    <row r="259" spans="4:4" x14ac:dyDescent="0.3">
      <c r="D259"/>
    </row>
    <row r="260" spans="4:4" x14ac:dyDescent="0.3">
      <c r="D260"/>
    </row>
    <row r="261" spans="4:4" x14ac:dyDescent="0.3">
      <c r="D261"/>
    </row>
    <row r="262" spans="4:4" x14ac:dyDescent="0.3">
      <c r="D262"/>
    </row>
    <row r="263" spans="4:4" x14ac:dyDescent="0.3">
      <c r="D263"/>
    </row>
    <row r="264" spans="4:4" x14ac:dyDescent="0.3">
      <c r="D264"/>
    </row>
    <row r="265" spans="4:4" x14ac:dyDescent="0.3">
      <c r="D265"/>
    </row>
    <row r="266" spans="4:4" x14ac:dyDescent="0.3">
      <c r="D266"/>
    </row>
    <row r="267" spans="4:4" x14ac:dyDescent="0.3">
      <c r="D267"/>
    </row>
    <row r="268" spans="4:4" x14ac:dyDescent="0.3">
      <c r="D268"/>
    </row>
    <row r="269" spans="4:4" x14ac:dyDescent="0.3">
      <c r="D269"/>
    </row>
    <row r="270" spans="4:4" x14ac:dyDescent="0.3">
      <c r="D270"/>
    </row>
    <row r="271" spans="4:4" x14ac:dyDescent="0.3">
      <c r="D271"/>
    </row>
    <row r="272" spans="4:4" x14ac:dyDescent="0.3">
      <c r="D272"/>
    </row>
    <row r="273" spans="4:4" x14ac:dyDescent="0.3">
      <c r="D273"/>
    </row>
    <row r="274" spans="4:4" x14ac:dyDescent="0.3">
      <c r="D274"/>
    </row>
    <row r="275" spans="4:4" x14ac:dyDescent="0.3">
      <c r="D275"/>
    </row>
    <row r="276" spans="4:4" x14ac:dyDescent="0.3">
      <c r="D276"/>
    </row>
    <row r="277" spans="4:4" x14ac:dyDescent="0.3">
      <c r="D277"/>
    </row>
    <row r="278" spans="4:4" x14ac:dyDescent="0.3">
      <c r="D278"/>
    </row>
    <row r="279" spans="4:4" x14ac:dyDescent="0.3">
      <c r="D279"/>
    </row>
    <row r="280" spans="4:4" x14ac:dyDescent="0.3">
      <c r="D280"/>
    </row>
    <row r="281" spans="4:4" x14ac:dyDescent="0.3">
      <c r="D281"/>
    </row>
    <row r="282" spans="4:4" x14ac:dyDescent="0.3">
      <c r="D282"/>
    </row>
    <row r="283" spans="4:4" x14ac:dyDescent="0.3">
      <c r="D283"/>
    </row>
    <row r="284" spans="4:4" x14ac:dyDescent="0.3">
      <c r="D284"/>
    </row>
    <row r="285" spans="4:4" x14ac:dyDescent="0.3">
      <c r="D285"/>
    </row>
    <row r="286" spans="4:4" x14ac:dyDescent="0.3">
      <c r="D286"/>
    </row>
    <row r="287" spans="4:4" x14ac:dyDescent="0.3">
      <c r="D287"/>
    </row>
    <row r="288" spans="4:4" x14ac:dyDescent="0.3">
      <c r="D288"/>
    </row>
    <row r="289" spans="4:4" x14ac:dyDescent="0.3">
      <c r="D289"/>
    </row>
    <row r="290" spans="4:4" x14ac:dyDescent="0.3">
      <c r="D290"/>
    </row>
    <row r="291" spans="4:4" x14ac:dyDescent="0.3">
      <c r="D291"/>
    </row>
    <row r="292" spans="4:4" x14ac:dyDescent="0.3">
      <c r="D292"/>
    </row>
    <row r="293" spans="4:4" x14ac:dyDescent="0.3">
      <c r="D293"/>
    </row>
    <row r="294" spans="4:4" x14ac:dyDescent="0.3">
      <c r="D294"/>
    </row>
    <row r="295" spans="4:4" x14ac:dyDescent="0.3">
      <c r="D295"/>
    </row>
    <row r="296" spans="4:4" x14ac:dyDescent="0.3">
      <c r="D296"/>
    </row>
    <row r="297" spans="4:4" x14ac:dyDescent="0.3">
      <c r="D297"/>
    </row>
    <row r="298" spans="4:4" x14ac:dyDescent="0.3">
      <c r="D298"/>
    </row>
    <row r="299" spans="4:4" x14ac:dyDescent="0.3">
      <c r="D299"/>
    </row>
    <row r="300" spans="4:4" x14ac:dyDescent="0.3">
      <c r="D300"/>
    </row>
    <row r="301" spans="4:4" x14ac:dyDescent="0.3">
      <c r="D301"/>
    </row>
    <row r="302" spans="4:4" x14ac:dyDescent="0.3">
      <c r="D302"/>
    </row>
    <row r="303" spans="4:4" x14ac:dyDescent="0.3">
      <c r="D303"/>
    </row>
    <row r="304" spans="4:4" x14ac:dyDescent="0.3">
      <c r="D304"/>
    </row>
    <row r="305" spans="4:4" x14ac:dyDescent="0.3">
      <c r="D305"/>
    </row>
    <row r="306" spans="4:4" x14ac:dyDescent="0.3">
      <c r="D306"/>
    </row>
    <row r="307" spans="4:4" x14ac:dyDescent="0.3">
      <c r="D307"/>
    </row>
    <row r="308" spans="4:4" x14ac:dyDescent="0.3">
      <c r="D308"/>
    </row>
    <row r="309" spans="4:4" x14ac:dyDescent="0.3">
      <c r="D309"/>
    </row>
    <row r="310" spans="4:4" x14ac:dyDescent="0.3">
      <c r="D310"/>
    </row>
    <row r="311" spans="4:4" x14ac:dyDescent="0.3">
      <c r="D311"/>
    </row>
    <row r="312" spans="4:4" x14ac:dyDescent="0.3">
      <c r="D312"/>
    </row>
    <row r="313" spans="4:4" x14ac:dyDescent="0.3">
      <c r="D313"/>
    </row>
    <row r="314" spans="4:4" x14ac:dyDescent="0.3">
      <c r="D314"/>
    </row>
    <row r="315" spans="4:4" x14ac:dyDescent="0.3">
      <c r="D315"/>
    </row>
    <row r="316" spans="4:4" x14ac:dyDescent="0.3">
      <c r="D316"/>
    </row>
    <row r="317" spans="4:4" x14ac:dyDescent="0.3">
      <c r="D317"/>
    </row>
    <row r="318" spans="4:4" x14ac:dyDescent="0.3">
      <c r="D318"/>
    </row>
    <row r="319" spans="4:4" x14ac:dyDescent="0.3">
      <c r="D319"/>
    </row>
    <row r="320" spans="4:4" x14ac:dyDescent="0.3">
      <c r="D320"/>
    </row>
    <row r="321" spans="4:4" x14ac:dyDescent="0.3">
      <c r="D321"/>
    </row>
    <row r="322" spans="4:4" x14ac:dyDescent="0.3">
      <c r="D322"/>
    </row>
    <row r="323" spans="4:4" x14ac:dyDescent="0.3">
      <c r="D323"/>
    </row>
    <row r="324" spans="4:4" x14ac:dyDescent="0.3">
      <c r="D324"/>
    </row>
    <row r="325" spans="4:4" x14ac:dyDescent="0.3">
      <c r="D325"/>
    </row>
    <row r="326" spans="4:4" x14ac:dyDescent="0.3">
      <c r="D326"/>
    </row>
    <row r="327" spans="4:4" x14ac:dyDescent="0.3">
      <c r="D327"/>
    </row>
    <row r="328" spans="4:4" x14ac:dyDescent="0.3">
      <c r="D328"/>
    </row>
    <row r="329" spans="4:4" x14ac:dyDescent="0.3">
      <c r="D329"/>
    </row>
    <row r="330" spans="4:4" x14ac:dyDescent="0.3">
      <c r="D330"/>
    </row>
    <row r="331" spans="4:4" x14ac:dyDescent="0.3">
      <c r="D331"/>
    </row>
    <row r="332" spans="4:4" x14ac:dyDescent="0.3">
      <c r="D332"/>
    </row>
    <row r="333" spans="4:4" x14ac:dyDescent="0.3">
      <c r="D333"/>
    </row>
    <row r="334" spans="4:4" x14ac:dyDescent="0.3">
      <c r="D334"/>
    </row>
    <row r="335" spans="4:4" x14ac:dyDescent="0.3">
      <c r="D335"/>
    </row>
    <row r="336" spans="4:4" x14ac:dyDescent="0.3">
      <c r="D336"/>
    </row>
    <row r="337" spans="4:4" x14ac:dyDescent="0.3">
      <c r="D337"/>
    </row>
    <row r="338" spans="4:4" x14ac:dyDescent="0.3">
      <c r="D338"/>
    </row>
    <row r="339" spans="4:4" x14ac:dyDescent="0.3">
      <c r="D339"/>
    </row>
    <row r="340" spans="4:4" x14ac:dyDescent="0.3">
      <c r="D340"/>
    </row>
    <row r="341" spans="4:4" x14ac:dyDescent="0.3">
      <c r="D341"/>
    </row>
    <row r="342" spans="4:4" x14ac:dyDescent="0.3">
      <c r="D342"/>
    </row>
    <row r="343" spans="4:4" x14ac:dyDescent="0.3">
      <c r="D343"/>
    </row>
    <row r="344" spans="4:4" x14ac:dyDescent="0.3">
      <c r="D344"/>
    </row>
    <row r="345" spans="4:4" x14ac:dyDescent="0.3">
      <c r="D345"/>
    </row>
    <row r="346" spans="4:4" x14ac:dyDescent="0.3">
      <c r="D346"/>
    </row>
    <row r="347" spans="4:4" x14ac:dyDescent="0.3">
      <c r="D347"/>
    </row>
    <row r="348" spans="4:4" x14ac:dyDescent="0.3">
      <c r="D348"/>
    </row>
    <row r="349" spans="4:4" x14ac:dyDescent="0.3">
      <c r="D349"/>
    </row>
    <row r="350" spans="4:4" x14ac:dyDescent="0.3">
      <c r="D350"/>
    </row>
  </sheetData>
  <pageMargins left="0.511811024" right="0.511811024" top="0.78740157499999996" bottom="0.78740157499999996" header="0.31496062000000002" footer="0.31496062000000002"/>
  <pageSetup paperSize="9" scale="84" orientation="portrait" horizontalDpi="360" verticalDpi="36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C67D-167D-4E9A-8617-273F27A28D54}">
  <sheetPr filterMode="1"/>
  <dimension ref="A1:AA1642"/>
  <sheetViews>
    <sheetView tabSelected="1" zoomScale="85" zoomScaleNormal="85" workbookViewId="0">
      <selection activeCell="F1625" sqref="F1625"/>
    </sheetView>
  </sheetViews>
  <sheetFormatPr defaultColWidth="8.6640625" defaultRowHeight="13.8" x14ac:dyDescent="0.3"/>
  <cols>
    <col min="1" max="1" width="15.88671875" style="52" customWidth="1"/>
    <col min="2" max="2" width="9.33203125" style="52" customWidth="1"/>
    <col min="3" max="3" width="13.88671875" style="124" bestFit="1" customWidth="1"/>
    <col min="4" max="4" width="8.33203125" style="52" customWidth="1"/>
    <col min="5" max="5" width="15.6640625" style="52" bestFit="1" customWidth="1"/>
    <col min="6" max="6" width="48.88671875" style="52" bestFit="1" customWidth="1"/>
    <col min="7" max="7" width="44.5546875" style="52" customWidth="1"/>
    <col min="8" max="8" width="15.33203125" style="52" bestFit="1" customWidth="1"/>
    <col min="9" max="9" width="8.88671875" style="52" customWidth="1"/>
    <col min="10" max="10" width="9" style="52" bestFit="1" customWidth="1"/>
    <col min="11" max="11" width="13.5546875" style="171" bestFit="1" customWidth="1"/>
    <col min="12" max="13" width="17.88671875" style="171" bestFit="1" customWidth="1"/>
    <col min="14" max="14" width="14" style="124" bestFit="1" customWidth="1"/>
    <col min="15" max="15" width="20.6640625" style="52" customWidth="1"/>
    <col min="16" max="16" width="10.6640625" style="172" hidden="1" customWidth="1"/>
    <col min="17" max="17" width="17.44140625" style="52" customWidth="1"/>
    <col min="18" max="18" width="15.33203125" style="171" bestFit="1" customWidth="1"/>
    <col min="19" max="19" width="14.6640625" style="171" bestFit="1" customWidth="1"/>
    <col min="20" max="20" width="45.44140625" style="171" bestFit="1" customWidth="1"/>
    <col min="21" max="21" width="16.5546875" style="171" bestFit="1" customWidth="1"/>
    <col min="22" max="22" width="19.6640625" style="171" bestFit="1" customWidth="1"/>
    <col min="23" max="16384" width="8.6640625" style="48"/>
  </cols>
  <sheetData>
    <row r="1" spans="1:22" s="173" customFormat="1" ht="49.95" customHeight="1" x14ac:dyDescent="0.3">
      <c r="A1" s="126" t="s">
        <v>465</v>
      </c>
      <c r="B1" s="126" t="s">
        <v>3</v>
      </c>
      <c r="C1" s="125" t="s">
        <v>298</v>
      </c>
      <c r="D1" s="126" t="s">
        <v>436</v>
      </c>
      <c r="E1" s="126" t="s">
        <v>466</v>
      </c>
      <c r="F1" s="126" t="s">
        <v>4</v>
      </c>
      <c r="G1" s="126" t="s">
        <v>5</v>
      </c>
      <c r="H1" s="126" t="s">
        <v>6</v>
      </c>
      <c r="I1" s="126" t="s">
        <v>7</v>
      </c>
      <c r="J1" s="126" t="s">
        <v>237</v>
      </c>
      <c r="K1" s="147" t="s">
        <v>299</v>
      </c>
      <c r="L1" s="147" t="s">
        <v>10</v>
      </c>
      <c r="M1" s="147" t="s">
        <v>467</v>
      </c>
      <c r="N1" s="125" t="s">
        <v>468</v>
      </c>
      <c r="O1" s="126" t="s">
        <v>469</v>
      </c>
      <c r="P1" s="148" t="s">
        <v>14</v>
      </c>
      <c r="Q1" s="149" t="s">
        <v>20</v>
      </c>
      <c r="R1" s="150" t="s">
        <v>470</v>
      </c>
      <c r="S1" s="151" t="s">
        <v>471</v>
      </c>
      <c r="T1" s="152" t="s">
        <v>472</v>
      </c>
      <c r="U1" s="153" t="s">
        <v>473</v>
      </c>
      <c r="V1" s="147" t="s">
        <v>244</v>
      </c>
    </row>
    <row r="2" spans="1:22" ht="15.6" hidden="1" x14ac:dyDescent="0.3">
      <c r="A2" s="140" t="s">
        <v>509</v>
      </c>
      <c r="B2" s="140">
        <v>662</v>
      </c>
      <c r="C2" s="139">
        <v>45294</v>
      </c>
      <c r="D2" s="140">
        <f>WEEKNUM(C2)</f>
        <v>1</v>
      </c>
      <c r="E2" s="140" t="s">
        <v>475</v>
      </c>
      <c r="F2" s="140" t="s">
        <v>809</v>
      </c>
      <c r="G2" s="142" t="s">
        <v>311</v>
      </c>
      <c r="H2" s="140" t="s">
        <v>51</v>
      </c>
      <c r="I2" s="140" t="s">
        <v>46</v>
      </c>
      <c r="J2" s="154">
        <v>200</v>
      </c>
      <c r="K2" s="156">
        <v>14</v>
      </c>
      <c r="L2" s="196">
        <f>J2*K2</f>
        <v>2800</v>
      </c>
      <c r="M2" s="143">
        <v>0</v>
      </c>
      <c r="N2" s="139">
        <v>45311</v>
      </c>
      <c r="O2" s="157">
        <f>WEEKNUM(N2)</f>
        <v>3</v>
      </c>
      <c r="P2" s="140" t="s">
        <v>28</v>
      </c>
      <c r="Q2" s="140" t="s">
        <v>29</v>
      </c>
      <c r="R2" s="156">
        <f>J2*0.25</f>
        <v>50</v>
      </c>
      <c r="S2" s="156">
        <f>J2*0.7</f>
        <v>140</v>
      </c>
      <c r="T2" s="156">
        <f>J2*1.5</f>
        <v>300</v>
      </c>
      <c r="U2" s="156">
        <f>J2*0.5</f>
        <v>100</v>
      </c>
      <c r="V2" s="156">
        <f>R2+S2+T2+U2</f>
        <v>590</v>
      </c>
    </row>
    <row r="3" spans="1:22" ht="15.6" hidden="1" x14ac:dyDescent="0.3">
      <c r="A3" s="140" t="s">
        <v>509</v>
      </c>
      <c r="B3" s="140">
        <v>1099</v>
      </c>
      <c r="C3" s="139">
        <v>45297</v>
      </c>
      <c r="D3" s="140">
        <f>WEEKNUM(C3)</f>
        <v>1</v>
      </c>
      <c r="E3" s="140" t="s">
        <v>498</v>
      </c>
      <c r="F3" s="140" t="s">
        <v>446</v>
      </c>
      <c r="G3" s="140" t="s">
        <v>595</v>
      </c>
      <c r="H3" s="140" t="s">
        <v>51</v>
      </c>
      <c r="I3" s="140" t="s">
        <v>46</v>
      </c>
      <c r="J3" s="154">
        <v>2500</v>
      </c>
      <c r="K3" s="156">
        <v>23.5</v>
      </c>
      <c r="L3" s="156">
        <f>J3*K3</f>
        <v>58750</v>
      </c>
      <c r="M3" s="143">
        <v>0</v>
      </c>
      <c r="N3" s="139">
        <v>45339</v>
      </c>
      <c r="O3" s="157">
        <f>WEEKNUM(N3)</f>
        <v>7</v>
      </c>
      <c r="P3" s="140"/>
      <c r="Q3" s="140" t="s">
        <v>29</v>
      </c>
      <c r="R3" s="156">
        <f>J3*0.25</f>
        <v>625</v>
      </c>
      <c r="S3" s="156">
        <f>J3*1</f>
        <v>2500</v>
      </c>
      <c r="T3" s="156">
        <f>J3*1.65</f>
        <v>4125</v>
      </c>
      <c r="U3" s="156">
        <f>J3*0.5</f>
        <v>1250</v>
      </c>
      <c r="V3" s="156">
        <f>R3+S3+T3+U3</f>
        <v>8500</v>
      </c>
    </row>
    <row r="4" spans="1:22" ht="15.6" hidden="1" x14ac:dyDescent="0.3">
      <c r="A4" s="140" t="s">
        <v>509</v>
      </c>
      <c r="B4" s="192">
        <v>1101</v>
      </c>
      <c r="C4" s="193">
        <v>45297</v>
      </c>
      <c r="D4" s="195">
        <f>WEEKNUM(C4)</f>
        <v>1</v>
      </c>
      <c r="E4" s="140" t="s">
        <v>68</v>
      </c>
      <c r="F4" s="195" t="s">
        <v>300</v>
      </c>
      <c r="G4" s="195" t="s">
        <v>301</v>
      </c>
      <c r="H4" s="195" t="s">
        <v>74</v>
      </c>
      <c r="I4" s="195" t="s">
        <v>46</v>
      </c>
      <c r="J4" s="195">
        <v>16</v>
      </c>
      <c r="K4" s="196">
        <v>36.75</v>
      </c>
      <c r="L4" s="196">
        <f>K4*J4</f>
        <v>588</v>
      </c>
      <c r="M4" s="143">
        <v>0</v>
      </c>
      <c r="N4" s="197">
        <v>45297</v>
      </c>
      <c r="O4" s="157">
        <f>WEEKNUM(N4)</f>
        <v>1</v>
      </c>
      <c r="P4" s="198"/>
      <c r="Q4" s="140" t="s">
        <v>29</v>
      </c>
      <c r="R4" s="194"/>
      <c r="S4" s="194"/>
      <c r="T4" s="194"/>
      <c r="U4" s="194"/>
      <c r="V4" s="194"/>
    </row>
    <row r="5" spans="1:22" ht="15.6" hidden="1" x14ac:dyDescent="0.3">
      <c r="A5" s="140" t="s">
        <v>509</v>
      </c>
      <c r="B5" s="192">
        <v>911</v>
      </c>
      <c r="C5" s="193">
        <v>45412</v>
      </c>
      <c r="D5" s="195">
        <f>WEEKNUM(C5)</f>
        <v>18</v>
      </c>
      <c r="E5" s="140" t="s">
        <v>68</v>
      </c>
      <c r="F5" s="142" t="s">
        <v>302</v>
      </c>
      <c r="G5" s="195" t="s">
        <v>303</v>
      </c>
      <c r="H5" s="195" t="s">
        <v>304</v>
      </c>
      <c r="I5" s="195" t="s">
        <v>61</v>
      </c>
      <c r="J5" s="195">
        <v>250</v>
      </c>
      <c r="K5" s="196">
        <v>16.5</v>
      </c>
      <c r="L5" s="196">
        <f>K5*J5</f>
        <v>4125</v>
      </c>
      <c r="M5" s="143">
        <v>0</v>
      </c>
      <c r="N5" s="197">
        <v>45428</v>
      </c>
      <c r="O5" s="157">
        <f>WEEKNUM(N5)</f>
        <v>20</v>
      </c>
      <c r="P5" s="198"/>
      <c r="Q5" s="140" t="s">
        <v>29</v>
      </c>
      <c r="R5" s="194"/>
      <c r="S5" s="194"/>
      <c r="T5" s="194"/>
      <c r="U5" s="194"/>
      <c r="V5" s="194"/>
    </row>
    <row r="6" spans="1:22" ht="15.6" hidden="1" x14ac:dyDescent="0.3">
      <c r="A6" s="140" t="s">
        <v>509</v>
      </c>
      <c r="B6" s="192">
        <v>904</v>
      </c>
      <c r="C6" s="193">
        <v>45419</v>
      </c>
      <c r="D6" s="195">
        <f>WEEKNUM(C6)</f>
        <v>19</v>
      </c>
      <c r="E6" s="140" t="s">
        <v>68</v>
      </c>
      <c r="F6" s="142" t="s">
        <v>302</v>
      </c>
      <c r="G6" s="195" t="s">
        <v>301</v>
      </c>
      <c r="H6" s="195" t="s">
        <v>74</v>
      </c>
      <c r="I6" s="195" t="s">
        <v>46</v>
      </c>
      <c r="J6" s="195">
        <v>500</v>
      </c>
      <c r="K6" s="196">
        <v>26.8</v>
      </c>
      <c r="L6" s="196">
        <f>K6*J6</f>
        <v>13400</v>
      </c>
      <c r="M6" s="143">
        <v>0</v>
      </c>
      <c r="N6" s="197">
        <v>45448</v>
      </c>
      <c r="O6" s="157">
        <f>WEEKNUM(N6)</f>
        <v>23</v>
      </c>
      <c r="P6" s="198"/>
      <c r="Q6" s="140" t="s">
        <v>29</v>
      </c>
      <c r="R6" s="194"/>
      <c r="S6" s="194"/>
      <c r="T6" s="194"/>
      <c r="U6" s="194"/>
      <c r="V6" s="194"/>
    </row>
    <row r="7" spans="1:22" ht="15.6" hidden="1" x14ac:dyDescent="0.3">
      <c r="A7" s="140" t="s">
        <v>509</v>
      </c>
      <c r="B7" s="192">
        <v>912</v>
      </c>
      <c r="C7" s="193">
        <v>45421</v>
      </c>
      <c r="D7" s="195">
        <f>WEEKNUM(C7)</f>
        <v>19</v>
      </c>
      <c r="E7" s="195" t="s">
        <v>68</v>
      </c>
      <c r="F7" s="195" t="s">
        <v>302</v>
      </c>
      <c r="G7" s="195" t="s">
        <v>305</v>
      </c>
      <c r="H7" s="195" t="s">
        <v>304</v>
      </c>
      <c r="I7" s="195" t="s">
        <v>61</v>
      </c>
      <c r="J7" s="195">
        <v>250</v>
      </c>
      <c r="K7" s="196">
        <v>19</v>
      </c>
      <c r="L7" s="196">
        <f>K7*J7</f>
        <v>4750</v>
      </c>
      <c r="M7" s="143">
        <v>0</v>
      </c>
      <c r="N7" s="197">
        <v>45429</v>
      </c>
      <c r="O7" s="157">
        <f>WEEKNUM(N7)</f>
        <v>20</v>
      </c>
      <c r="P7" s="198"/>
      <c r="Q7" s="140" t="s">
        <v>29</v>
      </c>
      <c r="R7" s="194"/>
      <c r="S7" s="194"/>
      <c r="T7" s="194"/>
      <c r="U7" s="194"/>
      <c r="V7" s="194"/>
    </row>
    <row r="8" spans="1:22" ht="15.6" hidden="1" x14ac:dyDescent="0.3">
      <c r="A8" s="140" t="s">
        <v>509</v>
      </c>
      <c r="B8" s="192">
        <v>929</v>
      </c>
      <c r="C8" s="193">
        <v>45440</v>
      </c>
      <c r="D8" s="195">
        <f>WEEKNUM(C8)</f>
        <v>22</v>
      </c>
      <c r="E8" s="195" t="s">
        <v>68</v>
      </c>
      <c r="F8" s="195" t="s">
        <v>306</v>
      </c>
      <c r="G8" s="195" t="s">
        <v>374</v>
      </c>
      <c r="H8" s="195" t="s">
        <v>74</v>
      </c>
      <c r="I8" s="195" t="s">
        <v>46</v>
      </c>
      <c r="J8" s="195">
        <v>7</v>
      </c>
      <c r="K8" s="196">
        <v>47.5</v>
      </c>
      <c r="L8" s="196">
        <f>K8*J8</f>
        <v>332.5</v>
      </c>
      <c r="M8" s="143">
        <v>0</v>
      </c>
      <c r="N8" s="197">
        <v>45450</v>
      </c>
      <c r="O8" s="157">
        <f>WEEKNUM(N8)</f>
        <v>23</v>
      </c>
      <c r="P8" s="198"/>
      <c r="Q8" s="140" t="s">
        <v>29</v>
      </c>
      <c r="R8" s="194"/>
      <c r="S8" s="194"/>
      <c r="T8" s="194"/>
      <c r="U8" s="194"/>
      <c r="V8" s="194"/>
    </row>
    <row r="9" spans="1:22" ht="15.6" hidden="1" x14ac:dyDescent="0.3">
      <c r="A9" s="140" t="s">
        <v>509</v>
      </c>
      <c r="B9" s="192">
        <v>929</v>
      </c>
      <c r="C9" s="193">
        <v>45440</v>
      </c>
      <c r="D9" s="195">
        <f>WEEKNUM(C9)</f>
        <v>22</v>
      </c>
      <c r="E9" s="195" t="s">
        <v>68</v>
      </c>
      <c r="F9" s="195" t="s">
        <v>306</v>
      </c>
      <c r="G9" s="195" t="s">
        <v>301</v>
      </c>
      <c r="H9" s="195" t="s">
        <v>74</v>
      </c>
      <c r="I9" s="195" t="s">
        <v>46</v>
      </c>
      <c r="J9" s="195">
        <v>7</v>
      </c>
      <c r="K9" s="196">
        <v>33.880000000000003</v>
      </c>
      <c r="L9" s="196">
        <f>K9*J9</f>
        <v>237.16000000000003</v>
      </c>
      <c r="M9" s="143">
        <v>0</v>
      </c>
      <c r="N9" s="197">
        <v>45450</v>
      </c>
      <c r="O9" s="157">
        <f>WEEKNUM(N9)</f>
        <v>23</v>
      </c>
      <c r="P9" s="198"/>
      <c r="Q9" s="140" t="s">
        <v>29</v>
      </c>
      <c r="R9" s="194"/>
      <c r="S9" s="194"/>
      <c r="T9" s="194"/>
      <c r="U9" s="194"/>
      <c r="V9" s="194"/>
    </row>
    <row r="10" spans="1:22" ht="15.6" hidden="1" x14ac:dyDescent="0.3">
      <c r="A10" s="140" t="s">
        <v>509</v>
      </c>
      <c r="B10" s="192">
        <v>929</v>
      </c>
      <c r="C10" s="193">
        <v>45440</v>
      </c>
      <c r="D10" s="195">
        <f>WEEKNUM(C10)</f>
        <v>22</v>
      </c>
      <c r="E10" s="195" t="s">
        <v>68</v>
      </c>
      <c r="F10" s="195" t="s">
        <v>306</v>
      </c>
      <c r="G10" s="195" t="s">
        <v>308</v>
      </c>
      <c r="H10" s="195" t="s">
        <v>74</v>
      </c>
      <c r="I10" s="195" t="s">
        <v>46</v>
      </c>
      <c r="J10" s="195">
        <v>4</v>
      </c>
      <c r="K10" s="196">
        <v>33.880000000000003</v>
      </c>
      <c r="L10" s="196">
        <f>K10*J10</f>
        <v>135.52000000000001</v>
      </c>
      <c r="M10" s="143">
        <v>0</v>
      </c>
      <c r="N10" s="197">
        <v>45450</v>
      </c>
      <c r="O10" s="157">
        <f>WEEKNUM(N10)</f>
        <v>23</v>
      </c>
      <c r="P10" s="198"/>
      <c r="Q10" s="140" t="s">
        <v>29</v>
      </c>
      <c r="R10" s="194"/>
      <c r="S10" s="194"/>
      <c r="T10" s="194"/>
      <c r="U10" s="194"/>
      <c r="V10" s="194"/>
    </row>
    <row r="11" spans="1:22" ht="15.6" hidden="1" x14ac:dyDescent="0.3">
      <c r="A11" s="140" t="s">
        <v>509</v>
      </c>
      <c r="B11" s="192">
        <v>929</v>
      </c>
      <c r="C11" s="193">
        <v>45440</v>
      </c>
      <c r="D11" s="195">
        <f>WEEKNUM(C11)</f>
        <v>22</v>
      </c>
      <c r="E11" s="195" t="s">
        <v>68</v>
      </c>
      <c r="F11" s="195" t="s">
        <v>306</v>
      </c>
      <c r="G11" s="195" t="s">
        <v>586</v>
      </c>
      <c r="H11" s="195" t="s">
        <v>74</v>
      </c>
      <c r="I11" s="195" t="s">
        <v>46</v>
      </c>
      <c r="J11" s="195">
        <v>4</v>
      </c>
      <c r="K11" s="196">
        <v>47.5</v>
      </c>
      <c r="L11" s="196">
        <f>K11*J11</f>
        <v>190</v>
      </c>
      <c r="M11" s="143">
        <v>0</v>
      </c>
      <c r="N11" s="197">
        <v>45450</v>
      </c>
      <c r="O11" s="157">
        <f>WEEKNUM(N11)</f>
        <v>23</v>
      </c>
      <c r="P11" s="198"/>
      <c r="Q11" s="140" t="s">
        <v>29</v>
      </c>
      <c r="R11" s="194"/>
      <c r="S11" s="194"/>
      <c r="T11" s="194"/>
      <c r="U11" s="194"/>
      <c r="V11" s="194"/>
    </row>
    <row r="12" spans="1:22" ht="15.6" hidden="1" x14ac:dyDescent="0.3">
      <c r="A12" s="140" t="s">
        <v>509</v>
      </c>
      <c r="B12" s="192">
        <v>928</v>
      </c>
      <c r="C12" s="193">
        <v>45440</v>
      </c>
      <c r="D12" s="195">
        <f>WEEKNUM(C12)</f>
        <v>22</v>
      </c>
      <c r="E12" s="195" t="s">
        <v>68</v>
      </c>
      <c r="F12" s="195" t="s">
        <v>306</v>
      </c>
      <c r="G12" s="195" t="s">
        <v>374</v>
      </c>
      <c r="H12" s="195" t="s">
        <v>74</v>
      </c>
      <c r="I12" s="195" t="s">
        <v>46</v>
      </c>
      <c r="J12" s="195">
        <v>7</v>
      </c>
      <c r="K12" s="196">
        <v>47.5</v>
      </c>
      <c r="L12" s="196">
        <f>K12*J12</f>
        <v>332.5</v>
      </c>
      <c r="M12" s="143">
        <v>0</v>
      </c>
      <c r="N12" s="197">
        <v>45450</v>
      </c>
      <c r="O12" s="157">
        <f>WEEKNUM(N12)</f>
        <v>23</v>
      </c>
      <c r="P12" s="198"/>
      <c r="Q12" s="140" t="s">
        <v>29</v>
      </c>
      <c r="R12" s="194"/>
      <c r="S12" s="194"/>
      <c r="T12" s="194"/>
      <c r="U12" s="194"/>
      <c r="V12" s="194"/>
    </row>
    <row r="13" spans="1:22" ht="15.6" hidden="1" x14ac:dyDescent="0.3">
      <c r="A13" s="140" t="s">
        <v>509</v>
      </c>
      <c r="B13" s="192">
        <v>928</v>
      </c>
      <c r="C13" s="193">
        <v>45440</v>
      </c>
      <c r="D13" s="195">
        <f>WEEKNUM(C13)</f>
        <v>22</v>
      </c>
      <c r="E13" s="195" t="s">
        <v>68</v>
      </c>
      <c r="F13" s="195" t="s">
        <v>306</v>
      </c>
      <c r="G13" s="195" t="s">
        <v>301</v>
      </c>
      <c r="H13" s="195" t="s">
        <v>74</v>
      </c>
      <c r="I13" s="195" t="s">
        <v>46</v>
      </c>
      <c r="J13" s="195">
        <v>7</v>
      </c>
      <c r="K13" s="196">
        <v>33.880000000000003</v>
      </c>
      <c r="L13" s="196">
        <f>K13*J13</f>
        <v>237.16000000000003</v>
      </c>
      <c r="M13" s="143">
        <v>0</v>
      </c>
      <c r="N13" s="197">
        <v>45450</v>
      </c>
      <c r="O13" s="157">
        <f>WEEKNUM(N13)</f>
        <v>23</v>
      </c>
      <c r="P13" s="198"/>
      <c r="Q13" s="140" t="s">
        <v>29</v>
      </c>
      <c r="R13" s="194"/>
      <c r="S13" s="194"/>
      <c r="T13" s="194"/>
      <c r="U13" s="194"/>
      <c r="V13" s="194"/>
    </row>
    <row r="14" spans="1:22" ht="15.6" hidden="1" x14ac:dyDescent="0.3">
      <c r="A14" s="140" t="s">
        <v>509</v>
      </c>
      <c r="B14" s="192">
        <v>928</v>
      </c>
      <c r="C14" s="193">
        <v>45440</v>
      </c>
      <c r="D14" s="195">
        <f>WEEKNUM(C14)</f>
        <v>22</v>
      </c>
      <c r="E14" s="195" t="s">
        <v>68</v>
      </c>
      <c r="F14" s="195" t="s">
        <v>306</v>
      </c>
      <c r="G14" s="195" t="s">
        <v>308</v>
      </c>
      <c r="H14" s="195" t="s">
        <v>74</v>
      </c>
      <c r="I14" s="195" t="s">
        <v>46</v>
      </c>
      <c r="J14" s="195">
        <v>4</v>
      </c>
      <c r="K14" s="196">
        <v>33.880000000000003</v>
      </c>
      <c r="L14" s="196">
        <f>K14*J14</f>
        <v>135.52000000000001</v>
      </c>
      <c r="M14" s="143">
        <v>0</v>
      </c>
      <c r="N14" s="197">
        <v>45450</v>
      </c>
      <c r="O14" s="157">
        <f>WEEKNUM(N14)</f>
        <v>23</v>
      </c>
      <c r="P14" s="198"/>
      <c r="Q14" s="140" t="s">
        <v>29</v>
      </c>
      <c r="R14" s="194"/>
      <c r="S14" s="194"/>
      <c r="T14" s="194"/>
      <c r="U14" s="194"/>
      <c r="V14" s="194"/>
    </row>
    <row r="15" spans="1:22" ht="15.6" hidden="1" x14ac:dyDescent="0.3">
      <c r="A15" s="140" t="s">
        <v>509</v>
      </c>
      <c r="B15" s="192">
        <v>928</v>
      </c>
      <c r="C15" s="193">
        <v>45440</v>
      </c>
      <c r="D15" s="195">
        <f>WEEKNUM(C15)</f>
        <v>22</v>
      </c>
      <c r="E15" s="195" t="s">
        <v>68</v>
      </c>
      <c r="F15" s="195" t="s">
        <v>306</v>
      </c>
      <c r="G15" s="195" t="s">
        <v>586</v>
      </c>
      <c r="H15" s="195" t="s">
        <v>74</v>
      </c>
      <c r="I15" s="195" t="s">
        <v>46</v>
      </c>
      <c r="J15" s="195">
        <v>4</v>
      </c>
      <c r="K15" s="196">
        <v>47.5</v>
      </c>
      <c r="L15" s="196">
        <f>K15*J15</f>
        <v>190</v>
      </c>
      <c r="M15" s="143">
        <v>0</v>
      </c>
      <c r="N15" s="197">
        <v>45450</v>
      </c>
      <c r="O15" s="157">
        <f>WEEKNUM(N15)</f>
        <v>23</v>
      </c>
      <c r="P15" s="198"/>
      <c r="Q15" s="140" t="s">
        <v>29</v>
      </c>
      <c r="R15" s="194"/>
      <c r="S15" s="194"/>
      <c r="T15" s="194"/>
      <c r="U15" s="194"/>
      <c r="V15" s="194"/>
    </row>
    <row r="16" spans="1:22" ht="15.6" hidden="1" x14ac:dyDescent="0.3">
      <c r="A16" s="140" t="s">
        <v>509</v>
      </c>
      <c r="B16" s="192">
        <v>943</v>
      </c>
      <c r="C16" s="193">
        <v>45484</v>
      </c>
      <c r="D16" s="195">
        <f>WEEKNUM(C16)</f>
        <v>28</v>
      </c>
      <c r="E16" s="195" t="s">
        <v>68</v>
      </c>
      <c r="F16" s="195" t="s">
        <v>310</v>
      </c>
      <c r="G16" s="142" t="s">
        <v>311</v>
      </c>
      <c r="H16" s="195" t="s">
        <v>51</v>
      </c>
      <c r="I16" s="195" t="s">
        <v>46</v>
      </c>
      <c r="J16" s="195">
        <v>5</v>
      </c>
      <c r="K16" s="196">
        <v>62</v>
      </c>
      <c r="L16" s="196">
        <f>K16*J16</f>
        <v>310</v>
      </c>
      <c r="M16" s="143">
        <v>0</v>
      </c>
      <c r="N16" s="197">
        <v>45504</v>
      </c>
      <c r="O16" s="157">
        <f>WEEKNUM(N16)</f>
        <v>31</v>
      </c>
      <c r="P16" s="198"/>
      <c r="Q16" s="140" t="s">
        <v>29</v>
      </c>
      <c r="R16" s="194"/>
      <c r="S16" s="194"/>
      <c r="T16" s="194"/>
      <c r="U16" s="194"/>
      <c r="V16" s="194"/>
    </row>
    <row r="17" spans="1:22" ht="15.6" hidden="1" x14ac:dyDescent="0.3">
      <c r="A17" s="140" t="s">
        <v>509</v>
      </c>
      <c r="B17" s="192">
        <v>943</v>
      </c>
      <c r="C17" s="193">
        <v>45484</v>
      </c>
      <c r="D17" s="195">
        <f>WEEKNUM(C17)</f>
        <v>28</v>
      </c>
      <c r="E17" s="195" t="s">
        <v>68</v>
      </c>
      <c r="F17" s="195" t="s">
        <v>310</v>
      </c>
      <c r="G17" s="195" t="s">
        <v>218</v>
      </c>
      <c r="H17" s="195" t="s">
        <v>74</v>
      </c>
      <c r="I17" s="195" t="s">
        <v>46</v>
      </c>
      <c r="J17" s="195">
        <v>31</v>
      </c>
      <c r="K17" s="196">
        <v>48.5</v>
      </c>
      <c r="L17" s="196">
        <f>K17*J17</f>
        <v>1503.5</v>
      </c>
      <c r="M17" s="143">
        <v>0</v>
      </c>
      <c r="N17" s="197">
        <v>45504</v>
      </c>
      <c r="O17" s="157">
        <f>WEEKNUM(N17)</f>
        <v>31</v>
      </c>
      <c r="P17" s="198"/>
      <c r="Q17" s="140" t="s">
        <v>29</v>
      </c>
      <c r="R17" s="194"/>
      <c r="S17" s="194"/>
      <c r="T17" s="194"/>
      <c r="U17" s="194"/>
      <c r="V17" s="194"/>
    </row>
    <row r="18" spans="1:22" ht="15.6" hidden="1" x14ac:dyDescent="0.3">
      <c r="A18" s="140" t="s">
        <v>509</v>
      </c>
      <c r="B18" s="192">
        <v>943</v>
      </c>
      <c r="C18" s="193">
        <v>45484</v>
      </c>
      <c r="D18" s="195">
        <f>WEEKNUM(C18)</f>
        <v>28</v>
      </c>
      <c r="E18" s="195" t="s">
        <v>68</v>
      </c>
      <c r="F18" s="195" t="s">
        <v>310</v>
      </c>
      <c r="G18" s="195" t="s">
        <v>309</v>
      </c>
      <c r="H18" s="195" t="s">
        <v>74</v>
      </c>
      <c r="I18" s="195" t="s">
        <v>46</v>
      </c>
      <c r="J18" s="195">
        <v>2</v>
      </c>
      <c r="K18" s="196">
        <v>80</v>
      </c>
      <c r="L18" s="196">
        <f>K18*J18</f>
        <v>160</v>
      </c>
      <c r="M18" s="143">
        <v>0</v>
      </c>
      <c r="N18" s="197">
        <v>45504</v>
      </c>
      <c r="O18" s="157">
        <f>WEEKNUM(N18)</f>
        <v>31</v>
      </c>
      <c r="P18" s="198"/>
      <c r="Q18" s="140" t="s">
        <v>29</v>
      </c>
      <c r="R18" s="194"/>
      <c r="S18" s="194"/>
      <c r="T18" s="194"/>
      <c r="U18" s="194"/>
      <c r="V18" s="194"/>
    </row>
    <row r="19" spans="1:22" ht="15.6" hidden="1" x14ac:dyDescent="0.3">
      <c r="A19" s="140" t="s">
        <v>509</v>
      </c>
      <c r="B19" s="192">
        <v>943</v>
      </c>
      <c r="C19" s="193">
        <v>45484</v>
      </c>
      <c r="D19" s="195">
        <f>WEEKNUM(C19)</f>
        <v>28</v>
      </c>
      <c r="E19" s="195" t="s">
        <v>68</v>
      </c>
      <c r="F19" s="195" t="s">
        <v>310</v>
      </c>
      <c r="G19" s="195" t="s">
        <v>307</v>
      </c>
      <c r="H19" s="195" t="s">
        <v>74</v>
      </c>
      <c r="I19" s="195" t="s">
        <v>46</v>
      </c>
      <c r="J19" s="195">
        <v>2</v>
      </c>
      <c r="K19" s="196">
        <v>80</v>
      </c>
      <c r="L19" s="196">
        <f>K19*J19</f>
        <v>160</v>
      </c>
      <c r="M19" s="143">
        <v>0</v>
      </c>
      <c r="N19" s="197">
        <v>45504</v>
      </c>
      <c r="O19" s="157">
        <f>WEEKNUM(N19)</f>
        <v>31</v>
      </c>
      <c r="P19" s="198"/>
      <c r="Q19" s="140" t="s">
        <v>29</v>
      </c>
      <c r="R19" s="194"/>
      <c r="S19" s="194"/>
      <c r="T19" s="194"/>
      <c r="U19" s="194"/>
      <c r="V19" s="194"/>
    </row>
    <row r="20" spans="1:22" ht="15.6" hidden="1" x14ac:dyDescent="0.3">
      <c r="A20" s="140" t="s">
        <v>509</v>
      </c>
      <c r="B20" s="192">
        <v>951</v>
      </c>
      <c r="C20" s="193">
        <v>45484</v>
      </c>
      <c r="D20" s="195">
        <f>WEEKNUM(C20)</f>
        <v>28</v>
      </c>
      <c r="E20" s="195" t="s">
        <v>68</v>
      </c>
      <c r="F20" s="195" t="s">
        <v>312</v>
      </c>
      <c r="G20" s="142" t="s">
        <v>408</v>
      </c>
      <c r="H20" s="195" t="s">
        <v>80</v>
      </c>
      <c r="I20" s="195" t="s">
        <v>46</v>
      </c>
      <c r="J20" s="195">
        <v>6</v>
      </c>
      <c r="K20" s="196">
        <v>21</v>
      </c>
      <c r="L20" s="196">
        <f>K20*J20</f>
        <v>126</v>
      </c>
      <c r="M20" s="143">
        <v>0</v>
      </c>
      <c r="N20" s="197">
        <v>45498</v>
      </c>
      <c r="O20" s="157">
        <f>WEEKNUM(N20)</f>
        <v>30</v>
      </c>
      <c r="P20" s="198"/>
      <c r="Q20" s="140" t="s">
        <v>29</v>
      </c>
      <c r="R20" s="194"/>
      <c r="S20" s="194"/>
      <c r="T20" s="194"/>
      <c r="U20" s="194"/>
      <c r="V20" s="194"/>
    </row>
    <row r="21" spans="1:22" ht="15.6" hidden="1" x14ac:dyDescent="0.3">
      <c r="A21" s="140" t="s">
        <v>509</v>
      </c>
      <c r="B21" s="192">
        <v>944</v>
      </c>
      <c r="C21" s="193">
        <v>45485</v>
      </c>
      <c r="D21" s="195">
        <f>WEEKNUM(C21)</f>
        <v>28</v>
      </c>
      <c r="E21" s="195" t="s">
        <v>68</v>
      </c>
      <c r="F21" s="195" t="s">
        <v>314</v>
      </c>
      <c r="G21" s="195" t="s">
        <v>308</v>
      </c>
      <c r="H21" s="195" t="s">
        <v>74</v>
      </c>
      <c r="I21" s="195" t="s">
        <v>46</v>
      </c>
      <c r="J21" s="195">
        <v>15</v>
      </c>
      <c r="K21" s="196">
        <v>48.5</v>
      </c>
      <c r="L21" s="196">
        <f>K21*J21</f>
        <v>727.5</v>
      </c>
      <c r="M21" s="143">
        <v>0</v>
      </c>
      <c r="N21" s="197">
        <v>45539</v>
      </c>
      <c r="O21" s="157">
        <f>WEEKNUM(N21)</f>
        <v>36</v>
      </c>
      <c r="P21" s="198"/>
      <c r="Q21" s="140" t="s">
        <v>29</v>
      </c>
      <c r="R21" s="194"/>
      <c r="S21" s="194"/>
      <c r="T21" s="194"/>
      <c r="U21" s="194"/>
      <c r="V21" s="194"/>
    </row>
    <row r="22" spans="1:22" ht="15.6" hidden="1" x14ac:dyDescent="0.3">
      <c r="A22" s="140" t="s">
        <v>509</v>
      </c>
      <c r="B22" s="192">
        <v>944</v>
      </c>
      <c r="C22" s="193">
        <v>45485</v>
      </c>
      <c r="D22" s="195">
        <f>WEEKNUM(C22)</f>
        <v>28</v>
      </c>
      <c r="E22" s="195" t="s">
        <v>68</v>
      </c>
      <c r="F22" s="195" t="s">
        <v>314</v>
      </c>
      <c r="G22" s="195" t="s">
        <v>620</v>
      </c>
      <c r="H22" s="195" t="s">
        <v>74</v>
      </c>
      <c r="I22" s="195" t="s">
        <v>46</v>
      </c>
      <c r="J22" s="195">
        <v>4</v>
      </c>
      <c r="K22" s="196">
        <v>8</v>
      </c>
      <c r="L22" s="196">
        <f>K22*J22</f>
        <v>32</v>
      </c>
      <c r="M22" s="143">
        <v>0</v>
      </c>
      <c r="N22" s="197">
        <v>45539</v>
      </c>
      <c r="O22" s="157">
        <f>WEEKNUM(N22)</f>
        <v>36</v>
      </c>
      <c r="P22" s="198"/>
      <c r="Q22" s="140" t="s">
        <v>29</v>
      </c>
      <c r="R22" s="194"/>
      <c r="S22" s="194"/>
      <c r="T22" s="194"/>
      <c r="U22" s="194"/>
      <c r="V22" s="194"/>
    </row>
    <row r="23" spans="1:22" ht="15.6" hidden="1" x14ac:dyDescent="0.3">
      <c r="A23" s="140" t="s">
        <v>509</v>
      </c>
      <c r="B23" s="192">
        <v>946</v>
      </c>
      <c r="C23" s="193">
        <v>45485</v>
      </c>
      <c r="D23" s="195">
        <f>WEEKNUM(C23)</f>
        <v>28</v>
      </c>
      <c r="E23" s="195" t="s">
        <v>68</v>
      </c>
      <c r="F23" s="195" t="s">
        <v>315</v>
      </c>
      <c r="G23" s="142" t="s">
        <v>311</v>
      </c>
      <c r="H23" s="195" t="s">
        <v>51</v>
      </c>
      <c r="I23" s="195" t="s">
        <v>46</v>
      </c>
      <c r="J23" s="195">
        <v>10</v>
      </c>
      <c r="K23" s="196">
        <v>62</v>
      </c>
      <c r="L23" s="196">
        <f>K23*J23</f>
        <v>620</v>
      </c>
      <c r="M23" s="143">
        <v>0</v>
      </c>
      <c r="N23" s="197">
        <v>45527</v>
      </c>
      <c r="O23" s="157">
        <f>WEEKNUM(N23)</f>
        <v>34</v>
      </c>
      <c r="P23" s="198"/>
      <c r="Q23" s="140" t="s">
        <v>29</v>
      </c>
      <c r="R23" s="194"/>
      <c r="S23" s="194"/>
      <c r="T23" s="194"/>
      <c r="U23" s="194"/>
      <c r="V23" s="194"/>
    </row>
    <row r="24" spans="1:22" ht="15.6" hidden="1" x14ac:dyDescent="0.3">
      <c r="A24" s="140" t="s">
        <v>509</v>
      </c>
      <c r="B24" s="192">
        <v>946</v>
      </c>
      <c r="C24" s="193">
        <v>45485</v>
      </c>
      <c r="D24" s="195">
        <f>WEEKNUM(C24)</f>
        <v>28</v>
      </c>
      <c r="E24" s="195" t="s">
        <v>68</v>
      </c>
      <c r="F24" s="195" t="s">
        <v>315</v>
      </c>
      <c r="G24" s="195" t="s">
        <v>316</v>
      </c>
      <c r="H24" s="195" t="s">
        <v>74</v>
      </c>
      <c r="I24" s="195" t="s">
        <v>46</v>
      </c>
      <c r="J24" s="195">
        <v>4</v>
      </c>
      <c r="K24" s="196">
        <v>48.5</v>
      </c>
      <c r="L24" s="196">
        <f>K24*J24</f>
        <v>194</v>
      </c>
      <c r="M24" s="143">
        <v>0</v>
      </c>
      <c r="N24" s="197">
        <v>45527</v>
      </c>
      <c r="O24" s="157">
        <f>WEEKNUM(N24)</f>
        <v>34</v>
      </c>
      <c r="P24" s="198"/>
      <c r="Q24" s="140" t="s">
        <v>29</v>
      </c>
      <c r="R24" s="194"/>
      <c r="S24" s="194"/>
      <c r="T24" s="194"/>
      <c r="U24" s="194"/>
      <c r="V24" s="194"/>
    </row>
    <row r="25" spans="1:22" ht="15" hidden="1" customHeight="1" x14ac:dyDescent="0.3">
      <c r="A25" s="140" t="s">
        <v>509</v>
      </c>
      <c r="B25" s="192">
        <v>946</v>
      </c>
      <c r="C25" s="193">
        <v>45485</v>
      </c>
      <c r="D25" s="195">
        <f>WEEKNUM(C25)</f>
        <v>28</v>
      </c>
      <c r="E25" s="195" t="s">
        <v>68</v>
      </c>
      <c r="F25" s="195" t="s">
        <v>315</v>
      </c>
      <c r="G25" s="195" t="s">
        <v>513</v>
      </c>
      <c r="H25" s="195" t="s">
        <v>74</v>
      </c>
      <c r="I25" s="195" t="s">
        <v>46</v>
      </c>
      <c r="J25" s="195">
        <v>12</v>
      </c>
      <c r="K25" s="196">
        <v>48.5</v>
      </c>
      <c r="L25" s="196">
        <f>K25*J25</f>
        <v>582</v>
      </c>
      <c r="M25" s="143">
        <v>0</v>
      </c>
      <c r="N25" s="197">
        <v>45527</v>
      </c>
      <c r="O25" s="157">
        <f>WEEKNUM(N25)</f>
        <v>34</v>
      </c>
      <c r="P25" s="198"/>
      <c r="Q25" s="140" t="s">
        <v>29</v>
      </c>
      <c r="R25" s="194"/>
      <c r="S25" s="194"/>
      <c r="T25" s="194"/>
      <c r="U25" s="194"/>
      <c r="V25" s="194"/>
    </row>
    <row r="26" spans="1:22" ht="15" hidden="1" customHeight="1" x14ac:dyDescent="0.3">
      <c r="A26" s="140" t="s">
        <v>509</v>
      </c>
      <c r="B26" s="192">
        <v>946</v>
      </c>
      <c r="C26" s="193">
        <v>45485</v>
      </c>
      <c r="D26" s="195">
        <f>WEEKNUM(C26)</f>
        <v>28</v>
      </c>
      <c r="E26" s="195" t="s">
        <v>68</v>
      </c>
      <c r="F26" s="195" t="s">
        <v>315</v>
      </c>
      <c r="G26" s="195" t="s">
        <v>307</v>
      </c>
      <c r="H26" s="195" t="s">
        <v>74</v>
      </c>
      <c r="I26" s="195" t="s">
        <v>46</v>
      </c>
      <c r="J26" s="195">
        <v>2</v>
      </c>
      <c r="K26" s="196">
        <v>48.5</v>
      </c>
      <c r="L26" s="196">
        <f>K26*J26</f>
        <v>97</v>
      </c>
      <c r="M26" s="143">
        <v>0</v>
      </c>
      <c r="N26" s="197">
        <v>45527</v>
      </c>
      <c r="O26" s="157">
        <f>WEEKNUM(N26)</f>
        <v>34</v>
      </c>
      <c r="P26" s="198"/>
      <c r="Q26" s="140" t="s">
        <v>29</v>
      </c>
      <c r="R26" s="194"/>
      <c r="S26" s="194"/>
      <c r="T26" s="194"/>
      <c r="U26" s="194"/>
      <c r="V26" s="194"/>
    </row>
    <row r="27" spans="1:22" ht="15" hidden="1" customHeight="1" x14ac:dyDescent="0.3">
      <c r="A27" s="140" t="s">
        <v>509</v>
      </c>
      <c r="B27" s="192">
        <v>946</v>
      </c>
      <c r="C27" s="193">
        <v>45485</v>
      </c>
      <c r="D27" s="195">
        <f>WEEKNUM(C27)</f>
        <v>28</v>
      </c>
      <c r="E27" s="195" t="s">
        <v>68</v>
      </c>
      <c r="F27" s="195" t="s">
        <v>315</v>
      </c>
      <c r="G27" s="195" t="s">
        <v>307</v>
      </c>
      <c r="H27" s="195" t="s">
        <v>74</v>
      </c>
      <c r="I27" s="195" t="s">
        <v>46</v>
      </c>
      <c r="J27" s="195">
        <v>6</v>
      </c>
      <c r="K27" s="196">
        <v>48.5</v>
      </c>
      <c r="L27" s="196">
        <f>K27*J27</f>
        <v>291</v>
      </c>
      <c r="M27" s="143">
        <v>0</v>
      </c>
      <c r="N27" s="197">
        <v>45527</v>
      </c>
      <c r="O27" s="157">
        <f>WEEKNUM(N27)</f>
        <v>34</v>
      </c>
      <c r="P27" s="198"/>
      <c r="Q27" s="140" t="s">
        <v>29</v>
      </c>
      <c r="R27" s="194"/>
      <c r="S27" s="194"/>
      <c r="T27" s="194"/>
      <c r="U27" s="194"/>
      <c r="V27" s="194"/>
    </row>
    <row r="28" spans="1:22" ht="15" hidden="1" customHeight="1" x14ac:dyDescent="0.3">
      <c r="A28" s="140" t="s">
        <v>509</v>
      </c>
      <c r="B28" s="192">
        <v>947</v>
      </c>
      <c r="C28" s="193">
        <v>45490</v>
      </c>
      <c r="D28" s="195">
        <f>WEEKNUM(C28)</f>
        <v>29</v>
      </c>
      <c r="E28" s="195" t="s">
        <v>68</v>
      </c>
      <c r="F28" s="195" t="s">
        <v>317</v>
      </c>
      <c r="G28" s="140" t="s">
        <v>508</v>
      </c>
      <c r="H28" s="195" t="s">
        <v>190</v>
      </c>
      <c r="I28" s="195" t="s">
        <v>46</v>
      </c>
      <c r="J28" s="195">
        <v>10</v>
      </c>
      <c r="K28" s="196">
        <v>65</v>
      </c>
      <c r="L28" s="196">
        <f>K28*J28</f>
        <v>650</v>
      </c>
      <c r="M28" s="196">
        <f>L28</f>
        <v>650</v>
      </c>
      <c r="N28" s="197">
        <v>46260</v>
      </c>
      <c r="O28" s="154"/>
      <c r="P28" s="198"/>
      <c r="Q28" s="140" t="s">
        <v>29</v>
      </c>
      <c r="R28" s="194"/>
      <c r="S28" s="194"/>
      <c r="T28" s="194"/>
      <c r="U28" s="194"/>
      <c r="V28" s="194"/>
    </row>
    <row r="29" spans="1:22" ht="15" hidden="1" customHeight="1" x14ac:dyDescent="0.3">
      <c r="A29" s="140" t="s">
        <v>509</v>
      </c>
      <c r="B29" s="192">
        <v>947</v>
      </c>
      <c r="C29" s="193">
        <v>45490</v>
      </c>
      <c r="D29" s="195">
        <f>WEEKNUM(C29)</f>
        <v>29</v>
      </c>
      <c r="E29" s="195" t="s">
        <v>68</v>
      </c>
      <c r="F29" s="195" t="s">
        <v>317</v>
      </c>
      <c r="G29" s="195" t="s">
        <v>167</v>
      </c>
      <c r="H29" s="195" t="s">
        <v>74</v>
      </c>
      <c r="I29" s="195" t="s">
        <v>46</v>
      </c>
      <c r="J29" s="195">
        <v>10</v>
      </c>
      <c r="K29" s="196">
        <v>48.5</v>
      </c>
      <c r="L29" s="196">
        <f>K29*J29</f>
        <v>485</v>
      </c>
      <c r="M29" s="196">
        <f>L29</f>
        <v>485</v>
      </c>
      <c r="N29" s="197">
        <v>46260</v>
      </c>
      <c r="O29" s="154"/>
      <c r="P29" s="198"/>
      <c r="Q29" s="140" t="s">
        <v>29</v>
      </c>
      <c r="R29" s="194"/>
      <c r="S29" s="194"/>
      <c r="T29" s="194"/>
      <c r="U29" s="194"/>
      <c r="V29" s="194"/>
    </row>
    <row r="30" spans="1:22" ht="15" hidden="1" customHeight="1" x14ac:dyDescent="0.3">
      <c r="A30" s="140" t="s">
        <v>509</v>
      </c>
      <c r="B30" s="192">
        <v>947</v>
      </c>
      <c r="C30" s="193">
        <v>45490</v>
      </c>
      <c r="D30" s="195">
        <f>WEEKNUM(C30)</f>
        <v>29</v>
      </c>
      <c r="E30" s="195" t="s">
        <v>68</v>
      </c>
      <c r="F30" s="195" t="s">
        <v>317</v>
      </c>
      <c r="G30" s="142" t="s">
        <v>311</v>
      </c>
      <c r="H30" s="195" t="s">
        <v>51</v>
      </c>
      <c r="I30" s="195" t="s">
        <v>46</v>
      </c>
      <c r="J30" s="195">
        <v>15</v>
      </c>
      <c r="K30" s="196">
        <v>62</v>
      </c>
      <c r="L30" s="196">
        <f>K30*J30</f>
        <v>930</v>
      </c>
      <c r="M30" s="196">
        <f>L30</f>
        <v>930</v>
      </c>
      <c r="N30" s="197">
        <v>46260</v>
      </c>
      <c r="O30" s="154"/>
      <c r="P30" s="198"/>
      <c r="Q30" s="140" t="s">
        <v>29</v>
      </c>
      <c r="R30" s="194"/>
      <c r="S30" s="194"/>
      <c r="T30" s="194"/>
      <c r="U30" s="194"/>
      <c r="V30" s="194"/>
    </row>
    <row r="31" spans="1:22" ht="15" hidden="1" customHeight="1" x14ac:dyDescent="0.3">
      <c r="A31" s="140" t="s">
        <v>509</v>
      </c>
      <c r="B31" s="192">
        <v>947</v>
      </c>
      <c r="C31" s="193">
        <v>45490</v>
      </c>
      <c r="D31" s="195">
        <f>WEEKNUM(C31)</f>
        <v>29</v>
      </c>
      <c r="E31" s="195" t="s">
        <v>68</v>
      </c>
      <c r="F31" s="195" t="s">
        <v>317</v>
      </c>
      <c r="G31" s="142" t="s">
        <v>408</v>
      </c>
      <c r="H31" s="195" t="s">
        <v>80</v>
      </c>
      <c r="I31" s="195" t="s">
        <v>46</v>
      </c>
      <c r="J31" s="195">
        <v>15</v>
      </c>
      <c r="K31" s="196">
        <v>21</v>
      </c>
      <c r="L31" s="196">
        <f>K31*J31</f>
        <v>315</v>
      </c>
      <c r="M31" s="196">
        <f>L31</f>
        <v>315</v>
      </c>
      <c r="N31" s="197">
        <v>46260</v>
      </c>
      <c r="O31" s="154"/>
      <c r="P31" s="198"/>
      <c r="Q31" s="140" t="s">
        <v>29</v>
      </c>
      <c r="R31" s="194"/>
      <c r="S31" s="194"/>
      <c r="T31" s="194"/>
      <c r="U31" s="194"/>
      <c r="V31" s="194"/>
    </row>
    <row r="32" spans="1:22" ht="15" hidden="1" customHeight="1" x14ac:dyDescent="0.3">
      <c r="A32" s="140" t="s">
        <v>509</v>
      </c>
      <c r="B32" s="192">
        <v>967</v>
      </c>
      <c r="C32" s="193">
        <v>45498</v>
      </c>
      <c r="D32" s="195">
        <f>WEEKNUM(C32)</f>
        <v>30</v>
      </c>
      <c r="E32" s="195" t="s">
        <v>68</v>
      </c>
      <c r="F32" s="195" t="s">
        <v>319</v>
      </c>
      <c r="G32" s="195" t="s">
        <v>320</v>
      </c>
      <c r="H32" s="195" t="s">
        <v>51</v>
      </c>
      <c r="I32" s="195" t="s">
        <v>46</v>
      </c>
      <c r="J32" s="195">
        <v>17</v>
      </c>
      <c r="K32" s="196">
        <v>79.099999999999994</v>
      </c>
      <c r="L32" s="196">
        <f>K32*J32</f>
        <v>1344.6999999999998</v>
      </c>
      <c r="M32" s="143">
        <v>0</v>
      </c>
      <c r="N32" s="197">
        <v>45531</v>
      </c>
      <c r="O32" s="157">
        <f>WEEKNUM(N32)</f>
        <v>35</v>
      </c>
      <c r="P32" s="198"/>
      <c r="Q32" s="140" t="s">
        <v>29</v>
      </c>
      <c r="R32" s="194"/>
      <c r="S32" s="194"/>
      <c r="T32" s="194"/>
      <c r="U32" s="194"/>
      <c r="V32" s="194"/>
    </row>
    <row r="33" spans="1:22" ht="15" hidden="1" customHeight="1" x14ac:dyDescent="0.3">
      <c r="A33" s="140" t="s">
        <v>509</v>
      </c>
      <c r="B33" s="192">
        <v>967</v>
      </c>
      <c r="C33" s="193">
        <v>45498</v>
      </c>
      <c r="D33" s="195">
        <f>WEEKNUM(C33)</f>
        <v>30</v>
      </c>
      <c r="E33" s="195" t="s">
        <v>68</v>
      </c>
      <c r="F33" s="195" t="s">
        <v>319</v>
      </c>
      <c r="G33" s="140" t="s">
        <v>356</v>
      </c>
      <c r="H33" s="195" t="s">
        <v>321</v>
      </c>
      <c r="I33" s="195" t="s">
        <v>46</v>
      </c>
      <c r="J33" s="195">
        <v>7</v>
      </c>
      <c r="K33" s="196">
        <v>62</v>
      </c>
      <c r="L33" s="196">
        <f>K33*J33</f>
        <v>434</v>
      </c>
      <c r="M33" s="143">
        <v>0</v>
      </c>
      <c r="N33" s="197">
        <v>45531</v>
      </c>
      <c r="O33" s="157">
        <f>WEEKNUM(N33)</f>
        <v>35</v>
      </c>
      <c r="P33" s="198"/>
      <c r="Q33" s="140" t="s">
        <v>29</v>
      </c>
      <c r="R33" s="194"/>
      <c r="S33" s="194"/>
      <c r="T33" s="194"/>
      <c r="U33" s="194"/>
      <c r="V33" s="194"/>
    </row>
    <row r="34" spans="1:22" ht="15.6" hidden="1" x14ac:dyDescent="0.3">
      <c r="A34" s="140" t="s">
        <v>509</v>
      </c>
      <c r="B34" s="192">
        <v>970</v>
      </c>
      <c r="C34" s="193">
        <v>45506</v>
      </c>
      <c r="D34" s="195">
        <f>WEEKNUM(C34)</f>
        <v>31</v>
      </c>
      <c r="E34" s="195" t="s">
        <v>68</v>
      </c>
      <c r="F34" s="195" t="s">
        <v>322</v>
      </c>
      <c r="G34" s="142" t="s">
        <v>311</v>
      </c>
      <c r="H34" s="195" t="s">
        <v>51</v>
      </c>
      <c r="I34" s="195" t="s">
        <v>46</v>
      </c>
      <c r="J34" s="195">
        <v>10</v>
      </c>
      <c r="K34" s="196">
        <v>62</v>
      </c>
      <c r="L34" s="196">
        <f>K34*J34</f>
        <v>620</v>
      </c>
      <c r="M34" s="143">
        <v>0</v>
      </c>
      <c r="N34" s="197">
        <v>45534</v>
      </c>
      <c r="O34" s="157">
        <f>WEEKNUM(N34)</f>
        <v>35</v>
      </c>
      <c r="P34" s="198"/>
      <c r="Q34" s="140" t="s">
        <v>29</v>
      </c>
      <c r="R34" s="194"/>
      <c r="S34" s="194"/>
      <c r="T34" s="194"/>
      <c r="U34" s="194"/>
      <c r="V34" s="194"/>
    </row>
    <row r="35" spans="1:22" ht="15.6" hidden="1" x14ac:dyDescent="0.3">
      <c r="A35" s="140" t="s">
        <v>509</v>
      </c>
      <c r="B35" s="192">
        <v>970</v>
      </c>
      <c r="C35" s="193">
        <v>45506</v>
      </c>
      <c r="D35" s="195">
        <f>WEEKNUM(C35)</f>
        <v>31</v>
      </c>
      <c r="E35" s="195" t="s">
        <v>68</v>
      </c>
      <c r="F35" s="195" t="s">
        <v>322</v>
      </c>
      <c r="G35" s="195" t="s">
        <v>316</v>
      </c>
      <c r="H35" s="195" t="s">
        <v>74</v>
      </c>
      <c r="I35" s="195" t="s">
        <v>46</v>
      </c>
      <c r="J35" s="195">
        <v>6</v>
      </c>
      <c r="K35" s="196">
        <v>48.9</v>
      </c>
      <c r="L35" s="196">
        <f>K35*J35</f>
        <v>293.39999999999998</v>
      </c>
      <c r="M35" s="143">
        <v>0</v>
      </c>
      <c r="N35" s="197">
        <v>45534</v>
      </c>
      <c r="O35" s="157">
        <f>WEEKNUM(N35)</f>
        <v>35</v>
      </c>
      <c r="P35" s="198"/>
      <c r="Q35" s="140" t="s">
        <v>29</v>
      </c>
      <c r="R35" s="194"/>
      <c r="S35" s="194"/>
      <c r="T35" s="194"/>
      <c r="U35" s="194"/>
      <c r="V35" s="194"/>
    </row>
    <row r="36" spans="1:22" ht="15.6" hidden="1" x14ac:dyDescent="0.3">
      <c r="A36" s="140" t="s">
        <v>509</v>
      </c>
      <c r="B36" s="192">
        <v>970</v>
      </c>
      <c r="C36" s="193">
        <v>45506</v>
      </c>
      <c r="D36" s="195">
        <f>WEEKNUM(C36)</f>
        <v>31</v>
      </c>
      <c r="E36" s="195" t="s">
        <v>68</v>
      </c>
      <c r="F36" s="195" t="s">
        <v>322</v>
      </c>
      <c r="G36" s="140" t="s">
        <v>508</v>
      </c>
      <c r="H36" s="195" t="s">
        <v>190</v>
      </c>
      <c r="I36" s="195" t="s">
        <v>46</v>
      </c>
      <c r="J36" s="195">
        <v>8</v>
      </c>
      <c r="K36" s="196">
        <v>65</v>
      </c>
      <c r="L36" s="196">
        <f>K36*J36</f>
        <v>520</v>
      </c>
      <c r="M36" s="143">
        <v>0</v>
      </c>
      <c r="N36" s="197">
        <v>45534</v>
      </c>
      <c r="O36" s="157">
        <f>WEEKNUM(N36)</f>
        <v>35</v>
      </c>
      <c r="P36" s="198"/>
      <c r="Q36" s="140" t="s">
        <v>29</v>
      </c>
      <c r="R36" s="194"/>
      <c r="S36" s="194"/>
      <c r="T36" s="194"/>
      <c r="U36" s="194"/>
      <c r="V36" s="194"/>
    </row>
    <row r="37" spans="1:22" ht="15.6" hidden="1" x14ac:dyDescent="0.3">
      <c r="A37" s="140" t="s">
        <v>509</v>
      </c>
      <c r="B37" s="192">
        <v>970</v>
      </c>
      <c r="C37" s="193">
        <v>45506</v>
      </c>
      <c r="D37" s="195">
        <f>WEEKNUM(C37)</f>
        <v>31</v>
      </c>
      <c r="E37" s="195" t="s">
        <v>68</v>
      </c>
      <c r="F37" s="195" t="s">
        <v>322</v>
      </c>
      <c r="G37" s="142" t="s">
        <v>408</v>
      </c>
      <c r="H37" s="195" t="s">
        <v>80</v>
      </c>
      <c r="I37" s="195" t="s">
        <v>46</v>
      </c>
      <c r="J37" s="195">
        <v>6</v>
      </c>
      <c r="K37" s="196">
        <v>21</v>
      </c>
      <c r="L37" s="196">
        <f>K37*J37</f>
        <v>126</v>
      </c>
      <c r="M37" s="143">
        <v>0</v>
      </c>
      <c r="N37" s="197">
        <v>45534</v>
      </c>
      <c r="O37" s="157">
        <f>WEEKNUM(N37)</f>
        <v>35</v>
      </c>
      <c r="P37" s="198"/>
      <c r="Q37" s="140" t="s">
        <v>29</v>
      </c>
      <c r="R37" s="194"/>
      <c r="S37" s="194"/>
      <c r="T37" s="194"/>
      <c r="U37" s="194"/>
      <c r="V37" s="194"/>
    </row>
    <row r="38" spans="1:22" ht="15.6" hidden="1" x14ac:dyDescent="0.3">
      <c r="A38" s="140" t="s">
        <v>509</v>
      </c>
      <c r="B38" s="192">
        <v>970</v>
      </c>
      <c r="C38" s="193">
        <v>45506</v>
      </c>
      <c r="D38" s="195">
        <f>WEEKNUM(C38)</f>
        <v>31</v>
      </c>
      <c r="E38" s="195" t="s">
        <v>68</v>
      </c>
      <c r="F38" s="195" t="s">
        <v>322</v>
      </c>
      <c r="G38" s="195" t="s">
        <v>167</v>
      </c>
      <c r="H38" s="195" t="s">
        <v>74</v>
      </c>
      <c r="I38" s="195" t="s">
        <v>46</v>
      </c>
      <c r="J38" s="195">
        <v>9</v>
      </c>
      <c r="K38" s="196">
        <v>48.5</v>
      </c>
      <c r="L38" s="196">
        <f>K38*J38</f>
        <v>436.5</v>
      </c>
      <c r="M38" s="143">
        <v>0</v>
      </c>
      <c r="N38" s="197">
        <v>45534</v>
      </c>
      <c r="O38" s="157">
        <f>WEEKNUM(N38)</f>
        <v>35</v>
      </c>
      <c r="P38" s="198"/>
      <c r="Q38" s="140" t="s">
        <v>29</v>
      </c>
      <c r="R38" s="194"/>
      <c r="S38" s="194"/>
      <c r="T38" s="194"/>
      <c r="U38" s="194"/>
      <c r="V38" s="194"/>
    </row>
    <row r="39" spans="1:22" ht="15.6" hidden="1" x14ac:dyDescent="0.3">
      <c r="A39" s="140" t="s">
        <v>509</v>
      </c>
      <c r="B39" s="192">
        <v>966</v>
      </c>
      <c r="C39" s="193">
        <v>45509</v>
      </c>
      <c r="D39" s="195">
        <f>WEEKNUM(C39)</f>
        <v>32</v>
      </c>
      <c r="E39" s="195" t="s">
        <v>68</v>
      </c>
      <c r="F39" s="195" t="s">
        <v>323</v>
      </c>
      <c r="G39" s="195" t="s">
        <v>308</v>
      </c>
      <c r="H39" s="195" t="s">
        <v>74</v>
      </c>
      <c r="I39" s="195" t="s">
        <v>46</v>
      </c>
      <c r="J39" s="195">
        <v>2</v>
      </c>
      <c r="K39" s="196">
        <v>48.5</v>
      </c>
      <c r="L39" s="196">
        <f>K39*J39</f>
        <v>97</v>
      </c>
      <c r="M39" s="143">
        <v>0</v>
      </c>
      <c r="N39" s="197">
        <v>45510</v>
      </c>
      <c r="O39" s="157">
        <f>WEEKNUM(N39)</f>
        <v>32</v>
      </c>
      <c r="P39" s="198"/>
      <c r="Q39" s="140" t="s">
        <v>29</v>
      </c>
      <c r="R39" s="194"/>
      <c r="S39" s="194"/>
      <c r="T39" s="194"/>
      <c r="U39" s="194"/>
      <c r="V39" s="194"/>
    </row>
    <row r="40" spans="1:22" ht="15.6" hidden="1" x14ac:dyDescent="0.3">
      <c r="A40" s="140" t="s">
        <v>509</v>
      </c>
      <c r="B40" s="192">
        <v>966</v>
      </c>
      <c r="C40" s="193">
        <v>45509</v>
      </c>
      <c r="D40" s="195">
        <f>WEEKNUM(C40)</f>
        <v>32</v>
      </c>
      <c r="E40" s="195" t="s">
        <v>68</v>
      </c>
      <c r="F40" s="195" t="s">
        <v>323</v>
      </c>
      <c r="G40" s="142" t="s">
        <v>311</v>
      </c>
      <c r="H40" s="195" t="s">
        <v>51</v>
      </c>
      <c r="I40" s="195" t="s">
        <v>46</v>
      </c>
      <c r="J40" s="195">
        <v>1</v>
      </c>
      <c r="K40" s="196">
        <v>62</v>
      </c>
      <c r="L40" s="196">
        <f>K40*J40</f>
        <v>62</v>
      </c>
      <c r="M40" s="143">
        <v>0</v>
      </c>
      <c r="N40" s="197">
        <v>45510</v>
      </c>
      <c r="O40" s="157">
        <f>WEEKNUM(N40)</f>
        <v>32</v>
      </c>
      <c r="P40" s="198"/>
      <c r="Q40" s="140" t="s">
        <v>29</v>
      </c>
      <c r="R40" s="194"/>
      <c r="S40" s="194"/>
      <c r="T40" s="194"/>
      <c r="U40" s="194"/>
      <c r="V40" s="194"/>
    </row>
    <row r="41" spans="1:22" ht="15.6" hidden="1" x14ac:dyDescent="0.3">
      <c r="A41" s="140" t="s">
        <v>509</v>
      </c>
      <c r="B41" s="192">
        <v>966</v>
      </c>
      <c r="C41" s="193">
        <v>45509</v>
      </c>
      <c r="D41" s="195">
        <f>WEEKNUM(C41)</f>
        <v>32</v>
      </c>
      <c r="E41" s="195" t="s">
        <v>68</v>
      </c>
      <c r="F41" s="195" t="s">
        <v>323</v>
      </c>
      <c r="G41" s="195" t="s">
        <v>513</v>
      </c>
      <c r="H41" s="195" t="s">
        <v>74</v>
      </c>
      <c r="I41" s="195" t="s">
        <v>46</v>
      </c>
      <c r="J41" s="195">
        <v>2</v>
      </c>
      <c r="K41" s="196">
        <v>48.5</v>
      </c>
      <c r="L41" s="196">
        <f>K41*J41</f>
        <v>97</v>
      </c>
      <c r="M41" s="143">
        <v>0</v>
      </c>
      <c r="N41" s="197">
        <v>45510</v>
      </c>
      <c r="O41" s="157">
        <f>WEEKNUM(N41)</f>
        <v>32</v>
      </c>
      <c r="P41" s="198"/>
      <c r="Q41" s="140" t="s">
        <v>29</v>
      </c>
      <c r="R41" s="194"/>
      <c r="S41" s="194"/>
      <c r="T41" s="194"/>
      <c r="U41" s="194"/>
      <c r="V41" s="194"/>
    </row>
    <row r="42" spans="1:22" ht="15.6" hidden="1" x14ac:dyDescent="0.3">
      <c r="A42" s="140" t="s">
        <v>509</v>
      </c>
      <c r="B42" s="192">
        <v>966</v>
      </c>
      <c r="C42" s="193">
        <v>45509</v>
      </c>
      <c r="D42" s="195">
        <f>WEEKNUM(C42)</f>
        <v>32</v>
      </c>
      <c r="E42" s="195" t="s">
        <v>68</v>
      </c>
      <c r="F42" s="195" t="s">
        <v>323</v>
      </c>
      <c r="G42" s="140" t="s">
        <v>508</v>
      </c>
      <c r="H42" s="195" t="s">
        <v>190</v>
      </c>
      <c r="I42" s="195" t="s">
        <v>46</v>
      </c>
      <c r="J42" s="195">
        <v>1</v>
      </c>
      <c r="K42" s="196">
        <v>65</v>
      </c>
      <c r="L42" s="196">
        <f>K42*J42</f>
        <v>65</v>
      </c>
      <c r="M42" s="143">
        <v>0</v>
      </c>
      <c r="N42" s="197">
        <v>45510</v>
      </c>
      <c r="O42" s="157">
        <f>WEEKNUM(N42)</f>
        <v>32</v>
      </c>
      <c r="P42" s="198"/>
      <c r="Q42" s="140" t="s">
        <v>29</v>
      </c>
      <c r="R42" s="194"/>
      <c r="S42" s="194"/>
      <c r="T42" s="194"/>
      <c r="U42" s="194"/>
      <c r="V42" s="194"/>
    </row>
    <row r="43" spans="1:22" ht="15.6" hidden="1" x14ac:dyDescent="0.3">
      <c r="A43" s="140" t="s">
        <v>509</v>
      </c>
      <c r="B43" s="192">
        <v>966</v>
      </c>
      <c r="C43" s="193">
        <v>45509</v>
      </c>
      <c r="D43" s="195">
        <f>WEEKNUM(C43)</f>
        <v>32</v>
      </c>
      <c r="E43" s="195" t="s">
        <v>68</v>
      </c>
      <c r="F43" s="195" t="s">
        <v>323</v>
      </c>
      <c r="G43" s="142" t="s">
        <v>408</v>
      </c>
      <c r="H43" s="195" t="s">
        <v>80</v>
      </c>
      <c r="I43" s="195" t="s">
        <v>46</v>
      </c>
      <c r="J43" s="195">
        <v>5</v>
      </c>
      <c r="K43" s="196">
        <v>21</v>
      </c>
      <c r="L43" s="196">
        <f>K43*J43</f>
        <v>105</v>
      </c>
      <c r="M43" s="143">
        <v>0</v>
      </c>
      <c r="N43" s="197">
        <v>45510</v>
      </c>
      <c r="O43" s="157">
        <f>WEEKNUM(N43)</f>
        <v>32</v>
      </c>
      <c r="P43" s="198"/>
      <c r="Q43" s="140" t="s">
        <v>29</v>
      </c>
      <c r="R43" s="194"/>
      <c r="S43" s="194"/>
      <c r="T43" s="194"/>
      <c r="U43" s="194"/>
      <c r="V43" s="194"/>
    </row>
    <row r="44" spans="1:22" ht="15.6" hidden="1" x14ac:dyDescent="0.3">
      <c r="A44" s="140" t="s">
        <v>509</v>
      </c>
      <c r="B44" s="192">
        <v>972</v>
      </c>
      <c r="C44" s="193">
        <v>45516</v>
      </c>
      <c r="D44" s="195">
        <f>WEEKNUM(C44)</f>
        <v>33</v>
      </c>
      <c r="E44" s="195" t="s">
        <v>68</v>
      </c>
      <c r="F44" s="195" t="s">
        <v>324</v>
      </c>
      <c r="G44" s="195" t="s">
        <v>218</v>
      </c>
      <c r="H44" s="195" t="s">
        <v>74</v>
      </c>
      <c r="I44" s="195" t="s">
        <v>46</v>
      </c>
      <c r="J44" s="195">
        <v>13</v>
      </c>
      <c r="K44" s="196">
        <v>48.5</v>
      </c>
      <c r="L44" s="196">
        <f>K44*J44</f>
        <v>630.5</v>
      </c>
      <c r="M44" s="143">
        <v>0</v>
      </c>
      <c r="N44" s="197">
        <v>45545</v>
      </c>
      <c r="O44" s="157">
        <f>WEEKNUM(N44)</f>
        <v>37</v>
      </c>
      <c r="P44" s="198"/>
      <c r="Q44" s="140" t="s">
        <v>29</v>
      </c>
      <c r="R44" s="194"/>
      <c r="S44" s="194"/>
      <c r="T44" s="194"/>
      <c r="U44" s="194"/>
      <c r="V44" s="194"/>
    </row>
    <row r="45" spans="1:22" ht="15.6" hidden="1" x14ac:dyDescent="0.3">
      <c r="A45" s="140" t="s">
        <v>509</v>
      </c>
      <c r="B45" s="192">
        <v>972</v>
      </c>
      <c r="C45" s="193">
        <v>45516</v>
      </c>
      <c r="D45" s="195">
        <f>WEEKNUM(C45)</f>
        <v>33</v>
      </c>
      <c r="E45" s="195" t="s">
        <v>68</v>
      </c>
      <c r="F45" s="195" t="s">
        <v>324</v>
      </c>
      <c r="G45" s="195" t="s">
        <v>590</v>
      </c>
      <c r="H45" s="195" t="s">
        <v>74</v>
      </c>
      <c r="I45" s="195" t="s">
        <v>46</v>
      </c>
      <c r="J45" s="195">
        <v>3</v>
      </c>
      <c r="K45" s="196">
        <v>80</v>
      </c>
      <c r="L45" s="196">
        <f>K45*J45</f>
        <v>240</v>
      </c>
      <c r="M45" s="143">
        <v>0</v>
      </c>
      <c r="N45" s="197">
        <v>45545</v>
      </c>
      <c r="O45" s="157">
        <f>WEEKNUM(N45)</f>
        <v>37</v>
      </c>
      <c r="P45" s="198"/>
      <c r="Q45" s="140" t="s">
        <v>29</v>
      </c>
      <c r="R45" s="194"/>
      <c r="S45" s="194"/>
      <c r="T45" s="194"/>
      <c r="U45" s="194"/>
      <c r="V45" s="194"/>
    </row>
    <row r="46" spans="1:22" ht="15.6" hidden="1" x14ac:dyDescent="0.3">
      <c r="A46" s="140" t="s">
        <v>509</v>
      </c>
      <c r="B46" s="192">
        <v>972</v>
      </c>
      <c r="C46" s="193">
        <v>45516</v>
      </c>
      <c r="D46" s="195">
        <f>WEEKNUM(C46)</f>
        <v>33</v>
      </c>
      <c r="E46" s="195" t="s">
        <v>68</v>
      </c>
      <c r="F46" s="195" t="s">
        <v>324</v>
      </c>
      <c r="G46" s="142" t="s">
        <v>408</v>
      </c>
      <c r="H46" s="195" t="s">
        <v>80</v>
      </c>
      <c r="I46" s="195" t="s">
        <v>46</v>
      </c>
      <c r="J46" s="195">
        <v>4</v>
      </c>
      <c r="K46" s="196">
        <v>21</v>
      </c>
      <c r="L46" s="196">
        <f>K46*J46</f>
        <v>84</v>
      </c>
      <c r="M46" s="143">
        <v>0</v>
      </c>
      <c r="N46" s="197">
        <v>45545</v>
      </c>
      <c r="O46" s="157">
        <f>WEEKNUM(N46)</f>
        <v>37</v>
      </c>
      <c r="P46" s="198"/>
      <c r="Q46" s="140" t="s">
        <v>29</v>
      </c>
      <c r="R46" s="194"/>
      <c r="S46" s="194"/>
      <c r="T46" s="194"/>
      <c r="U46" s="194"/>
      <c r="V46" s="194"/>
    </row>
    <row r="47" spans="1:22" ht="15.6" hidden="1" x14ac:dyDescent="0.3">
      <c r="A47" s="140" t="s">
        <v>509</v>
      </c>
      <c r="B47" s="192">
        <v>975</v>
      </c>
      <c r="C47" s="193">
        <v>45518</v>
      </c>
      <c r="D47" s="195">
        <f>WEEKNUM(C47)</f>
        <v>33</v>
      </c>
      <c r="E47" s="195" t="s">
        <v>68</v>
      </c>
      <c r="F47" s="195" t="s">
        <v>325</v>
      </c>
      <c r="G47" s="195" t="s">
        <v>308</v>
      </c>
      <c r="H47" s="195" t="s">
        <v>74</v>
      </c>
      <c r="I47" s="195" t="s">
        <v>46</v>
      </c>
      <c r="J47" s="195">
        <v>2</v>
      </c>
      <c r="K47" s="196">
        <v>36.75</v>
      </c>
      <c r="L47" s="196">
        <f>K47*J47</f>
        <v>73.5</v>
      </c>
      <c r="M47" s="143">
        <v>0</v>
      </c>
      <c r="N47" s="197">
        <v>45534</v>
      </c>
      <c r="O47" s="157">
        <f>WEEKNUM(N47)</f>
        <v>35</v>
      </c>
      <c r="P47" s="198"/>
      <c r="Q47" s="140" t="s">
        <v>29</v>
      </c>
      <c r="R47" s="194"/>
      <c r="S47" s="194"/>
      <c r="T47" s="194"/>
      <c r="U47" s="194"/>
      <c r="V47" s="194"/>
    </row>
    <row r="48" spans="1:22" ht="15.6" hidden="1" x14ac:dyDescent="0.3">
      <c r="A48" s="140" t="s">
        <v>509</v>
      </c>
      <c r="B48" s="192">
        <v>975</v>
      </c>
      <c r="C48" s="193">
        <v>45518</v>
      </c>
      <c r="D48" s="195">
        <f>WEEKNUM(C48)</f>
        <v>33</v>
      </c>
      <c r="E48" s="195" t="s">
        <v>68</v>
      </c>
      <c r="F48" s="195" t="s">
        <v>325</v>
      </c>
      <c r="G48" s="142" t="s">
        <v>311</v>
      </c>
      <c r="H48" s="195" t="s">
        <v>51</v>
      </c>
      <c r="I48" s="195" t="s">
        <v>46</v>
      </c>
      <c r="J48" s="195">
        <v>5</v>
      </c>
      <c r="K48" s="196">
        <v>21</v>
      </c>
      <c r="L48" s="196">
        <f>K48*J48</f>
        <v>105</v>
      </c>
      <c r="M48" s="143">
        <v>0</v>
      </c>
      <c r="N48" s="197">
        <v>45534</v>
      </c>
      <c r="O48" s="157">
        <f>WEEKNUM(N48)</f>
        <v>35</v>
      </c>
      <c r="P48" s="198"/>
      <c r="Q48" s="140" t="s">
        <v>29</v>
      </c>
      <c r="R48" s="194"/>
      <c r="S48" s="194"/>
      <c r="T48" s="194"/>
      <c r="U48" s="194"/>
      <c r="V48" s="194"/>
    </row>
    <row r="49" spans="1:22" ht="15.6" hidden="1" x14ac:dyDescent="0.3">
      <c r="A49" s="140" t="s">
        <v>509</v>
      </c>
      <c r="B49" s="192">
        <v>975</v>
      </c>
      <c r="C49" s="193">
        <v>45518</v>
      </c>
      <c r="D49" s="195">
        <f>WEEKNUM(C49)</f>
        <v>33</v>
      </c>
      <c r="E49" s="195" t="s">
        <v>68</v>
      </c>
      <c r="F49" s="195" t="s">
        <v>325</v>
      </c>
      <c r="G49" s="142" t="s">
        <v>408</v>
      </c>
      <c r="H49" s="195" t="s">
        <v>80</v>
      </c>
      <c r="I49" s="195" t="s">
        <v>46</v>
      </c>
      <c r="J49" s="195">
        <v>6</v>
      </c>
      <c r="K49" s="196">
        <v>21</v>
      </c>
      <c r="L49" s="196">
        <f>K49*J49</f>
        <v>126</v>
      </c>
      <c r="M49" s="143">
        <v>0</v>
      </c>
      <c r="N49" s="197">
        <v>45534</v>
      </c>
      <c r="O49" s="157">
        <f>WEEKNUM(N49)</f>
        <v>35</v>
      </c>
      <c r="P49" s="198"/>
      <c r="Q49" s="140" t="s">
        <v>29</v>
      </c>
      <c r="R49" s="194"/>
      <c r="S49" s="194"/>
      <c r="T49" s="194"/>
      <c r="U49" s="194"/>
      <c r="V49" s="194"/>
    </row>
    <row r="50" spans="1:22" ht="15.6" hidden="1" x14ac:dyDescent="0.3">
      <c r="A50" s="140" t="s">
        <v>509</v>
      </c>
      <c r="B50" s="192">
        <v>975</v>
      </c>
      <c r="C50" s="193">
        <v>45518</v>
      </c>
      <c r="D50" s="195">
        <f>WEEKNUM(C50)</f>
        <v>33</v>
      </c>
      <c r="E50" s="195" t="s">
        <v>68</v>
      </c>
      <c r="F50" s="195" t="s">
        <v>325</v>
      </c>
      <c r="G50" s="195" t="s">
        <v>301</v>
      </c>
      <c r="H50" s="195" t="s">
        <v>74</v>
      </c>
      <c r="I50" s="195" t="s">
        <v>46</v>
      </c>
      <c r="J50" s="195">
        <v>6</v>
      </c>
      <c r="K50" s="196">
        <v>36.75</v>
      </c>
      <c r="L50" s="196">
        <f>K50*J50</f>
        <v>220.5</v>
      </c>
      <c r="M50" s="143">
        <v>0</v>
      </c>
      <c r="N50" s="197">
        <v>45534</v>
      </c>
      <c r="O50" s="157">
        <f>WEEKNUM(N50)</f>
        <v>35</v>
      </c>
      <c r="P50" s="198"/>
      <c r="Q50" s="140" t="s">
        <v>29</v>
      </c>
      <c r="R50" s="194"/>
      <c r="S50" s="194"/>
      <c r="T50" s="194"/>
      <c r="U50" s="194"/>
      <c r="V50" s="194"/>
    </row>
    <row r="51" spans="1:22" ht="15.6" hidden="1" x14ac:dyDescent="0.3">
      <c r="A51" s="140" t="s">
        <v>509</v>
      </c>
      <c r="B51" s="192">
        <v>977</v>
      </c>
      <c r="C51" s="193">
        <v>45526</v>
      </c>
      <c r="D51" s="195">
        <f>WEEKNUM(C51)</f>
        <v>34</v>
      </c>
      <c r="E51" s="195" t="s">
        <v>68</v>
      </c>
      <c r="F51" s="195" t="s">
        <v>326</v>
      </c>
      <c r="G51" s="142" t="s">
        <v>311</v>
      </c>
      <c r="H51" s="195" t="s">
        <v>51</v>
      </c>
      <c r="I51" s="195" t="s">
        <v>46</v>
      </c>
      <c r="J51" s="195">
        <v>7</v>
      </c>
      <c r="K51" s="196">
        <v>21</v>
      </c>
      <c r="L51" s="196">
        <f>K51*J51</f>
        <v>147</v>
      </c>
      <c r="M51" s="143">
        <v>0</v>
      </c>
      <c r="N51" s="197">
        <v>45552</v>
      </c>
      <c r="O51" s="157">
        <f>WEEKNUM(N51)</f>
        <v>38</v>
      </c>
      <c r="P51" s="198"/>
      <c r="Q51" s="140" t="s">
        <v>29</v>
      </c>
      <c r="R51" s="194"/>
      <c r="S51" s="194"/>
      <c r="T51" s="194"/>
      <c r="U51" s="194"/>
      <c r="V51" s="194"/>
    </row>
    <row r="52" spans="1:22" ht="15.6" hidden="1" x14ac:dyDescent="0.3">
      <c r="A52" s="140" t="s">
        <v>509</v>
      </c>
      <c r="B52" s="192">
        <v>977</v>
      </c>
      <c r="C52" s="193">
        <v>45526</v>
      </c>
      <c r="D52" s="195">
        <f>WEEKNUM(C52)</f>
        <v>34</v>
      </c>
      <c r="E52" s="195" t="s">
        <v>68</v>
      </c>
      <c r="F52" s="195" t="s">
        <v>326</v>
      </c>
      <c r="G52" s="142" t="s">
        <v>408</v>
      </c>
      <c r="H52" s="195" t="s">
        <v>80</v>
      </c>
      <c r="I52" s="195" t="s">
        <v>46</v>
      </c>
      <c r="J52" s="195">
        <v>7</v>
      </c>
      <c r="K52" s="196">
        <v>21</v>
      </c>
      <c r="L52" s="196">
        <f>K52*J52</f>
        <v>147</v>
      </c>
      <c r="M52" s="143">
        <v>0</v>
      </c>
      <c r="N52" s="197">
        <v>45552</v>
      </c>
      <c r="O52" s="157">
        <f>WEEKNUM(N52)</f>
        <v>38</v>
      </c>
      <c r="P52" s="198"/>
      <c r="Q52" s="140" t="s">
        <v>29</v>
      </c>
      <c r="R52" s="194"/>
      <c r="S52" s="194"/>
      <c r="T52" s="194"/>
      <c r="U52" s="194"/>
      <c r="V52" s="194"/>
    </row>
    <row r="53" spans="1:22" ht="15.6" hidden="1" x14ac:dyDescent="0.3">
      <c r="A53" s="140" t="s">
        <v>509</v>
      </c>
      <c r="B53" s="192">
        <v>977</v>
      </c>
      <c r="C53" s="193">
        <v>45526</v>
      </c>
      <c r="D53" s="195">
        <f>WEEKNUM(C53)</f>
        <v>34</v>
      </c>
      <c r="E53" s="195" t="s">
        <v>68</v>
      </c>
      <c r="F53" s="195" t="s">
        <v>326</v>
      </c>
      <c r="G53" s="195" t="s">
        <v>309</v>
      </c>
      <c r="H53" s="195" t="s">
        <v>74</v>
      </c>
      <c r="I53" s="195" t="s">
        <v>46</v>
      </c>
      <c r="J53" s="195">
        <v>7</v>
      </c>
      <c r="K53" s="196">
        <v>45</v>
      </c>
      <c r="L53" s="196">
        <f>K53*J53</f>
        <v>315</v>
      </c>
      <c r="M53" s="143">
        <v>0</v>
      </c>
      <c r="N53" s="197">
        <v>45552</v>
      </c>
      <c r="O53" s="157">
        <f>WEEKNUM(N53)</f>
        <v>38</v>
      </c>
      <c r="P53" s="198"/>
      <c r="Q53" s="140" t="s">
        <v>29</v>
      </c>
      <c r="R53" s="194"/>
      <c r="S53" s="194"/>
      <c r="T53" s="194"/>
      <c r="U53" s="194"/>
      <c r="V53" s="194"/>
    </row>
    <row r="54" spans="1:22" ht="15.6" hidden="1" x14ac:dyDescent="0.3">
      <c r="A54" s="140" t="s">
        <v>509</v>
      </c>
      <c r="B54" s="192">
        <v>977</v>
      </c>
      <c r="C54" s="193">
        <v>45526</v>
      </c>
      <c r="D54" s="195">
        <f>WEEKNUM(C54)</f>
        <v>34</v>
      </c>
      <c r="E54" s="195" t="s">
        <v>68</v>
      </c>
      <c r="F54" s="195" t="s">
        <v>326</v>
      </c>
      <c r="G54" s="195" t="s">
        <v>307</v>
      </c>
      <c r="H54" s="195" t="s">
        <v>74</v>
      </c>
      <c r="I54" s="195" t="s">
        <v>46</v>
      </c>
      <c r="J54" s="195">
        <v>3</v>
      </c>
      <c r="K54" s="196">
        <v>45</v>
      </c>
      <c r="L54" s="196">
        <f>K54*J54</f>
        <v>135</v>
      </c>
      <c r="M54" s="143">
        <v>0</v>
      </c>
      <c r="N54" s="197">
        <v>45552</v>
      </c>
      <c r="O54" s="157">
        <f>WEEKNUM(N54)</f>
        <v>38</v>
      </c>
      <c r="P54" s="198"/>
      <c r="Q54" s="140" t="s">
        <v>29</v>
      </c>
      <c r="R54" s="194"/>
      <c r="S54" s="194"/>
      <c r="T54" s="194"/>
      <c r="U54" s="194"/>
      <c r="V54" s="194"/>
    </row>
    <row r="55" spans="1:22" ht="15.6" hidden="1" x14ac:dyDescent="0.3">
      <c r="A55" s="140" t="s">
        <v>509</v>
      </c>
      <c r="B55" s="192">
        <v>977</v>
      </c>
      <c r="C55" s="193">
        <v>45526</v>
      </c>
      <c r="D55" s="195">
        <f>WEEKNUM(C55)</f>
        <v>34</v>
      </c>
      <c r="E55" s="195" t="s">
        <v>68</v>
      </c>
      <c r="F55" s="195" t="s">
        <v>326</v>
      </c>
      <c r="G55" s="195" t="s">
        <v>308</v>
      </c>
      <c r="H55" s="195" t="s">
        <v>74</v>
      </c>
      <c r="I55" s="195" t="s">
        <v>46</v>
      </c>
      <c r="J55" s="195">
        <v>10</v>
      </c>
      <c r="K55" s="196">
        <v>36.75</v>
      </c>
      <c r="L55" s="196">
        <f>K55*J55</f>
        <v>367.5</v>
      </c>
      <c r="M55" s="143">
        <v>0</v>
      </c>
      <c r="N55" s="197">
        <v>45552</v>
      </c>
      <c r="O55" s="157">
        <f>WEEKNUM(N55)</f>
        <v>38</v>
      </c>
      <c r="P55" s="198"/>
      <c r="Q55" s="140" t="s">
        <v>29</v>
      </c>
      <c r="R55" s="194"/>
      <c r="S55" s="194"/>
      <c r="T55" s="194"/>
      <c r="U55" s="194"/>
      <c r="V55" s="194"/>
    </row>
    <row r="56" spans="1:22" ht="15.6" hidden="1" x14ac:dyDescent="0.3">
      <c r="A56" s="140" t="s">
        <v>509</v>
      </c>
      <c r="B56" s="192">
        <v>1000</v>
      </c>
      <c r="C56" s="193">
        <v>45530</v>
      </c>
      <c r="D56" s="195">
        <f>WEEKNUM(C56)</f>
        <v>35</v>
      </c>
      <c r="E56" s="195" t="s">
        <v>68</v>
      </c>
      <c r="F56" s="195" t="s">
        <v>302</v>
      </c>
      <c r="G56" s="195" t="s">
        <v>631</v>
      </c>
      <c r="H56" s="195" t="s">
        <v>74</v>
      </c>
      <c r="I56" s="195" t="s">
        <v>46</v>
      </c>
      <c r="J56" s="195">
        <v>32</v>
      </c>
      <c r="K56" s="196">
        <v>45</v>
      </c>
      <c r="L56" s="196">
        <f>K56*J56</f>
        <v>1440</v>
      </c>
      <c r="M56" s="143">
        <v>0</v>
      </c>
      <c r="N56" s="197">
        <v>45547</v>
      </c>
      <c r="O56" s="157">
        <f>WEEKNUM(N56)</f>
        <v>37</v>
      </c>
      <c r="P56" s="198"/>
      <c r="Q56" s="140" t="s">
        <v>29</v>
      </c>
      <c r="R56" s="194"/>
      <c r="S56" s="194"/>
      <c r="T56" s="194"/>
      <c r="U56" s="194"/>
      <c r="V56" s="194"/>
    </row>
    <row r="57" spans="1:22" ht="15.6" hidden="1" x14ac:dyDescent="0.3">
      <c r="A57" s="140" t="s">
        <v>509</v>
      </c>
      <c r="B57" s="192">
        <v>979</v>
      </c>
      <c r="C57" s="193">
        <v>45531</v>
      </c>
      <c r="D57" s="195">
        <f>WEEKNUM(C57)</f>
        <v>35</v>
      </c>
      <c r="E57" s="195" t="s">
        <v>68</v>
      </c>
      <c r="F57" s="195" t="s">
        <v>327</v>
      </c>
      <c r="G57" s="142" t="s">
        <v>311</v>
      </c>
      <c r="H57" s="195" t="s">
        <v>51</v>
      </c>
      <c r="I57" s="195" t="s">
        <v>46</v>
      </c>
      <c r="J57" s="195">
        <v>2</v>
      </c>
      <c r="K57" s="196">
        <v>21</v>
      </c>
      <c r="L57" s="196">
        <f>K57*J57</f>
        <v>42</v>
      </c>
      <c r="M57" s="143">
        <v>0</v>
      </c>
      <c r="N57" s="197">
        <v>45545</v>
      </c>
      <c r="O57" s="157">
        <f>WEEKNUM(N57)</f>
        <v>37</v>
      </c>
      <c r="P57" s="198"/>
      <c r="Q57" s="140" t="s">
        <v>29</v>
      </c>
      <c r="R57" s="194"/>
      <c r="S57" s="194"/>
      <c r="T57" s="194"/>
      <c r="U57" s="194"/>
      <c r="V57" s="194"/>
    </row>
    <row r="58" spans="1:22" ht="15.6" hidden="1" x14ac:dyDescent="0.3">
      <c r="A58" s="140" t="s">
        <v>509</v>
      </c>
      <c r="B58" s="192">
        <v>979</v>
      </c>
      <c r="C58" s="193">
        <v>45531</v>
      </c>
      <c r="D58" s="195">
        <f>WEEKNUM(C58)</f>
        <v>35</v>
      </c>
      <c r="E58" s="195" t="s">
        <v>68</v>
      </c>
      <c r="F58" s="195" t="s">
        <v>327</v>
      </c>
      <c r="G58" s="195" t="s">
        <v>308</v>
      </c>
      <c r="H58" s="195" t="s">
        <v>74</v>
      </c>
      <c r="I58" s="195" t="s">
        <v>46</v>
      </c>
      <c r="J58" s="195">
        <v>2</v>
      </c>
      <c r="K58" s="196">
        <v>36.75</v>
      </c>
      <c r="L58" s="196">
        <f>K58*J58</f>
        <v>73.5</v>
      </c>
      <c r="M58" s="143">
        <v>0</v>
      </c>
      <c r="N58" s="197">
        <v>45545</v>
      </c>
      <c r="O58" s="157">
        <f>WEEKNUM(N58)</f>
        <v>37</v>
      </c>
      <c r="P58" s="198"/>
      <c r="Q58" s="140" t="s">
        <v>29</v>
      </c>
      <c r="R58" s="194"/>
      <c r="S58" s="194"/>
      <c r="T58" s="194"/>
      <c r="U58" s="194"/>
      <c r="V58" s="194"/>
    </row>
    <row r="59" spans="1:22" ht="15.6" hidden="1" x14ac:dyDescent="0.3">
      <c r="A59" s="140" t="s">
        <v>509</v>
      </c>
      <c r="B59" s="192">
        <v>979</v>
      </c>
      <c r="C59" s="193">
        <v>45531</v>
      </c>
      <c r="D59" s="195">
        <f>WEEKNUM(C59)</f>
        <v>35</v>
      </c>
      <c r="E59" s="195" t="s">
        <v>68</v>
      </c>
      <c r="F59" s="195" t="s">
        <v>327</v>
      </c>
      <c r="G59" s="195" t="s">
        <v>309</v>
      </c>
      <c r="H59" s="195" t="s">
        <v>74</v>
      </c>
      <c r="I59" s="195" t="s">
        <v>46</v>
      </c>
      <c r="J59" s="195">
        <v>2</v>
      </c>
      <c r="K59" s="196">
        <v>45</v>
      </c>
      <c r="L59" s="196">
        <f>K59*J59</f>
        <v>90</v>
      </c>
      <c r="M59" s="143">
        <v>0</v>
      </c>
      <c r="N59" s="197">
        <v>45545</v>
      </c>
      <c r="O59" s="157">
        <f>WEEKNUM(N59)</f>
        <v>37</v>
      </c>
      <c r="P59" s="198"/>
      <c r="Q59" s="140" t="s">
        <v>29</v>
      </c>
      <c r="R59" s="194"/>
      <c r="S59" s="194"/>
      <c r="T59" s="194"/>
      <c r="U59" s="194"/>
      <c r="V59" s="194"/>
    </row>
    <row r="60" spans="1:22" ht="15.6" hidden="1" x14ac:dyDescent="0.3">
      <c r="A60" s="140" t="s">
        <v>509</v>
      </c>
      <c r="B60" s="192">
        <v>979</v>
      </c>
      <c r="C60" s="193">
        <v>45531</v>
      </c>
      <c r="D60" s="195">
        <f>WEEKNUM(C60)</f>
        <v>35</v>
      </c>
      <c r="E60" s="195" t="s">
        <v>68</v>
      </c>
      <c r="F60" s="195" t="s">
        <v>327</v>
      </c>
      <c r="G60" s="140" t="s">
        <v>508</v>
      </c>
      <c r="H60" s="195" t="s">
        <v>190</v>
      </c>
      <c r="I60" s="195" t="s">
        <v>46</v>
      </c>
      <c r="J60" s="195">
        <v>2</v>
      </c>
      <c r="K60" s="196">
        <v>65</v>
      </c>
      <c r="L60" s="196">
        <f>K60*J60</f>
        <v>130</v>
      </c>
      <c r="M60" s="143">
        <v>0</v>
      </c>
      <c r="N60" s="197">
        <v>45545</v>
      </c>
      <c r="O60" s="157">
        <f>WEEKNUM(N60)</f>
        <v>37</v>
      </c>
      <c r="P60" s="198"/>
      <c r="Q60" s="140" t="s">
        <v>29</v>
      </c>
      <c r="R60" s="194"/>
      <c r="S60" s="194"/>
      <c r="T60" s="194"/>
      <c r="U60" s="194"/>
      <c r="V60" s="194"/>
    </row>
    <row r="61" spans="1:22" ht="15.6" hidden="1" x14ac:dyDescent="0.3">
      <c r="A61" s="140" t="s">
        <v>509</v>
      </c>
      <c r="B61" s="192">
        <v>979</v>
      </c>
      <c r="C61" s="193">
        <v>45531</v>
      </c>
      <c r="D61" s="195">
        <f>WEEKNUM(C61)</f>
        <v>35</v>
      </c>
      <c r="E61" s="195" t="s">
        <v>68</v>
      </c>
      <c r="F61" s="195" t="s">
        <v>327</v>
      </c>
      <c r="G61" s="140" t="s">
        <v>356</v>
      </c>
      <c r="H61" s="195" t="s">
        <v>321</v>
      </c>
      <c r="I61" s="195" t="s">
        <v>46</v>
      </c>
      <c r="J61" s="195">
        <v>1</v>
      </c>
      <c r="K61" s="196">
        <v>79.099999999999994</v>
      </c>
      <c r="L61" s="196">
        <f>K61*J61</f>
        <v>79.099999999999994</v>
      </c>
      <c r="M61" s="143">
        <v>0</v>
      </c>
      <c r="N61" s="197">
        <v>45545</v>
      </c>
      <c r="O61" s="157">
        <f>WEEKNUM(N61)</f>
        <v>37</v>
      </c>
      <c r="P61" s="198"/>
      <c r="Q61" s="140" t="s">
        <v>29</v>
      </c>
      <c r="R61" s="194"/>
      <c r="S61" s="194"/>
      <c r="T61" s="194"/>
      <c r="U61" s="194"/>
      <c r="V61" s="194"/>
    </row>
    <row r="62" spans="1:22" ht="15.6" hidden="1" x14ac:dyDescent="0.3">
      <c r="A62" s="140" t="s">
        <v>509</v>
      </c>
      <c r="B62" s="192">
        <v>979</v>
      </c>
      <c r="C62" s="193">
        <v>45531</v>
      </c>
      <c r="D62" s="195">
        <f>WEEKNUM(C62)</f>
        <v>35</v>
      </c>
      <c r="E62" s="195" t="s">
        <v>68</v>
      </c>
      <c r="F62" s="195" t="s">
        <v>327</v>
      </c>
      <c r="G62" s="142" t="s">
        <v>408</v>
      </c>
      <c r="H62" s="195" t="s">
        <v>80</v>
      </c>
      <c r="I62" s="195" t="s">
        <v>46</v>
      </c>
      <c r="J62" s="195">
        <v>2</v>
      </c>
      <c r="K62" s="196">
        <v>21</v>
      </c>
      <c r="L62" s="196">
        <f>K62*J62</f>
        <v>42</v>
      </c>
      <c r="M62" s="143">
        <v>0</v>
      </c>
      <c r="N62" s="197">
        <v>45545</v>
      </c>
      <c r="O62" s="157">
        <f>WEEKNUM(N62)</f>
        <v>37</v>
      </c>
      <c r="P62" s="198"/>
      <c r="Q62" s="140" t="s">
        <v>29</v>
      </c>
      <c r="R62" s="194"/>
      <c r="S62" s="194"/>
      <c r="T62" s="194"/>
      <c r="U62" s="194"/>
      <c r="V62" s="194"/>
    </row>
    <row r="63" spans="1:22" ht="15.6" hidden="1" x14ac:dyDescent="0.3">
      <c r="A63" s="140" t="s">
        <v>509</v>
      </c>
      <c r="B63" s="192">
        <v>981</v>
      </c>
      <c r="C63" s="193">
        <v>45532</v>
      </c>
      <c r="D63" s="195">
        <f>WEEKNUM(C63)</f>
        <v>35</v>
      </c>
      <c r="E63" s="195" t="s">
        <v>68</v>
      </c>
      <c r="F63" s="195" t="s">
        <v>306</v>
      </c>
      <c r="G63" s="195" t="s">
        <v>301</v>
      </c>
      <c r="H63" s="195" t="s">
        <v>74</v>
      </c>
      <c r="I63" s="195" t="s">
        <v>46</v>
      </c>
      <c r="J63" s="195">
        <v>13</v>
      </c>
      <c r="K63" s="196">
        <v>36.75</v>
      </c>
      <c r="L63" s="196">
        <f>K63*J63</f>
        <v>477.75</v>
      </c>
      <c r="M63" s="143">
        <v>0</v>
      </c>
      <c r="N63" s="197">
        <v>45538</v>
      </c>
      <c r="O63" s="157">
        <f>WEEKNUM(N63)</f>
        <v>36</v>
      </c>
      <c r="P63" s="198"/>
      <c r="Q63" s="140" t="s">
        <v>29</v>
      </c>
      <c r="R63" s="194"/>
      <c r="S63" s="194"/>
      <c r="T63" s="194"/>
      <c r="U63" s="194"/>
      <c r="V63" s="194"/>
    </row>
    <row r="64" spans="1:22" ht="15.6" hidden="1" x14ac:dyDescent="0.3">
      <c r="A64" s="140" t="s">
        <v>509</v>
      </c>
      <c r="B64" s="192">
        <v>981</v>
      </c>
      <c r="C64" s="193">
        <v>45532</v>
      </c>
      <c r="D64" s="195">
        <f>WEEKNUM(C64)</f>
        <v>35</v>
      </c>
      <c r="E64" s="195" t="s">
        <v>68</v>
      </c>
      <c r="F64" s="195" t="s">
        <v>306</v>
      </c>
      <c r="G64" s="195" t="s">
        <v>587</v>
      </c>
      <c r="H64" s="195" t="s">
        <v>74</v>
      </c>
      <c r="I64" s="195" t="s">
        <v>46</v>
      </c>
      <c r="J64" s="195">
        <v>13</v>
      </c>
      <c r="K64" s="196">
        <v>45</v>
      </c>
      <c r="L64" s="196">
        <f>K64*J64</f>
        <v>585</v>
      </c>
      <c r="M64" s="143">
        <v>0</v>
      </c>
      <c r="N64" s="197">
        <v>45538</v>
      </c>
      <c r="O64" s="157">
        <f>WEEKNUM(N64)</f>
        <v>36</v>
      </c>
      <c r="P64" s="198"/>
      <c r="Q64" s="140" t="s">
        <v>29</v>
      </c>
      <c r="R64" s="194"/>
      <c r="S64" s="194"/>
      <c r="T64" s="194"/>
      <c r="U64" s="194"/>
      <c r="V64" s="194"/>
    </row>
    <row r="65" spans="1:22" ht="15.6" hidden="1" x14ac:dyDescent="0.3">
      <c r="A65" s="140" t="s">
        <v>509</v>
      </c>
      <c r="B65" s="192">
        <v>981</v>
      </c>
      <c r="C65" s="193">
        <v>45532</v>
      </c>
      <c r="D65" s="195">
        <f>WEEKNUM(C65)</f>
        <v>35</v>
      </c>
      <c r="E65" s="195" t="s">
        <v>68</v>
      </c>
      <c r="F65" s="195" t="s">
        <v>306</v>
      </c>
      <c r="G65" s="142" t="s">
        <v>311</v>
      </c>
      <c r="H65" s="177" t="s">
        <v>51</v>
      </c>
      <c r="I65" s="195" t="s">
        <v>46</v>
      </c>
      <c r="J65" s="195">
        <v>15</v>
      </c>
      <c r="K65" s="196">
        <v>21</v>
      </c>
      <c r="L65" s="196">
        <f>K65*J65</f>
        <v>315</v>
      </c>
      <c r="M65" s="143">
        <v>0</v>
      </c>
      <c r="N65" s="197">
        <v>45538</v>
      </c>
      <c r="O65" s="157">
        <f>WEEKNUM(N65)</f>
        <v>36</v>
      </c>
      <c r="P65" s="198"/>
      <c r="Q65" s="140" t="s">
        <v>29</v>
      </c>
      <c r="R65" s="194"/>
      <c r="S65" s="194"/>
      <c r="T65" s="194"/>
      <c r="U65" s="194"/>
      <c r="V65" s="194"/>
    </row>
    <row r="66" spans="1:22" ht="15.6" hidden="1" x14ac:dyDescent="0.3">
      <c r="A66" s="140" t="s">
        <v>509</v>
      </c>
      <c r="B66" s="192">
        <v>981</v>
      </c>
      <c r="C66" s="193">
        <v>45532</v>
      </c>
      <c r="D66" s="195">
        <f>WEEKNUM(C66)</f>
        <v>35</v>
      </c>
      <c r="E66" s="195" t="s">
        <v>68</v>
      </c>
      <c r="F66" s="195" t="s">
        <v>306</v>
      </c>
      <c r="G66" s="142" t="s">
        <v>408</v>
      </c>
      <c r="H66" s="195" t="s">
        <v>80</v>
      </c>
      <c r="I66" s="195" t="s">
        <v>46</v>
      </c>
      <c r="J66" s="195">
        <v>5</v>
      </c>
      <c r="K66" s="196">
        <v>21</v>
      </c>
      <c r="L66" s="196">
        <f>K66*J66</f>
        <v>105</v>
      </c>
      <c r="M66" s="143">
        <v>0</v>
      </c>
      <c r="N66" s="197">
        <v>45538</v>
      </c>
      <c r="O66" s="157">
        <f>WEEKNUM(N66)</f>
        <v>36</v>
      </c>
      <c r="P66" s="198"/>
      <c r="Q66" s="140" t="s">
        <v>29</v>
      </c>
      <c r="R66" s="194"/>
      <c r="S66" s="194"/>
      <c r="T66" s="194"/>
      <c r="U66" s="194"/>
      <c r="V66" s="194"/>
    </row>
    <row r="67" spans="1:22" ht="15.6" hidden="1" x14ac:dyDescent="0.3">
      <c r="A67" s="140" t="s">
        <v>509</v>
      </c>
      <c r="B67" s="192">
        <v>993</v>
      </c>
      <c r="C67" s="193">
        <v>45534</v>
      </c>
      <c r="D67" s="195">
        <f>WEEKNUM(C67)</f>
        <v>35</v>
      </c>
      <c r="E67" s="195" t="s">
        <v>68</v>
      </c>
      <c r="F67" s="195" t="s">
        <v>327</v>
      </c>
      <c r="G67" s="195" t="s">
        <v>301</v>
      </c>
      <c r="H67" s="201" t="s">
        <v>74</v>
      </c>
      <c r="I67" s="195" t="s">
        <v>46</v>
      </c>
      <c r="J67" s="195">
        <v>4</v>
      </c>
      <c r="K67" s="196">
        <v>36.75</v>
      </c>
      <c r="L67" s="196">
        <f>K67*J67</f>
        <v>147</v>
      </c>
      <c r="M67" s="143">
        <v>0</v>
      </c>
      <c r="N67" s="197">
        <v>45548</v>
      </c>
      <c r="O67" s="157">
        <f>WEEKNUM(N67)</f>
        <v>37</v>
      </c>
      <c r="P67" s="198"/>
      <c r="Q67" s="140" t="s">
        <v>29</v>
      </c>
      <c r="R67" s="194"/>
      <c r="S67" s="194"/>
      <c r="T67" s="194"/>
      <c r="U67" s="194"/>
      <c r="V67" s="194"/>
    </row>
    <row r="68" spans="1:22" ht="15.6" hidden="1" x14ac:dyDescent="0.3">
      <c r="A68" s="140" t="s">
        <v>509</v>
      </c>
      <c r="B68" s="192">
        <v>993</v>
      </c>
      <c r="C68" s="193">
        <v>45534</v>
      </c>
      <c r="D68" s="195">
        <f>WEEKNUM(C68)</f>
        <v>35</v>
      </c>
      <c r="E68" s="195" t="s">
        <v>68</v>
      </c>
      <c r="F68" s="195" t="s">
        <v>327</v>
      </c>
      <c r="G68" s="142" t="s">
        <v>505</v>
      </c>
      <c r="H68" s="195" t="s">
        <v>190</v>
      </c>
      <c r="I68" s="142" t="s">
        <v>61</v>
      </c>
      <c r="J68" s="195">
        <v>4</v>
      </c>
      <c r="K68" s="196">
        <v>65</v>
      </c>
      <c r="L68" s="196">
        <f>K68*J68</f>
        <v>260</v>
      </c>
      <c r="M68" s="143">
        <v>0</v>
      </c>
      <c r="N68" s="197">
        <v>45548</v>
      </c>
      <c r="O68" s="157">
        <f>WEEKNUM(N68)</f>
        <v>37</v>
      </c>
      <c r="P68" s="198"/>
      <c r="Q68" s="140" t="s">
        <v>29</v>
      </c>
      <c r="R68" s="194"/>
      <c r="S68" s="194"/>
      <c r="T68" s="194"/>
      <c r="U68" s="194"/>
      <c r="V68" s="194"/>
    </row>
    <row r="69" spans="1:22" ht="15.6" hidden="1" x14ac:dyDescent="0.3">
      <c r="A69" s="140" t="s">
        <v>509</v>
      </c>
      <c r="B69" s="192">
        <v>993</v>
      </c>
      <c r="C69" s="193">
        <v>45534</v>
      </c>
      <c r="D69" s="195">
        <f>WEEKNUM(C69)</f>
        <v>35</v>
      </c>
      <c r="E69" s="195" t="s">
        <v>68</v>
      </c>
      <c r="F69" s="195" t="s">
        <v>327</v>
      </c>
      <c r="G69" s="195" t="s">
        <v>320</v>
      </c>
      <c r="H69" s="195" t="s">
        <v>321</v>
      </c>
      <c r="I69" s="195" t="s">
        <v>46</v>
      </c>
      <c r="J69" s="195">
        <v>5</v>
      </c>
      <c r="K69" s="196">
        <v>78</v>
      </c>
      <c r="L69" s="196">
        <f>K69*J69</f>
        <v>390</v>
      </c>
      <c r="M69" s="143">
        <v>0</v>
      </c>
      <c r="N69" s="197">
        <v>45548</v>
      </c>
      <c r="O69" s="157">
        <f>WEEKNUM(N69)</f>
        <v>37</v>
      </c>
      <c r="P69" s="198"/>
      <c r="Q69" s="140" t="s">
        <v>29</v>
      </c>
      <c r="R69" s="194"/>
      <c r="S69" s="194"/>
      <c r="T69" s="194"/>
      <c r="U69" s="194"/>
      <c r="V69" s="194"/>
    </row>
    <row r="70" spans="1:22" ht="15.6" hidden="1" x14ac:dyDescent="0.3">
      <c r="A70" s="140" t="s">
        <v>509</v>
      </c>
      <c r="B70" s="192">
        <v>993</v>
      </c>
      <c r="C70" s="193">
        <v>45534</v>
      </c>
      <c r="D70" s="195">
        <f>WEEKNUM(C70)</f>
        <v>35</v>
      </c>
      <c r="E70" s="195" t="s">
        <v>68</v>
      </c>
      <c r="F70" s="195" t="s">
        <v>327</v>
      </c>
      <c r="G70" s="195" t="s">
        <v>880</v>
      </c>
      <c r="H70" s="195" t="s">
        <v>74</v>
      </c>
      <c r="I70" s="195" t="s">
        <v>46</v>
      </c>
      <c r="J70" s="195">
        <v>6</v>
      </c>
      <c r="K70" s="196">
        <v>36.75</v>
      </c>
      <c r="L70" s="196">
        <f>K70*J70</f>
        <v>220.5</v>
      </c>
      <c r="M70" s="143">
        <v>0</v>
      </c>
      <c r="N70" s="197">
        <v>45548</v>
      </c>
      <c r="O70" s="157">
        <f>WEEKNUM(N70)</f>
        <v>37</v>
      </c>
      <c r="P70" s="198"/>
      <c r="Q70" s="140" t="s">
        <v>29</v>
      </c>
      <c r="R70" s="194"/>
      <c r="S70" s="194"/>
      <c r="T70" s="194"/>
      <c r="U70" s="194"/>
      <c r="V70" s="194"/>
    </row>
    <row r="71" spans="1:22" ht="15.6" hidden="1" x14ac:dyDescent="0.3">
      <c r="A71" s="140" t="s">
        <v>509</v>
      </c>
      <c r="B71" s="192">
        <v>993</v>
      </c>
      <c r="C71" s="193">
        <v>45534</v>
      </c>
      <c r="D71" s="195">
        <f>WEEKNUM(C71)</f>
        <v>35</v>
      </c>
      <c r="E71" s="195" t="s">
        <v>68</v>
      </c>
      <c r="F71" s="195" t="s">
        <v>327</v>
      </c>
      <c r="G71" s="195" t="s">
        <v>307</v>
      </c>
      <c r="H71" s="195" t="s">
        <v>74</v>
      </c>
      <c r="I71" s="195" t="s">
        <v>46</v>
      </c>
      <c r="J71" s="195">
        <v>6</v>
      </c>
      <c r="K71" s="196">
        <v>45</v>
      </c>
      <c r="L71" s="196">
        <f>K71*J71</f>
        <v>270</v>
      </c>
      <c r="M71" s="143">
        <v>0</v>
      </c>
      <c r="N71" s="197">
        <v>45548</v>
      </c>
      <c r="O71" s="157">
        <f>WEEKNUM(N71)</f>
        <v>37</v>
      </c>
      <c r="P71" s="198"/>
      <c r="Q71" s="140" t="s">
        <v>29</v>
      </c>
      <c r="R71" s="194"/>
      <c r="S71" s="194"/>
      <c r="T71" s="194"/>
      <c r="U71" s="194"/>
      <c r="V71" s="194"/>
    </row>
    <row r="72" spans="1:22" ht="15.6" hidden="1" x14ac:dyDescent="0.3">
      <c r="A72" s="140" t="s">
        <v>509</v>
      </c>
      <c r="B72" s="192">
        <v>993</v>
      </c>
      <c r="C72" s="193">
        <v>45534</v>
      </c>
      <c r="D72" s="195">
        <f>WEEKNUM(C72)</f>
        <v>35</v>
      </c>
      <c r="E72" s="195" t="s">
        <v>68</v>
      </c>
      <c r="F72" s="195" t="s">
        <v>327</v>
      </c>
      <c r="G72" s="140" t="s">
        <v>508</v>
      </c>
      <c r="H72" s="195" t="s">
        <v>190</v>
      </c>
      <c r="I72" s="195" t="s">
        <v>46</v>
      </c>
      <c r="J72" s="195">
        <v>6</v>
      </c>
      <c r="K72" s="196">
        <v>65</v>
      </c>
      <c r="L72" s="196">
        <f>K72*J72</f>
        <v>390</v>
      </c>
      <c r="M72" s="143">
        <v>0</v>
      </c>
      <c r="N72" s="197">
        <v>45548</v>
      </c>
      <c r="O72" s="157">
        <f>WEEKNUM(N72)</f>
        <v>37</v>
      </c>
      <c r="P72" s="198"/>
      <c r="Q72" s="140" t="s">
        <v>29</v>
      </c>
      <c r="R72" s="194"/>
      <c r="S72" s="194"/>
      <c r="T72" s="194"/>
      <c r="U72" s="194"/>
      <c r="V72" s="194"/>
    </row>
    <row r="73" spans="1:22" ht="15.6" hidden="1" x14ac:dyDescent="0.3">
      <c r="A73" s="140" t="s">
        <v>509</v>
      </c>
      <c r="B73" s="192">
        <v>993</v>
      </c>
      <c r="C73" s="193">
        <v>45534</v>
      </c>
      <c r="D73" s="195">
        <f>WEEKNUM(C73)</f>
        <v>35</v>
      </c>
      <c r="E73" s="195" t="s">
        <v>68</v>
      </c>
      <c r="F73" s="195" t="s">
        <v>327</v>
      </c>
      <c r="G73" s="142" t="s">
        <v>311</v>
      </c>
      <c r="H73" s="195" t="s">
        <v>51</v>
      </c>
      <c r="I73" s="195" t="s">
        <v>46</v>
      </c>
      <c r="J73" s="195">
        <v>10</v>
      </c>
      <c r="K73" s="196">
        <v>21</v>
      </c>
      <c r="L73" s="196">
        <f>K73*J73</f>
        <v>210</v>
      </c>
      <c r="M73" s="143">
        <v>0</v>
      </c>
      <c r="N73" s="197">
        <v>45548</v>
      </c>
      <c r="O73" s="157">
        <f>WEEKNUM(N73)</f>
        <v>37</v>
      </c>
      <c r="P73" s="198"/>
      <c r="Q73" s="140" t="s">
        <v>29</v>
      </c>
      <c r="R73" s="194"/>
      <c r="S73" s="194"/>
      <c r="T73" s="194"/>
      <c r="U73" s="194"/>
      <c r="V73" s="194"/>
    </row>
    <row r="74" spans="1:22" ht="15.6" hidden="1" x14ac:dyDescent="0.3">
      <c r="A74" s="140" t="s">
        <v>509</v>
      </c>
      <c r="B74" s="192">
        <v>996</v>
      </c>
      <c r="C74" s="193">
        <v>45538</v>
      </c>
      <c r="D74" s="195">
        <f>WEEKNUM(C74)</f>
        <v>36</v>
      </c>
      <c r="E74" s="195" t="s">
        <v>68</v>
      </c>
      <c r="F74" s="142" t="s">
        <v>329</v>
      </c>
      <c r="G74" s="142" t="s">
        <v>311</v>
      </c>
      <c r="H74" s="195" t="s">
        <v>51</v>
      </c>
      <c r="I74" s="195" t="s">
        <v>46</v>
      </c>
      <c r="J74" s="195">
        <v>10</v>
      </c>
      <c r="K74" s="196">
        <v>21</v>
      </c>
      <c r="L74" s="196">
        <f>K74*J74</f>
        <v>210</v>
      </c>
      <c r="M74" s="143">
        <v>0</v>
      </c>
      <c r="N74" s="197">
        <v>45548</v>
      </c>
      <c r="O74" s="157">
        <f>WEEKNUM(N74)</f>
        <v>37</v>
      </c>
      <c r="P74" s="198"/>
      <c r="Q74" s="140" t="s">
        <v>29</v>
      </c>
      <c r="R74" s="194"/>
      <c r="S74" s="194"/>
      <c r="T74" s="194"/>
      <c r="U74" s="194"/>
      <c r="V74" s="194"/>
    </row>
    <row r="75" spans="1:22" ht="15.6" hidden="1" x14ac:dyDescent="0.3">
      <c r="A75" s="140" t="s">
        <v>509</v>
      </c>
      <c r="B75" s="192">
        <v>996</v>
      </c>
      <c r="C75" s="193">
        <v>45538</v>
      </c>
      <c r="D75" s="195">
        <f>WEEKNUM(C75)</f>
        <v>36</v>
      </c>
      <c r="E75" s="195" t="s">
        <v>68</v>
      </c>
      <c r="F75" s="142" t="s">
        <v>329</v>
      </c>
      <c r="G75" s="195" t="s">
        <v>309</v>
      </c>
      <c r="H75" s="195" t="s">
        <v>74</v>
      </c>
      <c r="I75" s="195" t="s">
        <v>46</v>
      </c>
      <c r="J75" s="195">
        <v>2</v>
      </c>
      <c r="K75" s="196">
        <v>47.5</v>
      </c>
      <c r="L75" s="196">
        <f>K75*J75</f>
        <v>95</v>
      </c>
      <c r="M75" s="143">
        <v>0</v>
      </c>
      <c r="N75" s="197">
        <v>45548</v>
      </c>
      <c r="O75" s="157">
        <f>WEEKNUM(N75)</f>
        <v>37</v>
      </c>
      <c r="P75" s="198"/>
      <c r="Q75" s="140" t="s">
        <v>29</v>
      </c>
      <c r="R75" s="194"/>
      <c r="S75" s="194"/>
      <c r="T75" s="194"/>
      <c r="U75" s="194"/>
      <c r="V75" s="194"/>
    </row>
    <row r="76" spans="1:22" ht="15.6" hidden="1" x14ac:dyDescent="0.3">
      <c r="A76" s="140" t="s">
        <v>509</v>
      </c>
      <c r="B76" s="192">
        <v>996</v>
      </c>
      <c r="C76" s="193">
        <v>45538</v>
      </c>
      <c r="D76" s="195">
        <f>WEEKNUM(C76)</f>
        <v>36</v>
      </c>
      <c r="E76" s="195" t="s">
        <v>68</v>
      </c>
      <c r="F76" s="142" t="s">
        <v>329</v>
      </c>
      <c r="G76" s="195" t="s">
        <v>307</v>
      </c>
      <c r="H76" s="195" t="s">
        <v>74</v>
      </c>
      <c r="I76" s="195" t="s">
        <v>46</v>
      </c>
      <c r="J76" s="195">
        <v>2</v>
      </c>
      <c r="K76" s="196">
        <v>47.5</v>
      </c>
      <c r="L76" s="196">
        <f>K76*J76</f>
        <v>95</v>
      </c>
      <c r="M76" s="143">
        <v>0</v>
      </c>
      <c r="N76" s="197">
        <v>45548</v>
      </c>
      <c r="O76" s="157">
        <f>WEEKNUM(N76)</f>
        <v>37</v>
      </c>
      <c r="P76" s="198"/>
      <c r="Q76" s="140" t="s">
        <v>29</v>
      </c>
      <c r="R76" s="194"/>
      <c r="S76" s="194"/>
      <c r="T76" s="194"/>
      <c r="U76" s="194"/>
      <c r="V76" s="194"/>
    </row>
    <row r="77" spans="1:22" ht="15.6" hidden="1" x14ac:dyDescent="0.3">
      <c r="A77" s="140" t="s">
        <v>509</v>
      </c>
      <c r="B77" s="192">
        <v>996</v>
      </c>
      <c r="C77" s="193">
        <v>45538</v>
      </c>
      <c r="D77" s="195">
        <f>WEEKNUM(C77)</f>
        <v>36</v>
      </c>
      <c r="E77" s="195" t="s">
        <v>68</v>
      </c>
      <c r="F77" s="142" t="s">
        <v>329</v>
      </c>
      <c r="G77" s="195" t="s">
        <v>301</v>
      </c>
      <c r="H77" s="195" t="s">
        <v>74</v>
      </c>
      <c r="I77" s="195" t="s">
        <v>46</v>
      </c>
      <c r="J77" s="195">
        <v>8</v>
      </c>
      <c r="K77" s="196">
        <v>36.75</v>
      </c>
      <c r="L77" s="196">
        <f>K77*J77</f>
        <v>294</v>
      </c>
      <c r="M77" s="143">
        <v>0</v>
      </c>
      <c r="N77" s="197">
        <v>45548</v>
      </c>
      <c r="O77" s="157">
        <f>WEEKNUM(N77)</f>
        <v>37</v>
      </c>
      <c r="P77" s="198"/>
      <c r="Q77" s="140" t="s">
        <v>29</v>
      </c>
      <c r="R77" s="194"/>
      <c r="S77" s="194"/>
      <c r="T77" s="194"/>
      <c r="U77" s="194"/>
      <c r="V77" s="194"/>
    </row>
    <row r="78" spans="1:22" ht="15.6" hidden="1" x14ac:dyDescent="0.3">
      <c r="A78" s="140" t="s">
        <v>509</v>
      </c>
      <c r="B78" s="192">
        <v>996</v>
      </c>
      <c r="C78" s="193">
        <v>45538</v>
      </c>
      <c r="D78" s="195">
        <f>WEEKNUM(C78)</f>
        <v>36</v>
      </c>
      <c r="E78" s="195" t="s">
        <v>68</v>
      </c>
      <c r="F78" s="142" t="s">
        <v>329</v>
      </c>
      <c r="G78" s="195" t="s">
        <v>308</v>
      </c>
      <c r="H78" s="195" t="s">
        <v>74</v>
      </c>
      <c r="I78" s="195" t="s">
        <v>46</v>
      </c>
      <c r="J78" s="195">
        <v>2</v>
      </c>
      <c r="K78" s="196">
        <v>36.75</v>
      </c>
      <c r="L78" s="196">
        <f>K78*J78</f>
        <v>73.5</v>
      </c>
      <c r="M78" s="143">
        <v>0</v>
      </c>
      <c r="N78" s="197">
        <v>45548</v>
      </c>
      <c r="O78" s="157">
        <f>WEEKNUM(N78)</f>
        <v>37</v>
      </c>
      <c r="P78" s="198"/>
      <c r="Q78" s="140" t="s">
        <v>29</v>
      </c>
      <c r="R78" s="194"/>
      <c r="S78" s="194"/>
      <c r="T78" s="194"/>
      <c r="U78" s="194"/>
      <c r="V78" s="194"/>
    </row>
    <row r="79" spans="1:22" ht="15.6" hidden="1" x14ac:dyDescent="0.3">
      <c r="A79" s="140" t="s">
        <v>509</v>
      </c>
      <c r="B79" s="192">
        <v>996</v>
      </c>
      <c r="C79" s="193">
        <v>45538</v>
      </c>
      <c r="D79" s="195">
        <f>WEEKNUM(C79)</f>
        <v>36</v>
      </c>
      <c r="E79" s="195" t="s">
        <v>68</v>
      </c>
      <c r="F79" s="142" t="s">
        <v>329</v>
      </c>
      <c r="G79" s="142" t="s">
        <v>408</v>
      </c>
      <c r="H79" s="195" t="s">
        <v>80</v>
      </c>
      <c r="I79" s="195" t="s">
        <v>46</v>
      </c>
      <c r="J79" s="195">
        <v>1</v>
      </c>
      <c r="K79" s="196">
        <v>21</v>
      </c>
      <c r="L79" s="196">
        <f>K79*J79</f>
        <v>21</v>
      </c>
      <c r="M79" s="143">
        <v>0</v>
      </c>
      <c r="N79" s="197">
        <v>45548</v>
      </c>
      <c r="O79" s="157">
        <f>WEEKNUM(N79)</f>
        <v>37</v>
      </c>
      <c r="P79" s="198"/>
      <c r="Q79" s="140" t="s">
        <v>29</v>
      </c>
      <c r="R79" s="194"/>
      <c r="S79" s="194"/>
      <c r="T79" s="194"/>
      <c r="U79" s="194"/>
      <c r="V79" s="194"/>
    </row>
    <row r="80" spans="1:22" ht="15.6" hidden="1" x14ac:dyDescent="0.3">
      <c r="A80" s="140" t="s">
        <v>509</v>
      </c>
      <c r="B80" s="192">
        <v>995</v>
      </c>
      <c r="C80" s="193">
        <v>45538</v>
      </c>
      <c r="D80" s="195">
        <f>WEEKNUM(C80)</f>
        <v>36</v>
      </c>
      <c r="E80" s="195" t="s">
        <v>68</v>
      </c>
      <c r="F80" s="195" t="s">
        <v>319</v>
      </c>
      <c r="G80" s="195" t="s">
        <v>308</v>
      </c>
      <c r="H80" s="195" t="s">
        <v>74</v>
      </c>
      <c r="I80" s="195" t="s">
        <v>46</v>
      </c>
      <c r="J80" s="195">
        <v>12</v>
      </c>
      <c r="K80" s="196">
        <v>36.75</v>
      </c>
      <c r="L80" s="196">
        <f>K80*J80</f>
        <v>441</v>
      </c>
      <c r="M80" s="143">
        <v>0</v>
      </c>
      <c r="N80" s="197">
        <v>45538</v>
      </c>
      <c r="O80" s="157">
        <f>WEEKNUM(N80)</f>
        <v>36</v>
      </c>
      <c r="P80" s="198"/>
      <c r="Q80" s="140" t="s">
        <v>29</v>
      </c>
      <c r="R80" s="194"/>
      <c r="S80" s="194"/>
      <c r="T80" s="194"/>
      <c r="U80" s="194"/>
      <c r="V80" s="194"/>
    </row>
    <row r="81" spans="1:22" ht="15.6" hidden="1" x14ac:dyDescent="0.3">
      <c r="A81" s="140" t="s">
        <v>509</v>
      </c>
      <c r="B81" s="192">
        <v>995</v>
      </c>
      <c r="C81" s="193">
        <v>45538</v>
      </c>
      <c r="D81" s="195">
        <f>WEEKNUM(C81)</f>
        <v>36</v>
      </c>
      <c r="E81" s="195" t="s">
        <v>68</v>
      </c>
      <c r="F81" s="195" t="s">
        <v>319</v>
      </c>
      <c r="G81" s="195" t="s">
        <v>301</v>
      </c>
      <c r="H81" s="195" t="s">
        <v>74</v>
      </c>
      <c r="I81" s="195" t="s">
        <v>46</v>
      </c>
      <c r="J81" s="195">
        <v>6</v>
      </c>
      <c r="K81" s="196">
        <v>36.75</v>
      </c>
      <c r="L81" s="196">
        <f>K81*J81</f>
        <v>220.5</v>
      </c>
      <c r="M81" s="143">
        <v>0</v>
      </c>
      <c r="N81" s="197">
        <v>45538</v>
      </c>
      <c r="O81" s="157">
        <f>WEEKNUM(N81)</f>
        <v>36</v>
      </c>
      <c r="P81" s="198"/>
      <c r="Q81" s="140" t="s">
        <v>29</v>
      </c>
      <c r="R81" s="194"/>
      <c r="S81" s="194"/>
      <c r="T81" s="194"/>
      <c r="U81" s="194"/>
      <c r="V81" s="194"/>
    </row>
    <row r="82" spans="1:22" ht="15.6" hidden="1" x14ac:dyDescent="0.3">
      <c r="A82" s="140" t="s">
        <v>509</v>
      </c>
      <c r="B82" s="192">
        <v>998</v>
      </c>
      <c r="C82" s="193">
        <v>45544</v>
      </c>
      <c r="D82" s="195">
        <f>WEEKNUM(C82)</f>
        <v>37</v>
      </c>
      <c r="E82" s="195" t="s">
        <v>68</v>
      </c>
      <c r="F82" s="195" t="s">
        <v>330</v>
      </c>
      <c r="G82" s="195" t="s">
        <v>301</v>
      </c>
      <c r="H82" s="195" t="s">
        <v>74</v>
      </c>
      <c r="I82" s="195" t="s">
        <v>46</v>
      </c>
      <c r="J82" s="195">
        <v>5</v>
      </c>
      <c r="K82" s="196">
        <v>36.75</v>
      </c>
      <c r="L82" s="196">
        <f>K82*J82</f>
        <v>183.75</v>
      </c>
      <c r="M82" s="143">
        <v>0</v>
      </c>
      <c r="N82" s="197">
        <v>45585</v>
      </c>
      <c r="O82" s="157">
        <f>WEEKNUM(N82)</f>
        <v>43</v>
      </c>
      <c r="P82" s="198"/>
      <c r="Q82" s="140" t="s">
        <v>29</v>
      </c>
      <c r="R82" s="194"/>
      <c r="S82" s="194"/>
      <c r="T82" s="194"/>
      <c r="U82" s="194"/>
      <c r="V82" s="194"/>
    </row>
    <row r="83" spans="1:22" ht="15.6" hidden="1" x14ac:dyDescent="0.3">
      <c r="A83" s="140" t="s">
        <v>509</v>
      </c>
      <c r="B83" s="192">
        <v>1003</v>
      </c>
      <c r="C83" s="193">
        <v>45548</v>
      </c>
      <c r="D83" s="195">
        <f>WEEKNUM(C83)</f>
        <v>37</v>
      </c>
      <c r="E83" s="195" t="s">
        <v>68</v>
      </c>
      <c r="F83" s="195" t="s">
        <v>331</v>
      </c>
      <c r="G83" s="195" t="s">
        <v>332</v>
      </c>
      <c r="H83" s="195" t="s">
        <v>74</v>
      </c>
      <c r="I83" s="195" t="s">
        <v>46</v>
      </c>
      <c r="J83" s="195">
        <v>3</v>
      </c>
      <c r="K83" s="196">
        <v>47.5</v>
      </c>
      <c r="L83" s="196">
        <f>K83*J83</f>
        <v>142.5</v>
      </c>
      <c r="M83" s="143">
        <v>0</v>
      </c>
      <c r="N83" s="197">
        <v>45569</v>
      </c>
      <c r="O83" s="157">
        <f>WEEKNUM(N83)</f>
        <v>40</v>
      </c>
      <c r="P83" s="198"/>
      <c r="Q83" s="140" t="s">
        <v>29</v>
      </c>
      <c r="R83" s="194"/>
      <c r="S83" s="194"/>
      <c r="T83" s="194"/>
      <c r="U83" s="194"/>
      <c r="V83" s="194"/>
    </row>
    <row r="84" spans="1:22" ht="15.6" hidden="1" x14ac:dyDescent="0.3">
      <c r="A84" s="140" t="s">
        <v>509</v>
      </c>
      <c r="B84" s="192">
        <v>1003</v>
      </c>
      <c r="C84" s="193">
        <v>45548</v>
      </c>
      <c r="D84" s="195">
        <f>WEEKNUM(C84)</f>
        <v>37</v>
      </c>
      <c r="E84" s="195" t="s">
        <v>68</v>
      </c>
      <c r="F84" s="195" t="s">
        <v>331</v>
      </c>
      <c r="G84" s="142" t="s">
        <v>311</v>
      </c>
      <c r="H84" s="195" t="s">
        <v>51</v>
      </c>
      <c r="I84" s="195" t="s">
        <v>46</v>
      </c>
      <c r="J84" s="195">
        <v>4</v>
      </c>
      <c r="K84" s="196">
        <v>21</v>
      </c>
      <c r="L84" s="196">
        <f>K84*J84</f>
        <v>84</v>
      </c>
      <c r="M84" s="143">
        <v>0</v>
      </c>
      <c r="N84" s="197">
        <v>45569</v>
      </c>
      <c r="O84" s="157">
        <f>WEEKNUM(N84)</f>
        <v>40</v>
      </c>
      <c r="P84" s="198"/>
      <c r="Q84" s="140" t="s">
        <v>29</v>
      </c>
      <c r="R84" s="194"/>
      <c r="S84" s="194"/>
      <c r="T84" s="248"/>
      <c r="U84" s="194"/>
      <c r="V84" s="194"/>
    </row>
    <row r="85" spans="1:22" ht="15.6" hidden="1" x14ac:dyDescent="0.3">
      <c r="A85" s="140" t="s">
        <v>509</v>
      </c>
      <c r="B85" s="192">
        <v>1003</v>
      </c>
      <c r="C85" s="193">
        <v>45548</v>
      </c>
      <c r="D85" s="195">
        <f>WEEKNUM(C85)</f>
        <v>37</v>
      </c>
      <c r="E85" s="195" t="s">
        <v>68</v>
      </c>
      <c r="F85" s="195" t="s">
        <v>331</v>
      </c>
      <c r="G85" s="195" t="s">
        <v>308</v>
      </c>
      <c r="H85" s="195" t="s">
        <v>74</v>
      </c>
      <c r="I85" s="195" t="s">
        <v>46</v>
      </c>
      <c r="J85" s="195">
        <v>2</v>
      </c>
      <c r="K85" s="196">
        <v>36.75</v>
      </c>
      <c r="L85" s="196">
        <f>K85*J85</f>
        <v>73.5</v>
      </c>
      <c r="M85" s="143">
        <v>0</v>
      </c>
      <c r="N85" s="197">
        <v>45569</v>
      </c>
      <c r="O85" s="157">
        <f>WEEKNUM(N85)</f>
        <v>40</v>
      </c>
      <c r="P85" s="198"/>
      <c r="Q85" s="140" t="s">
        <v>29</v>
      </c>
      <c r="R85" s="194"/>
      <c r="S85" s="194"/>
      <c r="T85" s="248"/>
      <c r="U85" s="194"/>
      <c r="V85" s="194"/>
    </row>
    <row r="86" spans="1:22" ht="15.6" hidden="1" x14ac:dyDescent="0.3">
      <c r="A86" s="140" t="s">
        <v>509</v>
      </c>
      <c r="B86" s="192">
        <v>1006</v>
      </c>
      <c r="C86" s="193">
        <v>45553</v>
      </c>
      <c r="D86" s="195">
        <f>WEEKNUM(C86)</f>
        <v>38</v>
      </c>
      <c r="E86" s="195" t="s">
        <v>68</v>
      </c>
      <c r="F86" s="195" t="s">
        <v>333</v>
      </c>
      <c r="G86" s="142" t="s">
        <v>311</v>
      </c>
      <c r="H86" s="195" t="s">
        <v>51</v>
      </c>
      <c r="I86" s="195" t="s">
        <v>46</v>
      </c>
      <c r="J86" s="195">
        <v>5</v>
      </c>
      <c r="K86" s="196">
        <v>21</v>
      </c>
      <c r="L86" s="196">
        <f>K86*J86</f>
        <v>105</v>
      </c>
      <c r="M86" s="143">
        <v>0</v>
      </c>
      <c r="N86" s="197">
        <v>45553</v>
      </c>
      <c r="O86" s="157">
        <f>WEEKNUM(N86)</f>
        <v>38</v>
      </c>
      <c r="P86" s="198"/>
      <c r="Q86" s="140" t="s">
        <v>29</v>
      </c>
      <c r="R86" s="196"/>
      <c r="S86" s="196"/>
      <c r="T86" s="248"/>
      <c r="U86" s="194"/>
      <c r="V86" s="194"/>
    </row>
    <row r="87" spans="1:22" ht="15.6" hidden="1" x14ac:dyDescent="0.3">
      <c r="A87" s="140" t="s">
        <v>509</v>
      </c>
      <c r="B87" s="192">
        <v>1006</v>
      </c>
      <c r="C87" s="193">
        <v>45553</v>
      </c>
      <c r="D87" s="195">
        <f>WEEKNUM(C87)</f>
        <v>38</v>
      </c>
      <c r="E87" s="195" t="s">
        <v>68</v>
      </c>
      <c r="F87" s="195" t="s">
        <v>333</v>
      </c>
      <c r="G87" s="142" t="s">
        <v>408</v>
      </c>
      <c r="H87" s="195" t="s">
        <v>80</v>
      </c>
      <c r="I87" s="195" t="s">
        <v>46</v>
      </c>
      <c r="J87" s="195">
        <v>3</v>
      </c>
      <c r="K87" s="196">
        <v>19</v>
      </c>
      <c r="L87" s="196">
        <f>K87*J87</f>
        <v>57</v>
      </c>
      <c r="M87" s="143">
        <v>0</v>
      </c>
      <c r="N87" s="197">
        <v>45553</v>
      </c>
      <c r="O87" s="157">
        <f>WEEKNUM(N87)</f>
        <v>38</v>
      </c>
      <c r="P87" s="198"/>
      <c r="Q87" s="140" t="s">
        <v>29</v>
      </c>
      <c r="R87" s="196"/>
      <c r="S87" s="196"/>
      <c r="T87" s="249"/>
      <c r="U87" s="249"/>
      <c r="V87" s="249"/>
    </row>
    <row r="88" spans="1:22" ht="15.6" hidden="1" x14ac:dyDescent="0.3">
      <c r="A88" s="140" t="s">
        <v>509</v>
      </c>
      <c r="B88" s="192">
        <v>1006</v>
      </c>
      <c r="C88" s="193">
        <v>45553</v>
      </c>
      <c r="D88" s="195">
        <f>WEEKNUM(C88)</f>
        <v>38</v>
      </c>
      <c r="E88" s="195" t="s">
        <v>68</v>
      </c>
      <c r="F88" s="195" t="s">
        <v>333</v>
      </c>
      <c r="G88" s="195" t="s">
        <v>301</v>
      </c>
      <c r="H88" s="195" t="s">
        <v>74</v>
      </c>
      <c r="I88" s="195" t="s">
        <v>46</v>
      </c>
      <c r="J88" s="195">
        <v>8</v>
      </c>
      <c r="K88" s="196">
        <v>37.5</v>
      </c>
      <c r="L88" s="196">
        <f>K88*J88</f>
        <v>300</v>
      </c>
      <c r="M88" s="143">
        <v>0</v>
      </c>
      <c r="N88" s="197">
        <v>45553</v>
      </c>
      <c r="O88" s="157">
        <f>WEEKNUM(N88)</f>
        <v>38</v>
      </c>
      <c r="P88" s="198"/>
      <c r="Q88" s="140" t="s">
        <v>29</v>
      </c>
      <c r="R88" s="196"/>
      <c r="S88" s="196"/>
      <c r="T88" s="249"/>
      <c r="U88" s="249"/>
      <c r="V88" s="249"/>
    </row>
    <row r="89" spans="1:22" ht="15.6" hidden="1" x14ac:dyDescent="0.3">
      <c r="A89" s="140" t="s">
        <v>509</v>
      </c>
      <c r="B89" s="195">
        <v>1042</v>
      </c>
      <c r="C89" s="197">
        <v>45555</v>
      </c>
      <c r="D89" s="195">
        <f>WEEKNUM(C89)</f>
        <v>38</v>
      </c>
      <c r="E89" s="195" t="s">
        <v>68</v>
      </c>
      <c r="F89" s="195" t="s">
        <v>334</v>
      </c>
      <c r="G89" s="195" t="s">
        <v>301</v>
      </c>
      <c r="H89" s="195" t="s">
        <v>74</v>
      </c>
      <c r="I89" s="195" t="s">
        <v>46</v>
      </c>
      <c r="J89" s="195">
        <v>45</v>
      </c>
      <c r="K89" s="196">
        <v>36.75</v>
      </c>
      <c r="L89" s="196">
        <f>K89*J89</f>
        <v>1653.75</v>
      </c>
      <c r="M89" s="143">
        <v>0</v>
      </c>
      <c r="N89" s="197">
        <v>45589</v>
      </c>
      <c r="O89" s="157">
        <f>WEEKNUM(N89)</f>
        <v>43</v>
      </c>
      <c r="P89" s="198"/>
      <c r="Q89" s="140" t="s">
        <v>29</v>
      </c>
      <c r="R89" s="196"/>
      <c r="S89" s="196"/>
      <c r="T89" s="248"/>
      <c r="U89" s="194"/>
      <c r="V89" s="194"/>
    </row>
    <row r="90" spans="1:22" ht="16.95" hidden="1" customHeight="1" x14ac:dyDescent="0.3">
      <c r="A90" s="140" t="s">
        <v>509</v>
      </c>
      <c r="B90" s="195">
        <v>1042</v>
      </c>
      <c r="C90" s="197">
        <v>45555</v>
      </c>
      <c r="D90" s="195">
        <f>WEEKNUM(C90)</f>
        <v>38</v>
      </c>
      <c r="E90" s="195" t="s">
        <v>68</v>
      </c>
      <c r="F90" s="195" t="s">
        <v>334</v>
      </c>
      <c r="G90" s="195" t="s">
        <v>307</v>
      </c>
      <c r="H90" s="195" t="s">
        <v>74</v>
      </c>
      <c r="I90" s="195" t="s">
        <v>46</v>
      </c>
      <c r="J90" s="195">
        <v>70</v>
      </c>
      <c r="K90" s="196">
        <v>45</v>
      </c>
      <c r="L90" s="196">
        <f>K90*J90</f>
        <v>3150</v>
      </c>
      <c r="M90" s="143">
        <v>0</v>
      </c>
      <c r="N90" s="197">
        <v>45589</v>
      </c>
      <c r="O90" s="157">
        <f>WEEKNUM(N90)</f>
        <v>43</v>
      </c>
      <c r="P90" s="198"/>
      <c r="Q90" s="140" t="s">
        <v>29</v>
      </c>
      <c r="R90" s="196"/>
      <c r="S90" s="196"/>
      <c r="T90" s="248"/>
      <c r="U90" s="194"/>
      <c r="V90" s="194"/>
    </row>
    <row r="91" spans="1:22" ht="16.95" hidden="1" customHeight="1" x14ac:dyDescent="0.3">
      <c r="A91" s="140" t="s">
        <v>509</v>
      </c>
      <c r="B91" s="195">
        <v>1042</v>
      </c>
      <c r="C91" s="197">
        <v>45555</v>
      </c>
      <c r="D91" s="195">
        <f>WEEKNUM(C91)</f>
        <v>38</v>
      </c>
      <c r="E91" s="195" t="s">
        <v>68</v>
      </c>
      <c r="F91" s="195" t="s">
        <v>334</v>
      </c>
      <c r="G91" s="142" t="s">
        <v>408</v>
      </c>
      <c r="H91" s="195" t="s">
        <v>80</v>
      </c>
      <c r="I91" s="195" t="s">
        <v>46</v>
      </c>
      <c r="J91" s="195">
        <v>10</v>
      </c>
      <c r="K91" s="196">
        <v>21</v>
      </c>
      <c r="L91" s="196">
        <f>K91*J91</f>
        <v>210</v>
      </c>
      <c r="M91" s="143">
        <v>0</v>
      </c>
      <c r="N91" s="197">
        <v>45589</v>
      </c>
      <c r="O91" s="157">
        <f>WEEKNUM(N91)</f>
        <v>43</v>
      </c>
      <c r="P91" s="198"/>
      <c r="Q91" s="140" t="s">
        <v>29</v>
      </c>
      <c r="R91" s="196"/>
      <c r="S91" s="196"/>
      <c r="T91" s="248"/>
      <c r="U91" s="194"/>
      <c r="V91" s="194"/>
    </row>
    <row r="92" spans="1:22" ht="16.95" hidden="1" customHeight="1" x14ac:dyDescent="0.3">
      <c r="A92" s="140" t="s">
        <v>509</v>
      </c>
      <c r="B92" s="195">
        <v>1042</v>
      </c>
      <c r="C92" s="197">
        <v>45555</v>
      </c>
      <c r="D92" s="195">
        <f>WEEKNUM(C92)</f>
        <v>38</v>
      </c>
      <c r="E92" s="195" t="s">
        <v>68</v>
      </c>
      <c r="F92" s="195" t="s">
        <v>334</v>
      </c>
      <c r="G92" s="142" t="s">
        <v>311</v>
      </c>
      <c r="H92" s="195" t="s">
        <v>51</v>
      </c>
      <c r="I92" s="195" t="s">
        <v>46</v>
      </c>
      <c r="J92" s="195">
        <v>10</v>
      </c>
      <c r="K92" s="196">
        <v>21</v>
      </c>
      <c r="L92" s="196">
        <f>K92*J92</f>
        <v>210</v>
      </c>
      <c r="M92" s="143">
        <v>0</v>
      </c>
      <c r="N92" s="197">
        <v>45589</v>
      </c>
      <c r="O92" s="157">
        <f>WEEKNUM(N92)</f>
        <v>43</v>
      </c>
      <c r="P92" s="198"/>
      <c r="Q92" s="140" t="s">
        <v>29</v>
      </c>
      <c r="R92" s="196"/>
      <c r="S92" s="196"/>
      <c r="T92" s="248"/>
      <c r="U92" s="194"/>
      <c r="V92" s="194"/>
    </row>
    <row r="93" spans="1:22" ht="16.95" hidden="1" customHeight="1" x14ac:dyDescent="0.3">
      <c r="A93" s="140" t="s">
        <v>509</v>
      </c>
      <c r="B93" s="195">
        <v>1017</v>
      </c>
      <c r="C93" s="197">
        <v>45555</v>
      </c>
      <c r="D93" s="195">
        <f>WEEKNUM(C93)</f>
        <v>38</v>
      </c>
      <c r="E93" s="195" t="s">
        <v>68</v>
      </c>
      <c r="F93" s="142" t="s">
        <v>329</v>
      </c>
      <c r="G93" s="140" t="s">
        <v>356</v>
      </c>
      <c r="H93" s="195" t="s">
        <v>321</v>
      </c>
      <c r="I93" s="195" t="s">
        <v>46</v>
      </c>
      <c r="J93" s="195">
        <v>7</v>
      </c>
      <c r="K93" s="196">
        <v>79.099999999999994</v>
      </c>
      <c r="L93" s="196">
        <f>K93*J93</f>
        <v>553.69999999999993</v>
      </c>
      <c r="M93" s="143">
        <v>0</v>
      </c>
      <c r="N93" s="197">
        <v>45568</v>
      </c>
      <c r="O93" s="157">
        <f>WEEKNUM(N93)</f>
        <v>40</v>
      </c>
      <c r="P93" s="198"/>
      <c r="Q93" s="140" t="s">
        <v>29</v>
      </c>
      <c r="R93" s="196"/>
      <c r="S93" s="196"/>
      <c r="T93" s="248"/>
      <c r="U93" s="194"/>
      <c r="V93" s="194"/>
    </row>
    <row r="94" spans="1:22" ht="16.95" hidden="1" customHeight="1" x14ac:dyDescent="0.3">
      <c r="A94" s="140" t="s">
        <v>509</v>
      </c>
      <c r="B94" s="195">
        <v>1017</v>
      </c>
      <c r="C94" s="197">
        <v>45555</v>
      </c>
      <c r="D94" s="195">
        <f>WEEKNUM(C94)</f>
        <v>38</v>
      </c>
      <c r="E94" s="195" t="s">
        <v>68</v>
      </c>
      <c r="F94" s="142" t="s">
        <v>329</v>
      </c>
      <c r="G94" s="195" t="s">
        <v>307</v>
      </c>
      <c r="H94" s="195" t="s">
        <v>74</v>
      </c>
      <c r="I94" s="195" t="s">
        <v>46</v>
      </c>
      <c r="J94" s="195">
        <v>10</v>
      </c>
      <c r="K94" s="196">
        <v>47.5</v>
      </c>
      <c r="L94" s="196">
        <f>K94*J94</f>
        <v>475</v>
      </c>
      <c r="M94" s="143">
        <v>0</v>
      </c>
      <c r="N94" s="197">
        <v>45568</v>
      </c>
      <c r="O94" s="157">
        <f>WEEKNUM(N94)</f>
        <v>40</v>
      </c>
      <c r="P94" s="198"/>
      <c r="Q94" s="140" t="s">
        <v>29</v>
      </c>
      <c r="R94" s="196"/>
      <c r="S94" s="196"/>
      <c r="T94" s="248"/>
      <c r="U94" s="194"/>
      <c r="V94" s="194"/>
    </row>
    <row r="95" spans="1:22" ht="15.6" hidden="1" x14ac:dyDescent="0.3">
      <c r="A95" s="140" t="s">
        <v>509</v>
      </c>
      <c r="B95" s="195">
        <v>1017</v>
      </c>
      <c r="C95" s="197">
        <v>45555</v>
      </c>
      <c r="D95" s="195">
        <f>WEEKNUM(C95)</f>
        <v>38</v>
      </c>
      <c r="E95" s="195" t="s">
        <v>68</v>
      </c>
      <c r="F95" s="142" t="s">
        <v>329</v>
      </c>
      <c r="G95" s="142" t="s">
        <v>408</v>
      </c>
      <c r="H95" s="195" t="s">
        <v>80</v>
      </c>
      <c r="I95" s="195" t="s">
        <v>46</v>
      </c>
      <c r="J95" s="195">
        <v>10</v>
      </c>
      <c r="K95" s="196">
        <v>21</v>
      </c>
      <c r="L95" s="196">
        <f>K95*J95</f>
        <v>210</v>
      </c>
      <c r="M95" s="143">
        <v>0</v>
      </c>
      <c r="N95" s="197">
        <v>45568</v>
      </c>
      <c r="O95" s="157">
        <f>WEEKNUM(N95)</f>
        <v>40</v>
      </c>
      <c r="P95" s="198"/>
      <c r="Q95" s="140" t="s">
        <v>29</v>
      </c>
      <c r="R95" s="196"/>
      <c r="S95" s="196"/>
      <c r="T95" s="248"/>
      <c r="U95" s="194"/>
      <c r="V95" s="194"/>
    </row>
    <row r="96" spans="1:22" ht="15.6" hidden="1" x14ac:dyDescent="0.3">
      <c r="A96" s="140" t="s">
        <v>509</v>
      </c>
      <c r="B96" s="195">
        <v>1017</v>
      </c>
      <c r="C96" s="197">
        <v>45555</v>
      </c>
      <c r="D96" s="195">
        <f>WEEKNUM(C96)</f>
        <v>38</v>
      </c>
      <c r="E96" s="195" t="s">
        <v>68</v>
      </c>
      <c r="F96" s="142" t="s">
        <v>329</v>
      </c>
      <c r="G96" s="195" t="s">
        <v>301</v>
      </c>
      <c r="H96" s="195" t="s">
        <v>74</v>
      </c>
      <c r="I96" s="195" t="s">
        <v>46</v>
      </c>
      <c r="J96" s="195">
        <v>10</v>
      </c>
      <c r="K96" s="196">
        <v>36.75</v>
      </c>
      <c r="L96" s="196">
        <f>K96*J96</f>
        <v>367.5</v>
      </c>
      <c r="M96" s="143">
        <v>0</v>
      </c>
      <c r="N96" s="197">
        <v>45568</v>
      </c>
      <c r="O96" s="157">
        <f>WEEKNUM(N96)</f>
        <v>40</v>
      </c>
      <c r="P96" s="198"/>
      <c r="Q96" s="140" t="s">
        <v>29</v>
      </c>
      <c r="R96" s="194"/>
      <c r="S96" s="194"/>
      <c r="T96" s="248"/>
      <c r="U96" s="194"/>
      <c r="V96" s="194"/>
    </row>
    <row r="97" spans="1:22" ht="15.6" hidden="1" x14ac:dyDescent="0.3">
      <c r="A97" s="140" t="s">
        <v>509</v>
      </c>
      <c r="B97" s="195">
        <v>1018</v>
      </c>
      <c r="C97" s="197">
        <v>45555</v>
      </c>
      <c r="D97" s="195">
        <f>WEEKNUM(C97)</f>
        <v>38</v>
      </c>
      <c r="E97" s="195" t="s">
        <v>68</v>
      </c>
      <c r="F97" s="142" t="s">
        <v>370</v>
      </c>
      <c r="G97" s="142" t="s">
        <v>311</v>
      </c>
      <c r="H97" s="195" t="s">
        <v>51</v>
      </c>
      <c r="I97" s="195" t="s">
        <v>46</v>
      </c>
      <c r="J97" s="195">
        <v>10</v>
      </c>
      <c r="K97" s="196">
        <v>21</v>
      </c>
      <c r="L97" s="196">
        <f>K97*J97</f>
        <v>210</v>
      </c>
      <c r="M97" s="143">
        <v>0</v>
      </c>
      <c r="N97" s="197">
        <v>45558</v>
      </c>
      <c r="O97" s="157">
        <f>WEEKNUM(N97)</f>
        <v>39</v>
      </c>
      <c r="P97" s="198"/>
      <c r="Q97" s="140" t="s">
        <v>29</v>
      </c>
      <c r="R97" s="196"/>
      <c r="S97" s="196"/>
      <c r="T97" s="194"/>
      <c r="U97" s="194"/>
      <c r="V97" s="194"/>
    </row>
    <row r="98" spans="1:22" ht="15.6" hidden="1" x14ac:dyDescent="0.3">
      <c r="A98" s="140" t="s">
        <v>509</v>
      </c>
      <c r="B98" s="195">
        <v>1018</v>
      </c>
      <c r="C98" s="197">
        <v>45555</v>
      </c>
      <c r="D98" s="195">
        <f>WEEKNUM(C98)</f>
        <v>38</v>
      </c>
      <c r="E98" s="195" t="s">
        <v>68</v>
      </c>
      <c r="F98" s="195" t="s">
        <v>335</v>
      </c>
      <c r="G98" s="195" t="s">
        <v>301</v>
      </c>
      <c r="H98" s="195" t="s">
        <v>74</v>
      </c>
      <c r="I98" s="195" t="s">
        <v>46</v>
      </c>
      <c r="J98" s="195">
        <v>24</v>
      </c>
      <c r="K98" s="196">
        <v>36.75</v>
      </c>
      <c r="L98" s="196">
        <f>K98*J98</f>
        <v>882</v>
      </c>
      <c r="M98" s="143">
        <v>0</v>
      </c>
      <c r="N98" s="197">
        <v>45558</v>
      </c>
      <c r="O98" s="157">
        <f>WEEKNUM(N98)</f>
        <v>39</v>
      </c>
      <c r="P98" s="198"/>
      <c r="Q98" s="140" t="s">
        <v>29</v>
      </c>
      <c r="R98" s="196"/>
      <c r="S98" s="196"/>
      <c r="T98" s="194"/>
      <c r="U98" s="194"/>
      <c r="V98" s="194"/>
    </row>
    <row r="99" spans="1:22" ht="15.6" hidden="1" x14ac:dyDescent="0.3">
      <c r="A99" s="140" t="s">
        <v>509</v>
      </c>
      <c r="B99" s="195">
        <v>1018</v>
      </c>
      <c r="C99" s="197">
        <v>45555</v>
      </c>
      <c r="D99" s="195">
        <f>WEEKNUM(C99)</f>
        <v>38</v>
      </c>
      <c r="E99" s="195" t="s">
        <v>68</v>
      </c>
      <c r="F99" s="195" t="s">
        <v>335</v>
      </c>
      <c r="G99" s="142" t="s">
        <v>408</v>
      </c>
      <c r="H99" s="195" t="s">
        <v>80</v>
      </c>
      <c r="I99" s="195" t="s">
        <v>46</v>
      </c>
      <c r="J99" s="195">
        <v>6</v>
      </c>
      <c r="K99" s="196">
        <v>21</v>
      </c>
      <c r="L99" s="196">
        <f>K99*J99</f>
        <v>126</v>
      </c>
      <c r="M99" s="143">
        <v>0</v>
      </c>
      <c r="N99" s="197">
        <v>45558</v>
      </c>
      <c r="O99" s="157">
        <f>WEEKNUM(N99)</f>
        <v>39</v>
      </c>
      <c r="P99" s="198"/>
      <c r="Q99" s="140" t="s">
        <v>29</v>
      </c>
      <c r="R99" s="196"/>
      <c r="S99" s="196"/>
      <c r="T99" s="194"/>
      <c r="U99" s="194"/>
      <c r="V99" s="194"/>
    </row>
    <row r="100" spans="1:22" ht="15.6" hidden="1" x14ac:dyDescent="0.3">
      <c r="A100" s="140" t="s">
        <v>509</v>
      </c>
      <c r="B100" s="195">
        <v>1022</v>
      </c>
      <c r="C100" s="197">
        <v>45559</v>
      </c>
      <c r="D100" s="195">
        <f>WEEKNUM(C100)</f>
        <v>39</v>
      </c>
      <c r="E100" s="195" t="s">
        <v>68</v>
      </c>
      <c r="F100" s="195" t="s">
        <v>336</v>
      </c>
      <c r="G100" s="142" t="s">
        <v>311</v>
      </c>
      <c r="H100" s="195" t="s">
        <v>51</v>
      </c>
      <c r="I100" s="195" t="s">
        <v>46</v>
      </c>
      <c r="J100" s="195">
        <v>13</v>
      </c>
      <c r="K100" s="196">
        <v>21</v>
      </c>
      <c r="L100" s="196">
        <f>K100*J100</f>
        <v>273</v>
      </c>
      <c r="M100" s="143">
        <v>0</v>
      </c>
      <c r="N100" s="197">
        <v>45593</v>
      </c>
      <c r="O100" s="157">
        <f>WEEKNUM(N100)</f>
        <v>44</v>
      </c>
      <c r="P100" s="198"/>
      <c r="Q100" s="140" t="s">
        <v>29</v>
      </c>
      <c r="R100" s="194"/>
      <c r="S100" s="194"/>
      <c r="T100" s="194"/>
      <c r="U100" s="194"/>
      <c r="V100" s="194"/>
    </row>
    <row r="101" spans="1:22" ht="15.6" hidden="1" x14ac:dyDescent="0.3">
      <c r="A101" s="140" t="s">
        <v>509</v>
      </c>
      <c r="B101" s="195">
        <v>1022</v>
      </c>
      <c r="C101" s="197">
        <v>45559</v>
      </c>
      <c r="D101" s="195">
        <f>WEEKNUM(C101)</f>
        <v>39</v>
      </c>
      <c r="E101" s="195" t="s">
        <v>68</v>
      </c>
      <c r="F101" s="195" t="s">
        <v>336</v>
      </c>
      <c r="G101" s="195" t="s">
        <v>308</v>
      </c>
      <c r="H101" s="195" t="s">
        <v>74</v>
      </c>
      <c r="I101" s="195" t="s">
        <v>46</v>
      </c>
      <c r="J101" s="195">
        <v>11</v>
      </c>
      <c r="K101" s="196">
        <v>36.75</v>
      </c>
      <c r="L101" s="196">
        <f>K101*J101</f>
        <v>404.25</v>
      </c>
      <c r="M101" s="143">
        <v>0</v>
      </c>
      <c r="N101" s="197">
        <v>45593</v>
      </c>
      <c r="O101" s="157">
        <f>WEEKNUM(N101)</f>
        <v>44</v>
      </c>
      <c r="P101" s="198"/>
      <c r="Q101" s="140" t="s">
        <v>29</v>
      </c>
      <c r="R101" s="194"/>
      <c r="S101" s="194"/>
      <c r="T101" s="194"/>
      <c r="U101" s="194"/>
      <c r="V101" s="194"/>
    </row>
    <row r="102" spans="1:22" ht="15.6" hidden="1" x14ac:dyDescent="0.3">
      <c r="A102" s="140" t="s">
        <v>509</v>
      </c>
      <c r="B102" s="195">
        <v>1022</v>
      </c>
      <c r="C102" s="197">
        <v>45559</v>
      </c>
      <c r="D102" s="195">
        <f>WEEKNUM(C102)</f>
        <v>39</v>
      </c>
      <c r="E102" s="195" t="s">
        <v>68</v>
      </c>
      <c r="F102" s="195" t="s">
        <v>336</v>
      </c>
      <c r="G102" s="195" t="s">
        <v>301</v>
      </c>
      <c r="H102" s="195" t="s">
        <v>74</v>
      </c>
      <c r="I102" s="195" t="s">
        <v>46</v>
      </c>
      <c r="J102" s="195">
        <v>6</v>
      </c>
      <c r="K102" s="196">
        <v>36.75</v>
      </c>
      <c r="L102" s="196">
        <f>K102*J102</f>
        <v>220.5</v>
      </c>
      <c r="M102" s="143">
        <v>0</v>
      </c>
      <c r="N102" s="197">
        <v>45593</v>
      </c>
      <c r="O102" s="157">
        <f>WEEKNUM(N102)</f>
        <v>44</v>
      </c>
      <c r="P102" s="198"/>
      <c r="Q102" s="140" t="s">
        <v>29</v>
      </c>
      <c r="R102" s="194"/>
      <c r="S102" s="194"/>
      <c r="T102" s="194"/>
      <c r="U102" s="194"/>
      <c r="V102" s="194"/>
    </row>
    <row r="103" spans="1:22" ht="15.6" hidden="1" x14ac:dyDescent="0.3">
      <c r="A103" s="140" t="s">
        <v>509</v>
      </c>
      <c r="B103" s="195">
        <v>1022</v>
      </c>
      <c r="C103" s="197">
        <v>45559</v>
      </c>
      <c r="D103" s="195">
        <f>WEEKNUM(C103)</f>
        <v>39</v>
      </c>
      <c r="E103" s="195" t="s">
        <v>68</v>
      </c>
      <c r="F103" s="195" t="s">
        <v>336</v>
      </c>
      <c r="G103" s="195" t="s">
        <v>587</v>
      </c>
      <c r="H103" s="195" t="s">
        <v>74</v>
      </c>
      <c r="I103" s="195" t="s">
        <v>46</v>
      </c>
      <c r="J103" s="195">
        <v>10</v>
      </c>
      <c r="K103" s="196">
        <v>47.5</v>
      </c>
      <c r="L103" s="196">
        <f>K103*J103</f>
        <v>475</v>
      </c>
      <c r="M103" s="143">
        <v>0</v>
      </c>
      <c r="N103" s="197">
        <v>45593</v>
      </c>
      <c r="O103" s="157">
        <f>WEEKNUM(N103)</f>
        <v>44</v>
      </c>
      <c r="P103" s="198"/>
      <c r="Q103" s="140" t="s">
        <v>29</v>
      </c>
      <c r="R103" s="194"/>
      <c r="S103" s="194"/>
      <c r="T103" s="194"/>
      <c r="U103" s="194"/>
      <c r="V103" s="194"/>
    </row>
    <row r="104" spans="1:22" ht="15.6" hidden="1" x14ac:dyDescent="0.3">
      <c r="A104" s="140" t="s">
        <v>509</v>
      </c>
      <c r="B104" s="195">
        <v>1022</v>
      </c>
      <c r="C104" s="197">
        <v>45559</v>
      </c>
      <c r="D104" s="195">
        <f>WEEKNUM(C104)</f>
        <v>39</v>
      </c>
      <c r="E104" s="195" t="s">
        <v>68</v>
      </c>
      <c r="F104" s="195" t="s">
        <v>336</v>
      </c>
      <c r="G104" s="142" t="s">
        <v>408</v>
      </c>
      <c r="H104" s="195" t="s">
        <v>80</v>
      </c>
      <c r="I104" s="195" t="s">
        <v>46</v>
      </c>
      <c r="J104" s="195">
        <v>12</v>
      </c>
      <c r="K104" s="196">
        <v>21</v>
      </c>
      <c r="L104" s="196">
        <f>K104*J104</f>
        <v>252</v>
      </c>
      <c r="M104" s="143">
        <v>0</v>
      </c>
      <c r="N104" s="197">
        <v>45593</v>
      </c>
      <c r="O104" s="157">
        <f>WEEKNUM(N104)</f>
        <v>44</v>
      </c>
      <c r="P104" s="198"/>
      <c r="Q104" s="140" t="s">
        <v>29</v>
      </c>
      <c r="R104" s="194"/>
      <c r="S104" s="194"/>
      <c r="T104" s="194"/>
      <c r="U104" s="194"/>
      <c r="V104" s="194"/>
    </row>
    <row r="105" spans="1:22" ht="15.6" hidden="1" x14ac:dyDescent="0.3">
      <c r="A105" s="140" t="s">
        <v>509</v>
      </c>
      <c r="B105" s="195">
        <v>1019</v>
      </c>
      <c r="C105" s="197">
        <v>45559</v>
      </c>
      <c r="D105" s="195">
        <f>WEEKNUM(C105)</f>
        <v>39</v>
      </c>
      <c r="E105" s="195" t="s">
        <v>68</v>
      </c>
      <c r="F105" s="195" t="s">
        <v>337</v>
      </c>
      <c r="G105" s="195" t="s">
        <v>308</v>
      </c>
      <c r="H105" s="195" t="s">
        <v>74</v>
      </c>
      <c r="I105" s="195" t="s">
        <v>46</v>
      </c>
      <c r="J105" s="195">
        <v>6</v>
      </c>
      <c r="K105" s="196">
        <v>36.75</v>
      </c>
      <c r="L105" s="196">
        <f>K105*J105</f>
        <v>220.5</v>
      </c>
      <c r="M105" s="143">
        <v>0</v>
      </c>
      <c r="N105" s="197">
        <v>45588</v>
      </c>
      <c r="O105" s="157">
        <f>WEEKNUM(N105)</f>
        <v>43</v>
      </c>
      <c r="P105" s="198"/>
      <c r="Q105" s="140" t="s">
        <v>29</v>
      </c>
      <c r="R105" s="194"/>
      <c r="S105" s="194"/>
      <c r="T105" s="194"/>
      <c r="U105" s="194"/>
      <c r="V105" s="194"/>
    </row>
    <row r="106" spans="1:22" ht="15.6" hidden="1" x14ac:dyDescent="0.3">
      <c r="A106" s="140" t="s">
        <v>509</v>
      </c>
      <c r="B106" s="195">
        <v>1019</v>
      </c>
      <c r="C106" s="197">
        <v>45559</v>
      </c>
      <c r="D106" s="195">
        <f>WEEKNUM(C106)</f>
        <v>39</v>
      </c>
      <c r="E106" s="195" t="s">
        <v>68</v>
      </c>
      <c r="F106" s="195" t="s">
        <v>337</v>
      </c>
      <c r="G106" s="195" t="s">
        <v>301</v>
      </c>
      <c r="H106" s="195" t="s">
        <v>74</v>
      </c>
      <c r="I106" s="195" t="s">
        <v>46</v>
      </c>
      <c r="J106" s="195">
        <v>2</v>
      </c>
      <c r="K106" s="196">
        <v>36.75</v>
      </c>
      <c r="L106" s="196">
        <f>K106*J106</f>
        <v>73.5</v>
      </c>
      <c r="M106" s="143">
        <v>0</v>
      </c>
      <c r="N106" s="197">
        <v>45588</v>
      </c>
      <c r="O106" s="157">
        <f>WEEKNUM(N106)</f>
        <v>43</v>
      </c>
      <c r="P106" s="198"/>
      <c r="Q106" s="140" t="s">
        <v>29</v>
      </c>
      <c r="R106" s="194"/>
      <c r="S106" s="194"/>
      <c r="T106" s="194"/>
      <c r="U106" s="194"/>
      <c r="V106" s="194"/>
    </row>
    <row r="107" spans="1:22" ht="15.6" hidden="1" x14ac:dyDescent="0.3">
      <c r="A107" s="140" t="s">
        <v>509</v>
      </c>
      <c r="B107" s="195">
        <v>1019</v>
      </c>
      <c r="C107" s="197">
        <v>45559</v>
      </c>
      <c r="D107" s="195">
        <f>WEEKNUM(C107)</f>
        <v>39</v>
      </c>
      <c r="E107" s="195" t="s">
        <v>68</v>
      </c>
      <c r="F107" s="195" t="s">
        <v>337</v>
      </c>
      <c r="G107" s="142" t="s">
        <v>311</v>
      </c>
      <c r="H107" s="195" t="s">
        <v>51</v>
      </c>
      <c r="I107" s="195" t="s">
        <v>46</v>
      </c>
      <c r="J107" s="195">
        <v>10</v>
      </c>
      <c r="K107" s="196">
        <v>21</v>
      </c>
      <c r="L107" s="196">
        <f>K107*J107</f>
        <v>210</v>
      </c>
      <c r="M107" s="143">
        <v>0</v>
      </c>
      <c r="N107" s="197">
        <v>45588</v>
      </c>
      <c r="O107" s="157">
        <f>WEEKNUM(N107)</f>
        <v>43</v>
      </c>
      <c r="P107" s="198"/>
      <c r="Q107" s="140" t="s">
        <v>29</v>
      </c>
      <c r="R107" s="194"/>
      <c r="S107" s="194"/>
      <c r="T107" s="194"/>
      <c r="U107" s="194"/>
      <c r="V107" s="194"/>
    </row>
    <row r="108" spans="1:22" ht="15.6" hidden="1" x14ac:dyDescent="0.3">
      <c r="A108" s="140" t="s">
        <v>509</v>
      </c>
      <c r="B108" s="195">
        <v>1025</v>
      </c>
      <c r="C108" s="197">
        <v>45565</v>
      </c>
      <c r="D108" s="195">
        <f>WEEKNUM(C108)</f>
        <v>40</v>
      </c>
      <c r="E108" s="195" t="s">
        <v>68</v>
      </c>
      <c r="F108" s="195" t="s">
        <v>338</v>
      </c>
      <c r="G108" s="142" t="s">
        <v>311</v>
      </c>
      <c r="H108" s="195" t="s">
        <v>51</v>
      </c>
      <c r="I108" s="195" t="s">
        <v>46</v>
      </c>
      <c r="J108" s="195">
        <v>6</v>
      </c>
      <c r="K108" s="196">
        <v>21</v>
      </c>
      <c r="L108" s="196">
        <f>K108*J108</f>
        <v>126</v>
      </c>
      <c r="M108" s="143">
        <v>0</v>
      </c>
      <c r="N108" s="197">
        <v>45597</v>
      </c>
      <c r="O108" s="157">
        <f>WEEKNUM(N108)</f>
        <v>44</v>
      </c>
      <c r="P108" s="198"/>
      <c r="Q108" s="140" t="s">
        <v>29</v>
      </c>
      <c r="R108" s="194"/>
      <c r="S108" s="194"/>
      <c r="T108" s="194"/>
      <c r="U108" s="194"/>
      <c r="V108" s="194"/>
    </row>
    <row r="109" spans="1:22" ht="15.6" hidden="1" x14ac:dyDescent="0.3">
      <c r="A109" s="140" t="s">
        <v>509</v>
      </c>
      <c r="B109" s="195">
        <v>1025</v>
      </c>
      <c r="C109" s="197">
        <v>45565</v>
      </c>
      <c r="D109" s="195">
        <f>WEEKNUM(C109)</f>
        <v>40</v>
      </c>
      <c r="E109" s="195" t="s">
        <v>68</v>
      </c>
      <c r="F109" s="195" t="s">
        <v>338</v>
      </c>
      <c r="G109" s="195" t="s">
        <v>301</v>
      </c>
      <c r="H109" s="195" t="s">
        <v>74</v>
      </c>
      <c r="I109" s="195" t="s">
        <v>46</v>
      </c>
      <c r="J109" s="195">
        <v>18</v>
      </c>
      <c r="K109" s="196">
        <v>36.75</v>
      </c>
      <c r="L109" s="196">
        <f>K109*J109</f>
        <v>661.5</v>
      </c>
      <c r="M109" s="143">
        <v>0</v>
      </c>
      <c r="N109" s="197">
        <v>45597</v>
      </c>
      <c r="O109" s="157">
        <f>WEEKNUM(N109)</f>
        <v>44</v>
      </c>
      <c r="P109" s="198"/>
      <c r="Q109" s="140" t="s">
        <v>29</v>
      </c>
      <c r="R109" s="194"/>
      <c r="S109" s="194"/>
      <c r="T109" s="194"/>
      <c r="U109" s="194"/>
      <c r="V109" s="194"/>
    </row>
    <row r="110" spans="1:22" ht="15.6" hidden="1" x14ac:dyDescent="0.3">
      <c r="A110" s="140" t="s">
        <v>509</v>
      </c>
      <c r="B110" s="195">
        <v>1025</v>
      </c>
      <c r="C110" s="197">
        <v>45565</v>
      </c>
      <c r="D110" s="195">
        <f>WEEKNUM(C110)</f>
        <v>40</v>
      </c>
      <c r="E110" s="195" t="s">
        <v>68</v>
      </c>
      <c r="F110" s="195" t="s">
        <v>338</v>
      </c>
      <c r="G110" s="142" t="s">
        <v>408</v>
      </c>
      <c r="H110" s="195" t="s">
        <v>80</v>
      </c>
      <c r="I110" s="195" t="s">
        <v>46</v>
      </c>
      <c r="J110" s="195">
        <v>4</v>
      </c>
      <c r="K110" s="196">
        <v>21</v>
      </c>
      <c r="L110" s="196">
        <f>K110*J110</f>
        <v>84</v>
      </c>
      <c r="M110" s="143">
        <v>0</v>
      </c>
      <c r="N110" s="197">
        <v>45597</v>
      </c>
      <c r="O110" s="157">
        <f>WEEKNUM(N110)</f>
        <v>44</v>
      </c>
      <c r="P110" s="198"/>
      <c r="Q110" s="140" t="s">
        <v>29</v>
      </c>
      <c r="R110" s="194"/>
      <c r="S110" s="194"/>
      <c r="T110" s="194"/>
      <c r="U110" s="194"/>
      <c r="V110" s="194"/>
    </row>
    <row r="111" spans="1:22" ht="15.6" hidden="1" x14ac:dyDescent="0.3">
      <c r="A111" s="140" t="s">
        <v>509</v>
      </c>
      <c r="B111" s="195">
        <v>1025</v>
      </c>
      <c r="C111" s="197">
        <v>45565</v>
      </c>
      <c r="D111" s="195">
        <f>WEEKNUM(C111)</f>
        <v>40</v>
      </c>
      <c r="E111" s="195" t="s">
        <v>68</v>
      </c>
      <c r="F111" s="195" t="s">
        <v>338</v>
      </c>
      <c r="G111" s="142" t="s">
        <v>505</v>
      </c>
      <c r="H111" s="195" t="s">
        <v>190</v>
      </c>
      <c r="I111" s="142" t="s">
        <v>61</v>
      </c>
      <c r="J111" s="195">
        <v>18</v>
      </c>
      <c r="K111" s="196">
        <v>75</v>
      </c>
      <c r="L111" s="196">
        <f>K111*J111</f>
        <v>1350</v>
      </c>
      <c r="M111" s="143">
        <v>0</v>
      </c>
      <c r="N111" s="197">
        <v>45597</v>
      </c>
      <c r="O111" s="157">
        <f>WEEKNUM(N111)</f>
        <v>44</v>
      </c>
      <c r="P111" s="198"/>
      <c r="Q111" s="140" t="s">
        <v>29</v>
      </c>
      <c r="R111" s="194"/>
      <c r="S111" s="194"/>
      <c r="T111" s="194"/>
      <c r="U111" s="194"/>
      <c r="V111" s="194"/>
    </row>
    <row r="112" spans="1:22" ht="15.6" hidden="1" x14ac:dyDescent="0.3">
      <c r="A112" s="140" t="s">
        <v>509</v>
      </c>
      <c r="B112" s="195">
        <v>1026</v>
      </c>
      <c r="C112" s="197">
        <v>45567</v>
      </c>
      <c r="D112" s="195">
        <f>WEEKNUM(C112)</f>
        <v>40</v>
      </c>
      <c r="E112" s="195" t="s">
        <v>68</v>
      </c>
      <c r="F112" s="142" t="s">
        <v>329</v>
      </c>
      <c r="G112" s="195" t="s">
        <v>308</v>
      </c>
      <c r="H112" s="195" t="s">
        <v>74</v>
      </c>
      <c r="I112" s="195" t="s">
        <v>46</v>
      </c>
      <c r="J112" s="195">
        <v>2</v>
      </c>
      <c r="K112" s="196">
        <v>36.75</v>
      </c>
      <c r="L112" s="196">
        <f>K112*J112</f>
        <v>73.5</v>
      </c>
      <c r="M112" s="143">
        <v>0</v>
      </c>
      <c r="N112" s="197">
        <v>45583</v>
      </c>
      <c r="O112" s="157">
        <f>WEEKNUM(N112)</f>
        <v>42</v>
      </c>
      <c r="P112" s="198"/>
      <c r="Q112" s="140" t="s">
        <v>29</v>
      </c>
      <c r="R112" s="194"/>
      <c r="S112" s="194"/>
      <c r="T112" s="194"/>
      <c r="U112" s="194"/>
      <c r="V112" s="194"/>
    </row>
    <row r="113" spans="1:22" ht="15.6" hidden="1" x14ac:dyDescent="0.3">
      <c r="A113" s="140" t="s">
        <v>509</v>
      </c>
      <c r="B113" s="195">
        <v>1026</v>
      </c>
      <c r="C113" s="197">
        <v>45567</v>
      </c>
      <c r="D113" s="195">
        <f>WEEKNUM(C113)</f>
        <v>40</v>
      </c>
      <c r="E113" s="195" t="s">
        <v>68</v>
      </c>
      <c r="F113" s="142" t="s">
        <v>329</v>
      </c>
      <c r="G113" s="142" t="s">
        <v>311</v>
      </c>
      <c r="H113" s="195" t="s">
        <v>51</v>
      </c>
      <c r="I113" s="195" t="s">
        <v>46</v>
      </c>
      <c r="J113" s="195">
        <v>10</v>
      </c>
      <c r="K113" s="196">
        <v>21</v>
      </c>
      <c r="L113" s="196">
        <f>K113*J113</f>
        <v>210</v>
      </c>
      <c r="M113" s="143">
        <v>0</v>
      </c>
      <c r="N113" s="197">
        <v>45583</v>
      </c>
      <c r="O113" s="157">
        <f>WEEKNUM(N113)</f>
        <v>42</v>
      </c>
      <c r="P113" s="198"/>
      <c r="Q113" s="140" t="s">
        <v>29</v>
      </c>
      <c r="R113" s="194"/>
      <c r="S113" s="194"/>
      <c r="T113" s="194"/>
      <c r="U113" s="194"/>
      <c r="V113" s="194"/>
    </row>
    <row r="114" spans="1:22" ht="15.6" hidden="1" x14ac:dyDescent="0.3">
      <c r="A114" s="140" t="s">
        <v>509</v>
      </c>
      <c r="B114" s="195">
        <v>1026</v>
      </c>
      <c r="C114" s="197">
        <v>45567</v>
      </c>
      <c r="D114" s="195">
        <f>WEEKNUM(C114)</f>
        <v>40</v>
      </c>
      <c r="E114" s="195" t="s">
        <v>68</v>
      </c>
      <c r="F114" s="142" t="s">
        <v>329</v>
      </c>
      <c r="G114" s="195" t="s">
        <v>309</v>
      </c>
      <c r="H114" s="195" t="s">
        <v>74</v>
      </c>
      <c r="I114" s="195" t="s">
        <v>46</v>
      </c>
      <c r="J114" s="195">
        <v>2</v>
      </c>
      <c r="K114" s="196">
        <v>47.5</v>
      </c>
      <c r="L114" s="196">
        <f>K114*J114</f>
        <v>95</v>
      </c>
      <c r="M114" s="143">
        <v>0</v>
      </c>
      <c r="N114" s="197">
        <v>45583</v>
      </c>
      <c r="O114" s="157">
        <f>WEEKNUM(N114)</f>
        <v>42</v>
      </c>
      <c r="P114" s="198"/>
      <c r="Q114" s="140" t="s">
        <v>29</v>
      </c>
      <c r="R114" s="194"/>
      <c r="S114" s="194"/>
      <c r="T114" s="194"/>
      <c r="U114" s="194"/>
      <c r="V114" s="194"/>
    </row>
    <row r="115" spans="1:22" ht="15.6" hidden="1" x14ac:dyDescent="0.3">
      <c r="A115" s="140" t="s">
        <v>509</v>
      </c>
      <c r="B115" s="195">
        <v>1024</v>
      </c>
      <c r="C115" s="197">
        <v>45567</v>
      </c>
      <c r="D115" s="195">
        <f>WEEKNUM(C115)</f>
        <v>40</v>
      </c>
      <c r="E115" s="195" t="s">
        <v>68</v>
      </c>
      <c r="F115" s="142" t="s">
        <v>329</v>
      </c>
      <c r="G115" s="140" t="s">
        <v>356</v>
      </c>
      <c r="H115" s="195" t="s">
        <v>321</v>
      </c>
      <c r="I115" s="195" t="s">
        <v>46</v>
      </c>
      <c r="J115" s="195">
        <v>5</v>
      </c>
      <c r="K115" s="196">
        <v>85</v>
      </c>
      <c r="L115" s="196">
        <f>K115*J115</f>
        <v>425</v>
      </c>
      <c r="M115" s="143">
        <v>0</v>
      </c>
      <c r="N115" s="197">
        <v>45569</v>
      </c>
      <c r="O115" s="157">
        <f>WEEKNUM(N115)</f>
        <v>40</v>
      </c>
      <c r="P115" s="198"/>
      <c r="Q115" s="140" t="s">
        <v>29</v>
      </c>
      <c r="R115" s="194"/>
      <c r="S115" s="194"/>
      <c r="T115" s="194"/>
      <c r="U115" s="194"/>
      <c r="V115" s="194"/>
    </row>
    <row r="116" spans="1:22" ht="15.6" hidden="1" x14ac:dyDescent="0.3">
      <c r="A116" s="140" t="s">
        <v>509</v>
      </c>
      <c r="B116" s="195">
        <v>1027</v>
      </c>
      <c r="C116" s="197">
        <v>45568</v>
      </c>
      <c r="D116" s="195">
        <f>WEEKNUM(C116)</f>
        <v>40</v>
      </c>
      <c r="E116" s="195" t="s">
        <v>68</v>
      </c>
      <c r="F116" s="195" t="s">
        <v>335</v>
      </c>
      <c r="G116" s="195" t="s">
        <v>301</v>
      </c>
      <c r="H116" s="195" t="s">
        <v>74</v>
      </c>
      <c r="I116" s="195" t="s">
        <v>46</v>
      </c>
      <c r="J116" s="195">
        <v>3</v>
      </c>
      <c r="K116" s="196">
        <v>36.75</v>
      </c>
      <c r="L116" s="196">
        <f>K116*J116</f>
        <v>110.25</v>
      </c>
      <c r="M116" s="143">
        <v>0</v>
      </c>
      <c r="N116" s="197">
        <v>45593</v>
      </c>
      <c r="O116" s="157">
        <f>WEEKNUM(N116)</f>
        <v>44</v>
      </c>
      <c r="P116" s="198"/>
      <c r="Q116" s="140" t="s">
        <v>29</v>
      </c>
      <c r="R116" s="194"/>
      <c r="S116" s="194"/>
      <c r="T116" s="194"/>
      <c r="U116" s="194"/>
      <c r="V116" s="194"/>
    </row>
    <row r="117" spans="1:22" ht="15.6" hidden="1" x14ac:dyDescent="0.3">
      <c r="A117" s="140" t="s">
        <v>509</v>
      </c>
      <c r="B117" s="195">
        <v>1027</v>
      </c>
      <c r="C117" s="197">
        <v>45568</v>
      </c>
      <c r="D117" s="195">
        <f>WEEKNUM(C117)</f>
        <v>40</v>
      </c>
      <c r="E117" s="195" t="s">
        <v>68</v>
      </c>
      <c r="F117" s="195" t="s">
        <v>335</v>
      </c>
      <c r="G117" s="195" t="s">
        <v>339</v>
      </c>
      <c r="H117" s="195" t="s">
        <v>340</v>
      </c>
      <c r="I117" s="195" t="s">
        <v>46</v>
      </c>
      <c r="J117" s="195">
        <v>6</v>
      </c>
      <c r="K117" s="196">
        <v>75</v>
      </c>
      <c r="L117" s="196">
        <f>K117*J117</f>
        <v>450</v>
      </c>
      <c r="M117" s="143">
        <v>0</v>
      </c>
      <c r="N117" s="197">
        <v>45593</v>
      </c>
      <c r="O117" s="157">
        <f>WEEKNUM(N117)</f>
        <v>44</v>
      </c>
      <c r="P117" s="198"/>
      <c r="Q117" s="140" t="s">
        <v>29</v>
      </c>
      <c r="R117" s="194"/>
      <c r="S117" s="194"/>
      <c r="T117" s="194"/>
      <c r="U117" s="194"/>
      <c r="V117" s="194"/>
    </row>
    <row r="118" spans="1:22" ht="15.6" hidden="1" x14ac:dyDescent="0.3">
      <c r="A118" s="140" t="s">
        <v>509</v>
      </c>
      <c r="B118" s="195">
        <v>1028</v>
      </c>
      <c r="C118" s="197">
        <v>45569</v>
      </c>
      <c r="D118" s="195">
        <f>WEEKNUM(C118)</f>
        <v>40</v>
      </c>
      <c r="E118" s="195" t="s">
        <v>68</v>
      </c>
      <c r="F118" s="195" t="s">
        <v>341</v>
      </c>
      <c r="G118" s="142" t="s">
        <v>311</v>
      </c>
      <c r="H118" s="195" t="s">
        <v>51</v>
      </c>
      <c r="I118" s="195" t="s">
        <v>46</v>
      </c>
      <c r="J118" s="195">
        <v>7</v>
      </c>
      <c r="K118" s="196">
        <v>21</v>
      </c>
      <c r="L118" s="196">
        <f>K118*J118</f>
        <v>147</v>
      </c>
      <c r="M118" s="143">
        <v>0</v>
      </c>
      <c r="N118" s="197">
        <v>45580</v>
      </c>
      <c r="O118" s="157">
        <f>WEEKNUM(N118)</f>
        <v>42</v>
      </c>
      <c r="P118" s="198"/>
      <c r="Q118" s="140" t="s">
        <v>29</v>
      </c>
      <c r="R118" s="194"/>
      <c r="S118" s="194"/>
      <c r="T118" s="194"/>
      <c r="U118" s="194"/>
      <c r="V118" s="194"/>
    </row>
    <row r="119" spans="1:22" ht="15.6" hidden="1" x14ac:dyDescent="0.3">
      <c r="A119" s="140" t="s">
        <v>509</v>
      </c>
      <c r="B119" s="195">
        <v>1028</v>
      </c>
      <c r="C119" s="197">
        <v>45569</v>
      </c>
      <c r="D119" s="195">
        <f>WEEKNUM(C119)</f>
        <v>40</v>
      </c>
      <c r="E119" s="195" t="s">
        <v>68</v>
      </c>
      <c r="F119" s="195" t="s">
        <v>341</v>
      </c>
      <c r="G119" s="195" t="s">
        <v>342</v>
      </c>
      <c r="H119" s="195" t="s">
        <v>74</v>
      </c>
      <c r="I119" s="195" t="s">
        <v>46</v>
      </c>
      <c r="J119" s="195">
        <v>6</v>
      </c>
      <c r="K119" s="196">
        <v>41.75</v>
      </c>
      <c r="L119" s="196">
        <f>K119*J119</f>
        <v>250.5</v>
      </c>
      <c r="M119" s="143">
        <v>0</v>
      </c>
      <c r="N119" s="197">
        <v>45580</v>
      </c>
      <c r="O119" s="157">
        <f>WEEKNUM(N119)</f>
        <v>42</v>
      </c>
      <c r="P119" s="198"/>
      <c r="Q119" s="140" t="s">
        <v>29</v>
      </c>
      <c r="R119" s="194"/>
      <c r="S119" s="194"/>
      <c r="T119" s="194"/>
      <c r="U119" s="194"/>
      <c r="V119" s="194"/>
    </row>
    <row r="120" spans="1:22" ht="15.6" hidden="1" x14ac:dyDescent="0.3">
      <c r="A120" s="140" t="s">
        <v>509</v>
      </c>
      <c r="B120" s="195">
        <v>1028</v>
      </c>
      <c r="C120" s="197">
        <v>45569</v>
      </c>
      <c r="D120" s="195">
        <f>WEEKNUM(C120)</f>
        <v>40</v>
      </c>
      <c r="E120" s="195" t="s">
        <v>68</v>
      </c>
      <c r="F120" s="195" t="s">
        <v>341</v>
      </c>
      <c r="G120" s="195" t="s">
        <v>301</v>
      </c>
      <c r="H120" s="195" t="s">
        <v>74</v>
      </c>
      <c r="I120" s="195" t="s">
        <v>46</v>
      </c>
      <c r="J120" s="195">
        <v>4</v>
      </c>
      <c r="K120" s="196">
        <v>36.75</v>
      </c>
      <c r="L120" s="196">
        <f>K120*J120</f>
        <v>147</v>
      </c>
      <c r="M120" s="143">
        <v>0</v>
      </c>
      <c r="N120" s="197">
        <v>45580</v>
      </c>
      <c r="O120" s="157">
        <f>WEEKNUM(N120)</f>
        <v>42</v>
      </c>
      <c r="P120" s="198"/>
      <c r="Q120" s="140" t="s">
        <v>29</v>
      </c>
      <c r="R120" s="194"/>
      <c r="S120" s="194"/>
      <c r="T120" s="194"/>
      <c r="U120" s="194"/>
      <c r="V120" s="194"/>
    </row>
    <row r="121" spans="1:22" ht="15.6" hidden="1" x14ac:dyDescent="0.3">
      <c r="A121" s="140" t="s">
        <v>509</v>
      </c>
      <c r="B121" s="195">
        <v>1028</v>
      </c>
      <c r="C121" s="197">
        <v>45569</v>
      </c>
      <c r="D121" s="195">
        <f>WEEKNUM(C121)</f>
        <v>40</v>
      </c>
      <c r="E121" s="195" t="s">
        <v>68</v>
      </c>
      <c r="F121" s="195" t="s">
        <v>341</v>
      </c>
      <c r="G121" s="142" t="s">
        <v>408</v>
      </c>
      <c r="H121" s="195" t="s">
        <v>80</v>
      </c>
      <c r="I121" s="195" t="s">
        <v>46</v>
      </c>
      <c r="J121" s="195">
        <v>6</v>
      </c>
      <c r="K121" s="196">
        <v>21</v>
      </c>
      <c r="L121" s="196">
        <f>K121*J121</f>
        <v>126</v>
      </c>
      <c r="M121" s="143">
        <v>0</v>
      </c>
      <c r="N121" s="197">
        <v>45580</v>
      </c>
      <c r="O121" s="157">
        <f>WEEKNUM(N121)</f>
        <v>42</v>
      </c>
      <c r="P121" s="198"/>
      <c r="Q121" s="140" t="s">
        <v>29</v>
      </c>
      <c r="R121" s="194"/>
      <c r="S121" s="194"/>
      <c r="T121" s="194"/>
      <c r="U121" s="194"/>
      <c r="V121" s="194"/>
    </row>
    <row r="122" spans="1:22" ht="15.6" hidden="1" x14ac:dyDescent="0.3">
      <c r="A122" s="140" t="s">
        <v>509</v>
      </c>
      <c r="B122" s="195">
        <v>1033</v>
      </c>
      <c r="C122" s="197">
        <v>45579</v>
      </c>
      <c r="D122" s="195">
        <f>WEEKNUM(C122)</f>
        <v>42</v>
      </c>
      <c r="E122" s="195" t="s">
        <v>68</v>
      </c>
      <c r="F122" s="195" t="s">
        <v>343</v>
      </c>
      <c r="G122" s="195" t="s">
        <v>308</v>
      </c>
      <c r="H122" s="195" t="s">
        <v>74</v>
      </c>
      <c r="I122" s="195" t="s">
        <v>46</v>
      </c>
      <c r="J122" s="195">
        <v>11</v>
      </c>
      <c r="K122" s="196">
        <v>36.75</v>
      </c>
      <c r="L122" s="196">
        <f>K122*J122</f>
        <v>404.25</v>
      </c>
      <c r="M122" s="143">
        <v>0</v>
      </c>
      <c r="N122" s="197">
        <v>45593</v>
      </c>
      <c r="O122" s="157">
        <f>WEEKNUM(N122)</f>
        <v>44</v>
      </c>
      <c r="P122" s="198"/>
      <c r="Q122" s="140" t="s">
        <v>29</v>
      </c>
      <c r="R122" s="194"/>
      <c r="S122" s="194"/>
      <c r="T122" s="194"/>
      <c r="U122" s="194"/>
      <c r="V122" s="194"/>
    </row>
    <row r="123" spans="1:22" ht="15.6" hidden="1" x14ac:dyDescent="0.3">
      <c r="A123" s="140" t="s">
        <v>509</v>
      </c>
      <c r="B123" s="195">
        <v>1033</v>
      </c>
      <c r="C123" s="197">
        <v>45579</v>
      </c>
      <c r="D123" s="195">
        <f>WEEKNUM(C123)</f>
        <v>42</v>
      </c>
      <c r="E123" s="195" t="s">
        <v>68</v>
      </c>
      <c r="F123" s="195" t="s">
        <v>343</v>
      </c>
      <c r="G123" s="195" t="s">
        <v>307</v>
      </c>
      <c r="H123" s="195" t="s">
        <v>74</v>
      </c>
      <c r="I123" s="195" t="s">
        <v>46</v>
      </c>
      <c r="J123" s="195">
        <v>8</v>
      </c>
      <c r="K123" s="196">
        <v>47.5</v>
      </c>
      <c r="L123" s="196">
        <f>K123*J123</f>
        <v>380</v>
      </c>
      <c r="M123" s="143">
        <v>0</v>
      </c>
      <c r="N123" s="197">
        <v>45593</v>
      </c>
      <c r="O123" s="157">
        <f>WEEKNUM(N123)</f>
        <v>44</v>
      </c>
      <c r="P123" s="198"/>
      <c r="Q123" s="140" t="s">
        <v>29</v>
      </c>
      <c r="R123" s="194"/>
      <c r="S123" s="194"/>
      <c r="T123" s="194"/>
      <c r="U123" s="194"/>
      <c r="V123" s="194"/>
    </row>
    <row r="124" spans="1:22" ht="15.6" hidden="1" x14ac:dyDescent="0.3">
      <c r="A124" s="140" t="s">
        <v>509</v>
      </c>
      <c r="B124" s="195">
        <v>1033</v>
      </c>
      <c r="C124" s="197">
        <v>45579</v>
      </c>
      <c r="D124" s="195">
        <f>WEEKNUM(C124)</f>
        <v>42</v>
      </c>
      <c r="E124" s="195" t="s">
        <v>68</v>
      </c>
      <c r="F124" s="195" t="s">
        <v>343</v>
      </c>
      <c r="G124" s="195" t="s">
        <v>301</v>
      </c>
      <c r="H124" s="195" t="s">
        <v>74</v>
      </c>
      <c r="I124" s="195" t="s">
        <v>46</v>
      </c>
      <c r="J124" s="195">
        <v>3</v>
      </c>
      <c r="K124" s="196">
        <v>36.75</v>
      </c>
      <c r="L124" s="196">
        <f>K124*J124</f>
        <v>110.25</v>
      </c>
      <c r="M124" s="143">
        <v>0</v>
      </c>
      <c r="N124" s="197">
        <v>45593</v>
      </c>
      <c r="O124" s="157">
        <f>WEEKNUM(N124)</f>
        <v>44</v>
      </c>
      <c r="P124" s="198"/>
      <c r="Q124" s="140" t="s">
        <v>29</v>
      </c>
      <c r="R124" s="194"/>
      <c r="S124" s="194"/>
      <c r="T124" s="194"/>
      <c r="U124" s="194"/>
      <c r="V124" s="194"/>
    </row>
    <row r="125" spans="1:22" ht="15.6" hidden="1" x14ac:dyDescent="0.3">
      <c r="A125" s="140" t="s">
        <v>509</v>
      </c>
      <c r="B125" s="195">
        <v>1033</v>
      </c>
      <c r="C125" s="197">
        <v>45579</v>
      </c>
      <c r="D125" s="195">
        <f>WEEKNUM(C125)</f>
        <v>42</v>
      </c>
      <c r="E125" s="195" t="s">
        <v>68</v>
      </c>
      <c r="F125" s="195" t="s">
        <v>343</v>
      </c>
      <c r="G125" s="140" t="s">
        <v>508</v>
      </c>
      <c r="H125" s="195" t="s">
        <v>190</v>
      </c>
      <c r="I125" s="195" t="s">
        <v>46</v>
      </c>
      <c r="J125" s="195">
        <v>12</v>
      </c>
      <c r="K125" s="196">
        <v>65</v>
      </c>
      <c r="L125" s="196">
        <f>K125*J125</f>
        <v>780</v>
      </c>
      <c r="M125" s="143">
        <v>0</v>
      </c>
      <c r="N125" s="197">
        <v>45593</v>
      </c>
      <c r="O125" s="157">
        <f>WEEKNUM(N125)</f>
        <v>44</v>
      </c>
      <c r="P125" s="198"/>
      <c r="Q125" s="140" t="s">
        <v>29</v>
      </c>
      <c r="R125" s="194"/>
      <c r="S125" s="194"/>
      <c r="T125" s="194"/>
      <c r="U125" s="194"/>
      <c r="V125" s="194"/>
    </row>
    <row r="126" spans="1:22" ht="15.6" hidden="1" x14ac:dyDescent="0.3">
      <c r="A126" s="140" t="s">
        <v>509</v>
      </c>
      <c r="B126" s="195">
        <v>1033</v>
      </c>
      <c r="C126" s="197">
        <v>45579</v>
      </c>
      <c r="D126" s="195">
        <f>WEEKNUM(C126)</f>
        <v>42</v>
      </c>
      <c r="E126" s="195" t="s">
        <v>68</v>
      </c>
      <c r="F126" s="195" t="s">
        <v>343</v>
      </c>
      <c r="G126" s="142" t="s">
        <v>408</v>
      </c>
      <c r="H126" s="195" t="s">
        <v>80</v>
      </c>
      <c r="I126" s="195" t="s">
        <v>46</v>
      </c>
      <c r="J126" s="195">
        <v>10</v>
      </c>
      <c r="K126" s="196">
        <v>21</v>
      </c>
      <c r="L126" s="196">
        <f>K126*J126</f>
        <v>210</v>
      </c>
      <c r="M126" s="143">
        <v>0</v>
      </c>
      <c r="N126" s="197">
        <v>45593</v>
      </c>
      <c r="O126" s="157">
        <f>WEEKNUM(N126)</f>
        <v>44</v>
      </c>
      <c r="P126" s="198"/>
      <c r="Q126" s="140" t="s">
        <v>29</v>
      </c>
      <c r="R126" s="194"/>
      <c r="S126" s="194"/>
      <c r="T126" s="194"/>
      <c r="U126" s="194"/>
      <c r="V126" s="194"/>
    </row>
    <row r="127" spans="1:22" ht="15.6" hidden="1" x14ac:dyDescent="0.3">
      <c r="A127" s="140" t="s">
        <v>509</v>
      </c>
      <c r="B127" s="195">
        <v>1033</v>
      </c>
      <c r="C127" s="197">
        <v>45579</v>
      </c>
      <c r="D127" s="195">
        <f>WEEKNUM(C127)</f>
        <v>42</v>
      </c>
      <c r="E127" s="195" t="s">
        <v>68</v>
      </c>
      <c r="F127" s="195" t="s">
        <v>343</v>
      </c>
      <c r="G127" s="142" t="s">
        <v>311</v>
      </c>
      <c r="H127" s="195" t="s">
        <v>51</v>
      </c>
      <c r="I127" s="195" t="s">
        <v>46</v>
      </c>
      <c r="J127" s="195">
        <v>10</v>
      </c>
      <c r="K127" s="196">
        <v>21</v>
      </c>
      <c r="L127" s="196">
        <f>K127*J127</f>
        <v>210</v>
      </c>
      <c r="M127" s="143">
        <v>0</v>
      </c>
      <c r="N127" s="197">
        <v>45593</v>
      </c>
      <c r="O127" s="157">
        <f>WEEKNUM(N127)</f>
        <v>44</v>
      </c>
      <c r="P127" s="198"/>
      <c r="Q127" s="140" t="s">
        <v>29</v>
      </c>
      <c r="R127" s="194"/>
      <c r="S127" s="194"/>
      <c r="T127" s="194"/>
      <c r="U127" s="194"/>
      <c r="V127" s="194"/>
    </row>
    <row r="128" spans="1:22" ht="15.6" hidden="1" x14ac:dyDescent="0.3">
      <c r="A128" s="140" t="s">
        <v>509</v>
      </c>
      <c r="B128" s="195">
        <v>1044</v>
      </c>
      <c r="C128" s="197">
        <v>45588</v>
      </c>
      <c r="D128" s="195">
        <f>WEEKNUM(C128)</f>
        <v>43</v>
      </c>
      <c r="E128" s="195" t="s">
        <v>68</v>
      </c>
      <c r="F128" s="195" t="s">
        <v>344</v>
      </c>
      <c r="G128" s="195" t="s">
        <v>308</v>
      </c>
      <c r="H128" s="195" t="s">
        <v>74</v>
      </c>
      <c r="I128" s="195" t="s">
        <v>46</v>
      </c>
      <c r="J128" s="195">
        <v>11</v>
      </c>
      <c r="K128" s="196">
        <v>36.75</v>
      </c>
      <c r="L128" s="196">
        <f>K128*J128</f>
        <v>404.25</v>
      </c>
      <c r="M128" s="143">
        <v>0</v>
      </c>
      <c r="N128" s="197">
        <v>45596</v>
      </c>
      <c r="O128" s="157">
        <f>WEEKNUM(N128)</f>
        <v>44</v>
      </c>
      <c r="P128" s="198"/>
      <c r="Q128" s="140" t="s">
        <v>29</v>
      </c>
      <c r="R128" s="194"/>
      <c r="S128" s="194"/>
      <c r="T128" s="194"/>
      <c r="U128" s="194"/>
      <c r="V128" s="194"/>
    </row>
    <row r="129" spans="1:22" ht="15.6" hidden="1" x14ac:dyDescent="0.3">
      <c r="A129" s="140" t="s">
        <v>509</v>
      </c>
      <c r="B129" s="195">
        <v>1044</v>
      </c>
      <c r="C129" s="197">
        <v>45588</v>
      </c>
      <c r="D129" s="195">
        <f>WEEKNUM(C129)</f>
        <v>43</v>
      </c>
      <c r="E129" s="195" t="s">
        <v>68</v>
      </c>
      <c r="F129" s="195" t="s">
        <v>344</v>
      </c>
      <c r="G129" s="142" t="s">
        <v>408</v>
      </c>
      <c r="H129" s="195" t="s">
        <v>80</v>
      </c>
      <c r="I129" s="195" t="s">
        <v>46</v>
      </c>
      <c r="J129" s="195">
        <v>4</v>
      </c>
      <c r="K129" s="196">
        <v>20</v>
      </c>
      <c r="L129" s="196">
        <f>K129*J129</f>
        <v>80</v>
      </c>
      <c r="M129" s="143">
        <v>0</v>
      </c>
      <c r="N129" s="197">
        <v>45596</v>
      </c>
      <c r="O129" s="157">
        <f>WEEKNUM(N129)</f>
        <v>44</v>
      </c>
      <c r="P129" s="198"/>
      <c r="Q129" s="140" t="s">
        <v>29</v>
      </c>
      <c r="R129" s="194"/>
      <c r="S129" s="194"/>
      <c r="T129" s="194"/>
      <c r="U129" s="194"/>
      <c r="V129" s="194"/>
    </row>
    <row r="130" spans="1:22" ht="15.6" hidden="1" x14ac:dyDescent="0.3">
      <c r="A130" s="140" t="s">
        <v>509</v>
      </c>
      <c r="B130" s="195">
        <v>1044</v>
      </c>
      <c r="C130" s="197">
        <v>45588</v>
      </c>
      <c r="D130" s="195">
        <f>WEEKNUM(C130)</f>
        <v>43</v>
      </c>
      <c r="E130" s="195" t="s">
        <v>68</v>
      </c>
      <c r="F130" s="195" t="s">
        <v>344</v>
      </c>
      <c r="G130" s="142" t="s">
        <v>311</v>
      </c>
      <c r="H130" s="195" t="s">
        <v>51</v>
      </c>
      <c r="I130" s="195" t="s">
        <v>46</v>
      </c>
      <c r="J130" s="195">
        <v>6</v>
      </c>
      <c r="K130" s="196">
        <v>25</v>
      </c>
      <c r="L130" s="196">
        <f>K130*J130</f>
        <v>150</v>
      </c>
      <c r="M130" s="143">
        <v>0</v>
      </c>
      <c r="N130" s="197">
        <v>45596</v>
      </c>
      <c r="O130" s="157">
        <f>WEEKNUM(N130)</f>
        <v>44</v>
      </c>
      <c r="P130" s="198"/>
      <c r="Q130" s="140" t="s">
        <v>29</v>
      </c>
      <c r="R130" s="194"/>
      <c r="S130" s="194"/>
      <c r="T130" s="194"/>
      <c r="U130" s="194"/>
      <c r="V130" s="194"/>
    </row>
    <row r="131" spans="1:22" ht="15.6" hidden="1" x14ac:dyDescent="0.3">
      <c r="A131" s="140" t="s">
        <v>509</v>
      </c>
      <c r="B131" s="195">
        <v>1048</v>
      </c>
      <c r="C131" s="197">
        <v>45595</v>
      </c>
      <c r="D131" s="195">
        <f>WEEKNUM(C131)</f>
        <v>44</v>
      </c>
      <c r="E131" s="195" t="s">
        <v>68</v>
      </c>
      <c r="F131" s="142" t="s">
        <v>345</v>
      </c>
      <c r="G131" s="195" t="s">
        <v>301</v>
      </c>
      <c r="H131" s="195" t="s">
        <v>74</v>
      </c>
      <c r="I131" s="195" t="s">
        <v>46</v>
      </c>
      <c r="J131" s="195">
        <v>21</v>
      </c>
      <c r="K131" s="196">
        <v>36.75</v>
      </c>
      <c r="L131" s="196">
        <f>K131*J131</f>
        <v>771.75</v>
      </c>
      <c r="M131" s="143">
        <v>0</v>
      </c>
      <c r="N131" s="197">
        <v>45602</v>
      </c>
      <c r="O131" s="157">
        <f>WEEKNUM(N131)</f>
        <v>45</v>
      </c>
      <c r="P131" s="198"/>
      <c r="Q131" s="140" t="s">
        <v>29</v>
      </c>
      <c r="R131" s="194"/>
      <c r="S131" s="194"/>
      <c r="T131" s="194"/>
      <c r="U131" s="194"/>
      <c r="V131" s="194"/>
    </row>
    <row r="132" spans="1:22" ht="15.6" hidden="1" x14ac:dyDescent="0.3">
      <c r="A132" s="140" t="s">
        <v>509</v>
      </c>
      <c r="B132" s="195">
        <v>1048</v>
      </c>
      <c r="C132" s="197">
        <v>45595</v>
      </c>
      <c r="D132" s="195">
        <f>WEEKNUM(C132)</f>
        <v>44</v>
      </c>
      <c r="E132" s="195" t="s">
        <v>68</v>
      </c>
      <c r="F132" s="142" t="s">
        <v>345</v>
      </c>
      <c r="G132" s="140" t="s">
        <v>508</v>
      </c>
      <c r="H132" s="195" t="s">
        <v>190</v>
      </c>
      <c r="I132" s="195" t="s">
        <v>46</v>
      </c>
      <c r="J132" s="195">
        <v>16</v>
      </c>
      <c r="K132" s="196">
        <v>65</v>
      </c>
      <c r="L132" s="196">
        <f>K132*J132</f>
        <v>1040</v>
      </c>
      <c r="M132" s="143">
        <v>0</v>
      </c>
      <c r="N132" s="197">
        <v>45602</v>
      </c>
      <c r="O132" s="157">
        <f>WEEKNUM(N132)</f>
        <v>45</v>
      </c>
      <c r="P132" s="198"/>
      <c r="Q132" s="140" t="s">
        <v>29</v>
      </c>
      <c r="R132" s="194"/>
      <c r="S132" s="194"/>
      <c r="T132" s="194"/>
      <c r="U132" s="194"/>
      <c r="V132" s="194"/>
    </row>
    <row r="133" spans="1:22" ht="15.6" hidden="1" x14ac:dyDescent="0.3">
      <c r="A133" s="140" t="s">
        <v>509</v>
      </c>
      <c r="B133" s="195">
        <v>1048</v>
      </c>
      <c r="C133" s="197">
        <v>45595</v>
      </c>
      <c r="D133" s="195">
        <f>WEEKNUM(C133)</f>
        <v>44</v>
      </c>
      <c r="E133" s="195" t="s">
        <v>68</v>
      </c>
      <c r="F133" s="142" t="s">
        <v>345</v>
      </c>
      <c r="G133" s="142" t="s">
        <v>408</v>
      </c>
      <c r="H133" s="195" t="s">
        <v>80</v>
      </c>
      <c r="I133" s="195" t="s">
        <v>46</v>
      </c>
      <c r="J133" s="195">
        <v>10</v>
      </c>
      <c r="K133" s="196">
        <v>20</v>
      </c>
      <c r="L133" s="196">
        <f>K133*J133</f>
        <v>200</v>
      </c>
      <c r="M133" s="143">
        <v>0</v>
      </c>
      <c r="N133" s="197">
        <v>45602</v>
      </c>
      <c r="O133" s="157">
        <f>WEEKNUM(N133)</f>
        <v>45</v>
      </c>
      <c r="P133" s="198"/>
      <c r="Q133" s="140" t="s">
        <v>29</v>
      </c>
      <c r="R133" s="194"/>
      <c r="S133" s="194"/>
      <c r="T133" s="194"/>
      <c r="U133" s="194"/>
      <c r="V133" s="194"/>
    </row>
    <row r="134" spans="1:22" ht="15.6" hidden="1" x14ac:dyDescent="0.3">
      <c r="A134" s="140" t="s">
        <v>509</v>
      </c>
      <c r="B134" s="195">
        <v>1048</v>
      </c>
      <c r="C134" s="197">
        <v>45595</v>
      </c>
      <c r="D134" s="195">
        <f>WEEKNUM(C134)</f>
        <v>44</v>
      </c>
      <c r="E134" s="195" t="s">
        <v>68</v>
      </c>
      <c r="F134" s="142" t="s">
        <v>345</v>
      </c>
      <c r="G134" s="142" t="s">
        <v>311</v>
      </c>
      <c r="H134" s="195" t="s">
        <v>51</v>
      </c>
      <c r="I134" s="195" t="s">
        <v>46</v>
      </c>
      <c r="J134" s="195">
        <v>15</v>
      </c>
      <c r="K134" s="196">
        <v>25</v>
      </c>
      <c r="L134" s="196">
        <f>K134*J134</f>
        <v>375</v>
      </c>
      <c r="M134" s="143">
        <v>0</v>
      </c>
      <c r="N134" s="197">
        <v>45602</v>
      </c>
      <c r="O134" s="157">
        <f>WEEKNUM(N134)</f>
        <v>45</v>
      </c>
      <c r="P134" s="198"/>
      <c r="Q134" s="140" t="s">
        <v>29</v>
      </c>
      <c r="R134" s="194"/>
      <c r="S134" s="194"/>
      <c r="T134" s="194"/>
      <c r="U134" s="194"/>
      <c r="V134" s="194"/>
    </row>
    <row r="135" spans="1:22" ht="15.6" hidden="1" x14ac:dyDescent="0.3">
      <c r="A135" s="140" t="s">
        <v>509</v>
      </c>
      <c r="B135" s="195">
        <v>1050</v>
      </c>
      <c r="C135" s="197">
        <v>45601</v>
      </c>
      <c r="D135" s="195">
        <f>WEEKNUM(C135)</f>
        <v>45</v>
      </c>
      <c r="E135" s="195" t="s">
        <v>68</v>
      </c>
      <c r="F135" s="195" t="s">
        <v>346</v>
      </c>
      <c r="G135" s="142" t="s">
        <v>311</v>
      </c>
      <c r="H135" s="195" t="s">
        <v>51</v>
      </c>
      <c r="I135" s="195" t="s">
        <v>46</v>
      </c>
      <c r="J135" s="195">
        <v>16</v>
      </c>
      <c r="K135" s="196">
        <v>25</v>
      </c>
      <c r="L135" s="196">
        <f>K135*J135</f>
        <v>400</v>
      </c>
      <c r="M135" s="143">
        <v>0</v>
      </c>
      <c r="N135" s="197">
        <v>45614</v>
      </c>
      <c r="O135" s="157">
        <f>WEEKNUM(N135)</f>
        <v>47</v>
      </c>
      <c r="P135" s="198"/>
      <c r="Q135" s="140" t="s">
        <v>29</v>
      </c>
      <c r="R135" s="194"/>
      <c r="S135" s="194"/>
      <c r="T135" s="194"/>
      <c r="U135" s="194"/>
      <c r="V135" s="194"/>
    </row>
    <row r="136" spans="1:22" ht="15.6" hidden="1" x14ac:dyDescent="0.3">
      <c r="A136" s="140" t="s">
        <v>509</v>
      </c>
      <c r="B136" s="195">
        <v>1050</v>
      </c>
      <c r="C136" s="197">
        <v>45601</v>
      </c>
      <c r="D136" s="195">
        <f>WEEKNUM(C136)</f>
        <v>45</v>
      </c>
      <c r="E136" s="195" t="s">
        <v>68</v>
      </c>
      <c r="F136" s="195" t="s">
        <v>346</v>
      </c>
      <c r="G136" s="142" t="s">
        <v>408</v>
      </c>
      <c r="H136" s="195" t="s">
        <v>80</v>
      </c>
      <c r="I136" s="195" t="s">
        <v>46</v>
      </c>
      <c r="J136" s="195">
        <v>9</v>
      </c>
      <c r="K136" s="196">
        <v>21</v>
      </c>
      <c r="L136" s="196">
        <f>K136*J136</f>
        <v>189</v>
      </c>
      <c r="M136" s="143">
        <v>0</v>
      </c>
      <c r="N136" s="197">
        <v>45614</v>
      </c>
      <c r="O136" s="157">
        <f>WEEKNUM(N136)</f>
        <v>47</v>
      </c>
      <c r="P136" s="198"/>
      <c r="Q136" s="140" t="s">
        <v>29</v>
      </c>
      <c r="R136" s="194"/>
      <c r="S136" s="194"/>
      <c r="T136" s="194"/>
      <c r="U136" s="194"/>
      <c r="V136" s="194"/>
    </row>
    <row r="137" spans="1:22" ht="15.6" hidden="1" x14ac:dyDescent="0.3">
      <c r="A137" s="140" t="s">
        <v>509</v>
      </c>
      <c r="B137" s="195">
        <v>1050</v>
      </c>
      <c r="C137" s="197">
        <v>45601</v>
      </c>
      <c r="D137" s="195">
        <f>WEEKNUM(C137)</f>
        <v>45</v>
      </c>
      <c r="E137" s="195" t="s">
        <v>68</v>
      </c>
      <c r="F137" s="195" t="s">
        <v>346</v>
      </c>
      <c r="G137" s="195" t="s">
        <v>308</v>
      </c>
      <c r="H137" s="195" t="s">
        <v>74</v>
      </c>
      <c r="I137" s="195" t="s">
        <v>46</v>
      </c>
      <c r="J137" s="195">
        <v>6</v>
      </c>
      <c r="K137" s="196">
        <v>36.75</v>
      </c>
      <c r="L137" s="196">
        <f>K137*J137</f>
        <v>220.5</v>
      </c>
      <c r="M137" s="143">
        <v>0</v>
      </c>
      <c r="N137" s="197">
        <v>45614</v>
      </c>
      <c r="O137" s="157">
        <f>WEEKNUM(N137)</f>
        <v>47</v>
      </c>
      <c r="P137" s="198"/>
      <c r="Q137" s="140" t="s">
        <v>29</v>
      </c>
      <c r="R137" s="194"/>
      <c r="S137" s="194"/>
      <c r="T137" s="194"/>
      <c r="U137" s="194"/>
      <c r="V137" s="194"/>
    </row>
    <row r="138" spans="1:22" ht="15.6" hidden="1" x14ac:dyDescent="0.3">
      <c r="A138" s="140" t="s">
        <v>509</v>
      </c>
      <c r="B138" s="195">
        <v>1050</v>
      </c>
      <c r="C138" s="197">
        <v>45601</v>
      </c>
      <c r="D138" s="195">
        <f>WEEKNUM(C138)</f>
        <v>45</v>
      </c>
      <c r="E138" s="195" t="s">
        <v>68</v>
      </c>
      <c r="F138" s="195" t="s">
        <v>346</v>
      </c>
      <c r="G138" s="195" t="s">
        <v>301</v>
      </c>
      <c r="H138" s="195" t="s">
        <v>74</v>
      </c>
      <c r="I138" s="195" t="s">
        <v>46</v>
      </c>
      <c r="J138" s="195">
        <v>2</v>
      </c>
      <c r="K138" s="196">
        <v>36.75</v>
      </c>
      <c r="L138" s="196">
        <f>K138*J138</f>
        <v>73.5</v>
      </c>
      <c r="M138" s="143">
        <v>0</v>
      </c>
      <c r="N138" s="197">
        <v>45614</v>
      </c>
      <c r="O138" s="157">
        <f>WEEKNUM(N138)</f>
        <v>47</v>
      </c>
      <c r="P138" s="198"/>
      <c r="Q138" s="140" t="s">
        <v>29</v>
      </c>
      <c r="R138" s="194"/>
      <c r="S138" s="194"/>
      <c r="T138" s="194"/>
      <c r="U138" s="194"/>
      <c r="V138" s="194"/>
    </row>
    <row r="139" spans="1:22" ht="15.6" hidden="1" x14ac:dyDescent="0.3">
      <c r="A139" s="140" t="s">
        <v>509</v>
      </c>
      <c r="B139" s="195">
        <v>1050</v>
      </c>
      <c r="C139" s="197">
        <v>45601</v>
      </c>
      <c r="D139" s="195">
        <f>WEEKNUM(C139)</f>
        <v>45</v>
      </c>
      <c r="E139" s="195" t="s">
        <v>68</v>
      </c>
      <c r="F139" s="195" t="s">
        <v>346</v>
      </c>
      <c r="G139" s="195" t="s">
        <v>307</v>
      </c>
      <c r="H139" s="195" t="s">
        <v>74</v>
      </c>
      <c r="I139" s="195" t="s">
        <v>46</v>
      </c>
      <c r="J139" s="195">
        <v>7</v>
      </c>
      <c r="K139" s="196">
        <v>47.5</v>
      </c>
      <c r="L139" s="196">
        <f>K139*J139</f>
        <v>332.5</v>
      </c>
      <c r="M139" s="143">
        <v>0</v>
      </c>
      <c r="N139" s="197">
        <v>45614</v>
      </c>
      <c r="O139" s="157">
        <f>WEEKNUM(N139)</f>
        <v>47</v>
      </c>
      <c r="P139" s="198"/>
      <c r="Q139" s="140" t="s">
        <v>29</v>
      </c>
      <c r="R139" s="194"/>
      <c r="S139" s="194"/>
      <c r="T139" s="194"/>
      <c r="U139" s="194"/>
      <c r="V139" s="194"/>
    </row>
    <row r="140" spans="1:22" ht="15.6" hidden="1" x14ac:dyDescent="0.3">
      <c r="A140" s="140" t="s">
        <v>509</v>
      </c>
      <c r="B140" s="195">
        <v>1050</v>
      </c>
      <c r="C140" s="197">
        <v>45601</v>
      </c>
      <c r="D140" s="195">
        <f>WEEKNUM(C140)</f>
        <v>45</v>
      </c>
      <c r="E140" s="195" t="s">
        <v>68</v>
      </c>
      <c r="F140" s="195" t="s">
        <v>346</v>
      </c>
      <c r="G140" s="142" t="s">
        <v>505</v>
      </c>
      <c r="H140" s="195" t="s">
        <v>190</v>
      </c>
      <c r="I140" s="142" t="s">
        <v>61</v>
      </c>
      <c r="J140" s="195">
        <v>6</v>
      </c>
      <c r="K140" s="196">
        <v>75</v>
      </c>
      <c r="L140" s="196">
        <f>K140*J140</f>
        <v>450</v>
      </c>
      <c r="M140" s="143">
        <v>0</v>
      </c>
      <c r="N140" s="197">
        <v>45614</v>
      </c>
      <c r="O140" s="157">
        <f>WEEKNUM(N140)</f>
        <v>47</v>
      </c>
      <c r="P140" s="198"/>
      <c r="Q140" s="140" t="s">
        <v>29</v>
      </c>
      <c r="R140" s="194"/>
      <c r="S140" s="194"/>
      <c r="T140" s="194"/>
      <c r="U140" s="194"/>
      <c r="V140" s="194"/>
    </row>
    <row r="141" spans="1:22" ht="15.6" hidden="1" x14ac:dyDescent="0.3">
      <c r="A141" s="140" t="s">
        <v>509</v>
      </c>
      <c r="B141" s="195">
        <v>1050</v>
      </c>
      <c r="C141" s="197">
        <v>45601</v>
      </c>
      <c r="D141" s="195">
        <f>WEEKNUM(C141)</f>
        <v>45</v>
      </c>
      <c r="E141" s="195" t="s">
        <v>68</v>
      </c>
      <c r="F141" s="195" t="s">
        <v>346</v>
      </c>
      <c r="G141" s="140" t="s">
        <v>508</v>
      </c>
      <c r="H141" s="195" t="s">
        <v>190</v>
      </c>
      <c r="I141" s="195" t="s">
        <v>46</v>
      </c>
      <c r="J141" s="195">
        <v>4</v>
      </c>
      <c r="K141" s="196">
        <v>65</v>
      </c>
      <c r="L141" s="196">
        <f>K141*J141</f>
        <v>260</v>
      </c>
      <c r="M141" s="143">
        <v>0</v>
      </c>
      <c r="N141" s="197">
        <v>45614</v>
      </c>
      <c r="O141" s="157">
        <f>WEEKNUM(N141)</f>
        <v>47</v>
      </c>
      <c r="P141" s="198"/>
      <c r="Q141" s="140" t="s">
        <v>29</v>
      </c>
      <c r="R141" s="194"/>
      <c r="S141" s="194"/>
      <c r="T141" s="194"/>
      <c r="U141" s="194"/>
      <c r="V141" s="194"/>
    </row>
    <row r="142" spans="1:22" ht="15.6" hidden="1" x14ac:dyDescent="0.3">
      <c r="A142" s="140" t="s">
        <v>509</v>
      </c>
      <c r="B142" s="195">
        <v>1050</v>
      </c>
      <c r="C142" s="197">
        <v>45601</v>
      </c>
      <c r="D142" s="195">
        <f>WEEKNUM(C142)</f>
        <v>45</v>
      </c>
      <c r="E142" s="195" t="s">
        <v>68</v>
      </c>
      <c r="F142" s="195" t="s">
        <v>346</v>
      </c>
      <c r="G142" s="140" t="s">
        <v>356</v>
      </c>
      <c r="H142" s="195" t="s">
        <v>321</v>
      </c>
      <c r="I142" s="195" t="s">
        <v>46</v>
      </c>
      <c r="J142" s="195">
        <v>4</v>
      </c>
      <c r="K142" s="196">
        <v>85</v>
      </c>
      <c r="L142" s="196">
        <f>K142*J142</f>
        <v>340</v>
      </c>
      <c r="M142" s="143">
        <v>0</v>
      </c>
      <c r="N142" s="197">
        <v>45614</v>
      </c>
      <c r="O142" s="157">
        <f>WEEKNUM(N142)</f>
        <v>47</v>
      </c>
      <c r="P142" s="198"/>
      <c r="Q142" s="140" t="s">
        <v>29</v>
      </c>
      <c r="R142" s="194"/>
      <c r="S142" s="194"/>
      <c r="T142" s="194"/>
      <c r="U142" s="194"/>
      <c r="V142" s="194"/>
    </row>
    <row r="143" spans="1:22" ht="15.6" hidden="1" x14ac:dyDescent="0.3">
      <c r="A143" s="140" t="s">
        <v>509</v>
      </c>
      <c r="B143" s="195">
        <v>1051</v>
      </c>
      <c r="C143" s="197">
        <v>45602</v>
      </c>
      <c r="D143" s="195">
        <f>WEEKNUM(C143)</f>
        <v>45</v>
      </c>
      <c r="E143" s="195" t="s">
        <v>68</v>
      </c>
      <c r="F143" s="195" t="s">
        <v>347</v>
      </c>
      <c r="G143" s="142" t="s">
        <v>311</v>
      </c>
      <c r="H143" s="195" t="s">
        <v>51</v>
      </c>
      <c r="I143" s="195" t="s">
        <v>46</v>
      </c>
      <c r="J143" s="195">
        <v>13</v>
      </c>
      <c r="K143" s="196">
        <v>25</v>
      </c>
      <c r="L143" s="196">
        <f>K143*J143</f>
        <v>325</v>
      </c>
      <c r="M143" s="143">
        <v>0</v>
      </c>
      <c r="N143" s="197">
        <v>45622</v>
      </c>
      <c r="O143" s="157">
        <f>WEEKNUM(N143)</f>
        <v>48</v>
      </c>
      <c r="P143" s="198"/>
      <c r="Q143" s="140" t="s">
        <v>29</v>
      </c>
      <c r="R143" s="194"/>
      <c r="S143" s="194"/>
      <c r="T143" s="194"/>
      <c r="U143" s="194"/>
      <c r="V143" s="194"/>
    </row>
    <row r="144" spans="1:22" ht="15.6" hidden="1" x14ac:dyDescent="0.3">
      <c r="A144" s="140" t="s">
        <v>509</v>
      </c>
      <c r="B144" s="195">
        <v>1051</v>
      </c>
      <c r="C144" s="197">
        <v>45602</v>
      </c>
      <c r="D144" s="195">
        <f>WEEKNUM(C144)</f>
        <v>45</v>
      </c>
      <c r="E144" s="195" t="s">
        <v>68</v>
      </c>
      <c r="F144" s="195" t="s">
        <v>347</v>
      </c>
      <c r="G144" s="195" t="s">
        <v>308</v>
      </c>
      <c r="H144" s="195" t="s">
        <v>74</v>
      </c>
      <c r="I144" s="195" t="s">
        <v>46</v>
      </c>
      <c r="J144" s="195">
        <v>7</v>
      </c>
      <c r="K144" s="196">
        <v>36.75</v>
      </c>
      <c r="L144" s="196">
        <f>K144*J144</f>
        <v>257.25</v>
      </c>
      <c r="M144" s="143">
        <v>0</v>
      </c>
      <c r="N144" s="197">
        <v>45622</v>
      </c>
      <c r="O144" s="157">
        <f>WEEKNUM(N144)</f>
        <v>48</v>
      </c>
      <c r="P144" s="198"/>
      <c r="Q144" s="140" t="s">
        <v>29</v>
      </c>
      <c r="R144" s="194"/>
      <c r="S144" s="194"/>
      <c r="T144" s="194"/>
      <c r="U144" s="194"/>
      <c r="V144" s="194"/>
    </row>
    <row r="145" spans="1:22" ht="15.6" hidden="1" x14ac:dyDescent="0.3">
      <c r="A145" s="140" t="s">
        <v>509</v>
      </c>
      <c r="B145" s="195">
        <v>1051</v>
      </c>
      <c r="C145" s="197">
        <v>45602</v>
      </c>
      <c r="D145" s="195">
        <f>WEEKNUM(C145)</f>
        <v>45</v>
      </c>
      <c r="E145" s="195" t="s">
        <v>68</v>
      </c>
      <c r="F145" s="195" t="s">
        <v>347</v>
      </c>
      <c r="G145" s="195" t="s">
        <v>301</v>
      </c>
      <c r="H145" s="195" t="s">
        <v>74</v>
      </c>
      <c r="I145" s="195" t="s">
        <v>46</v>
      </c>
      <c r="J145" s="195">
        <v>6</v>
      </c>
      <c r="K145" s="196">
        <v>36.75</v>
      </c>
      <c r="L145" s="196">
        <f>K145*J145</f>
        <v>220.5</v>
      </c>
      <c r="M145" s="143">
        <v>0</v>
      </c>
      <c r="N145" s="197">
        <v>45622</v>
      </c>
      <c r="O145" s="157">
        <f>WEEKNUM(N145)</f>
        <v>48</v>
      </c>
      <c r="P145" s="198"/>
      <c r="Q145" s="140" t="s">
        <v>29</v>
      </c>
      <c r="R145" s="194"/>
      <c r="S145" s="194"/>
      <c r="T145" s="194"/>
      <c r="U145" s="194"/>
      <c r="V145" s="194"/>
    </row>
    <row r="146" spans="1:22" ht="15.6" hidden="1" x14ac:dyDescent="0.3">
      <c r="A146" s="140" t="s">
        <v>509</v>
      </c>
      <c r="B146" s="195">
        <v>1052</v>
      </c>
      <c r="C146" s="197">
        <v>45603</v>
      </c>
      <c r="D146" s="195">
        <f>WEEKNUM(C146)</f>
        <v>45</v>
      </c>
      <c r="E146" s="195" t="s">
        <v>68</v>
      </c>
      <c r="F146" s="195" t="s">
        <v>348</v>
      </c>
      <c r="G146" s="142" t="s">
        <v>408</v>
      </c>
      <c r="H146" s="195" t="s">
        <v>80</v>
      </c>
      <c r="I146" s="195" t="s">
        <v>46</v>
      </c>
      <c r="J146" s="195">
        <v>6</v>
      </c>
      <c r="K146" s="196">
        <v>21</v>
      </c>
      <c r="L146" s="196">
        <f>K146*J146</f>
        <v>126</v>
      </c>
      <c r="M146" s="143">
        <v>0</v>
      </c>
      <c r="N146" s="197">
        <v>45623</v>
      </c>
      <c r="O146" s="157">
        <f>WEEKNUM(N146)</f>
        <v>48</v>
      </c>
      <c r="P146" s="198"/>
      <c r="Q146" s="140" t="s">
        <v>29</v>
      </c>
      <c r="R146" s="194"/>
      <c r="S146" s="194"/>
      <c r="T146" s="194"/>
      <c r="U146" s="194"/>
      <c r="V146" s="194"/>
    </row>
    <row r="147" spans="1:22" ht="15.6" hidden="1" x14ac:dyDescent="0.3">
      <c r="A147" s="140" t="s">
        <v>509</v>
      </c>
      <c r="B147" s="195">
        <v>1052</v>
      </c>
      <c r="C147" s="197">
        <v>45603</v>
      </c>
      <c r="D147" s="195">
        <f>WEEKNUM(C147)</f>
        <v>45</v>
      </c>
      <c r="E147" s="195" t="s">
        <v>68</v>
      </c>
      <c r="F147" s="195" t="s">
        <v>348</v>
      </c>
      <c r="G147" s="195" t="s">
        <v>301</v>
      </c>
      <c r="H147" s="195" t="s">
        <v>74</v>
      </c>
      <c r="I147" s="195" t="s">
        <v>46</v>
      </c>
      <c r="J147" s="195">
        <v>10</v>
      </c>
      <c r="K147" s="196">
        <v>36.75</v>
      </c>
      <c r="L147" s="196">
        <f>K147*J147</f>
        <v>367.5</v>
      </c>
      <c r="M147" s="143">
        <v>0</v>
      </c>
      <c r="N147" s="197">
        <v>45623</v>
      </c>
      <c r="O147" s="157">
        <f>WEEKNUM(N147)</f>
        <v>48</v>
      </c>
      <c r="P147" s="198"/>
      <c r="Q147" s="140" t="s">
        <v>29</v>
      </c>
      <c r="R147" s="194"/>
      <c r="S147" s="194"/>
      <c r="T147" s="194"/>
      <c r="U147" s="194"/>
      <c r="V147" s="194"/>
    </row>
    <row r="148" spans="1:22" ht="15.6" hidden="1" x14ac:dyDescent="0.3">
      <c r="A148" s="140" t="s">
        <v>509</v>
      </c>
      <c r="B148" s="195">
        <v>1053</v>
      </c>
      <c r="C148" s="197">
        <v>45604</v>
      </c>
      <c r="D148" s="195">
        <f>WEEKNUM(C148)</f>
        <v>45</v>
      </c>
      <c r="E148" s="195" t="s">
        <v>68</v>
      </c>
      <c r="F148" s="195" t="s">
        <v>177</v>
      </c>
      <c r="G148" s="195" t="s">
        <v>308</v>
      </c>
      <c r="H148" s="195" t="s">
        <v>74</v>
      </c>
      <c r="I148" s="195" t="s">
        <v>46</v>
      </c>
      <c r="J148" s="195">
        <v>50</v>
      </c>
      <c r="K148" s="196">
        <v>36.75</v>
      </c>
      <c r="L148" s="196">
        <f>K148*J148</f>
        <v>1837.5</v>
      </c>
      <c r="M148" s="143">
        <v>0</v>
      </c>
      <c r="N148" s="197">
        <v>45636</v>
      </c>
      <c r="O148" s="157">
        <f>WEEKNUM(N148)</f>
        <v>50</v>
      </c>
      <c r="P148" s="198"/>
      <c r="Q148" s="140" t="s">
        <v>29</v>
      </c>
      <c r="R148" s="194"/>
      <c r="S148" s="194"/>
      <c r="T148" s="194"/>
      <c r="U148" s="194"/>
      <c r="V148" s="194"/>
    </row>
    <row r="149" spans="1:22" ht="15.6" hidden="1" x14ac:dyDescent="0.3">
      <c r="A149" s="140" t="s">
        <v>509</v>
      </c>
      <c r="B149" s="195">
        <v>1053</v>
      </c>
      <c r="C149" s="197">
        <v>45604</v>
      </c>
      <c r="D149" s="195">
        <f>WEEKNUM(C149)</f>
        <v>45</v>
      </c>
      <c r="E149" s="195" t="s">
        <v>68</v>
      </c>
      <c r="F149" s="195" t="s">
        <v>177</v>
      </c>
      <c r="G149" s="195" t="s">
        <v>301</v>
      </c>
      <c r="H149" s="195" t="s">
        <v>74</v>
      </c>
      <c r="I149" s="195" t="s">
        <v>46</v>
      </c>
      <c r="J149" s="195">
        <v>10</v>
      </c>
      <c r="K149" s="196">
        <v>36.75</v>
      </c>
      <c r="L149" s="196">
        <f>K149*J149</f>
        <v>367.5</v>
      </c>
      <c r="M149" s="143">
        <v>0</v>
      </c>
      <c r="N149" s="197">
        <v>45636</v>
      </c>
      <c r="O149" s="157">
        <f>WEEKNUM(N149)</f>
        <v>50</v>
      </c>
      <c r="P149" s="198"/>
      <c r="Q149" s="140" t="s">
        <v>29</v>
      </c>
      <c r="R149" s="194"/>
      <c r="S149" s="194"/>
      <c r="T149" s="194"/>
      <c r="U149" s="194"/>
      <c r="V149" s="194"/>
    </row>
    <row r="150" spans="1:22" ht="15.6" hidden="1" x14ac:dyDescent="0.3">
      <c r="A150" s="140" t="s">
        <v>509</v>
      </c>
      <c r="B150" s="195">
        <v>1053</v>
      </c>
      <c r="C150" s="197">
        <v>45604</v>
      </c>
      <c r="D150" s="195">
        <f>WEEKNUM(C150)</f>
        <v>45</v>
      </c>
      <c r="E150" s="195" t="s">
        <v>68</v>
      </c>
      <c r="F150" s="195" t="s">
        <v>177</v>
      </c>
      <c r="G150" s="195" t="s">
        <v>307</v>
      </c>
      <c r="H150" s="195" t="s">
        <v>74</v>
      </c>
      <c r="I150" s="195" t="s">
        <v>46</v>
      </c>
      <c r="J150" s="195">
        <v>26</v>
      </c>
      <c r="K150" s="196">
        <v>47.5</v>
      </c>
      <c r="L150" s="196">
        <f>K150*J150</f>
        <v>1235</v>
      </c>
      <c r="M150" s="143">
        <v>0</v>
      </c>
      <c r="N150" s="197">
        <v>45636</v>
      </c>
      <c r="O150" s="157">
        <f>WEEKNUM(N150)</f>
        <v>50</v>
      </c>
      <c r="P150" s="198"/>
      <c r="Q150" s="140" t="s">
        <v>29</v>
      </c>
      <c r="R150" s="194"/>
      <c r="S150" s="194"/>
      <c r="T150" s="194"/>
      <c r="U150" s="194"/>
      <c r="V150" s="194"/>
    </row>
    <row r="151" spans="1:22" ht="15.6" hidden="1" x14ac:dyDescent="0.3">
      <c r="A151" s="140" t="s">
        <v>509</v>
      </c>
      <c r="B151" s="195">
        <v>1056</v>
      </c>
      <c r="C151" s="197">
        <v>45607</v>
      </c>
      <c r="D151" s="195">
        <f>WEEKNUM(C151)</f>
        <v>46</v>
      </c>
      <c r="E151" s="195" t="s">
        <v>68</v>
      </c>
      <c r="F151" s="195" t="s">
        <v>302</v>
      </c>
      <c r="G151" s="195" t="s">
        <v>349</v>
      </c>
      <c r="H151" s="195" t="s">
        <v>350</v>
      </c>
      <c r="I151" s="195" t="s">
        <v>46</v>
      </c>
      <c r="J151" s="195">
        <v>2</v>
      </c>
      <c r="K151" s="196">
        <v>180</v>
      </c>
      <c r="L151" s="196">
        <f>K151*J151</f>
        <v>360</v>
      </c>
      <c r="M151" s="143">
        <v>0</v>
      </c>
      <c r="N151" s="197">
        <v>45607</v>
      </c>
      <c r="O151" s="157">
        <f>WEEKNUM(N151)</f>
        <v>46</v>
      </c>
      <c r="P151" s="198"/>
      <c r="Q151" s="140" t="s">
        <v>29</v>
      </c>
      <c r="R151" s="194"/>
      <c r="S151" s="194"/>
      <c r="T151" s="194"/>
      <c r="U151" s="194"/>
      <c r="V151" s="194"/>
    </row>
    <row r="152" spans="1:22" ht="15.6" hidden="1" x14ac:dyDescent="0.3">
      <c r="A152" s="140" t="s">
        <v>509</v>
      </c>
      <c r="B152" s="195">
        <v>1057</v>
      </c>
      <c r="C152" s="197">
        <v>45608</v>
      </c>
      <c r="D152" s="195">
        <f>WEEKNUM(C152)</f>
        <v>46</v>
      </c>
      <c r="E152" s="195" t="s">
        <v>68</v>
      </c>
      <c r="F152" s="195" t="s">
        <v>300</v>
      </c>
      <c r="G152" s="195" t="s">
        <v>301</v>
      </c>
      <c r="H152" s="195" t="s">
        <v>74</v>
      </c>
      <c r="I152" s="195" t="s">
        <v>46</v>
      </c>
      <c r="J152" s="195">
        <v>6</v>
      </c>
      <c r="K152" s="196">
        <v>36.75</v>
      </c>
      <c r="L152" s="196">
        <f>K152*J152</f>
        <v>220.5</v>
      </c>
      <c r="M152" s="143">
        <v>0</v>
      </c>
      <c r="N152" s="197">
        <v>45628</v>
      </c>
      <c r="O152" s="157">
        <f>WEEKNUM(N152)</f>
        <v>49</v>
      </c>
      <c r="P152" s="198"/>
      <c r="Q152" s="140" t="s">
        <v>29</v>
      </c>
      <c r="R152" s="194"/>
      <c r="S152" s="194"/>
      <c r="T152" s="194"/>
      <c r="U152" s="194"/>
      <c r="V152" s="194"/>
    </row>
    <row r="153" spans="1:22" ht="15.6" hidden="1" x14ac:dyDescent="0.3">
      <c r="A153" s="140" t="s">
        <v>509</v>
      </c>
      <c r="B153" s="195">
        <v>1057</v>
      </c>
      <c r="C153" s="197">
        <v>45608</v>
      </c>
      <c r="D153" s="195">
        <f>WEEKNUM(C153)</f>
        <v>46</v>
      </c>
      <c r="E153" s="195" t="s">
        <v>68</v>
      </c>
      <c r="F153" s="195" t="s">
        <v>300</v>
      </c>
      <c r="G153" s="142" t="s">
        <v>505</v>
      </c>
      <c r="H153" s="195" t="s">
        <v>190</v>
      </c>
      <c r="I153" s="142" t="s">
        <v>61</v>
      </c>
      <c r="J153" s="195">
        <v>5</v>
      </c>
      <c r="K153" s="196">
        <v>75</v>
      </c>
      <c r="L153" s="196">
        <f>K153*J153</f>
        <v>375</v>
      </c>
      <c r="M153" s="143">
        <v>0</v>
      </c>
      <c r="N153" s="197">
        <v>45628</v>
      </c>
      <c r="O153" s="157">
        <f>WEEKNUM(N153)</f>
        <v>49</v>
      </c>
      <c r="P153" s="198"/>
      <c r="Q153" s="140" t="s">
        <v>29</v>
      </c>
      <c r="R153" s="194"/>
      <c r="S153" s="194"/>
      <c r="T153" s="194"/>
      <c r="U153" s="194"/>
      <c r="V153" s="194"/>
    </row>
    <row r="154" spans="1:22" ht="15.6" hidden="1" x14ac:dyDescent="0.3">
      <c r="A154" s="140" t="s">
        <v>509</v>
      </c>
      <c r="B154" s="195">
        <v>1057</v>
      </c>
      <c r="C154" s="197">
        <v>45608</v>
      </c>
      <c r="D154" s="195">
        <f>WEEKNUM(C154)</f>
        <v>46</v>
      </c>
      <c r="E154" s="195" t="s">
        <v>68</v>
      </c>
      <c r="F154" s="195" t="s">
        <v>300</v>
      </c>
      <c r="G154" s="142" t="s">
        <v>408</v>
      </c>
      <c r="H154" s="195" t="s">
        <v>80</v>
      </c>
      <c r="I154" s="195" t="s">
        <v>46</v>
      </c>
      <c r="J154" s="195">
        <v>3</v>
      </c>
      <c r="K154" s="196">
        <v>21</v>
      </c>
      <c r="L154" s="196">
        <f>K154*J154</f>
        <v>63</v>
      </c>
      <c r="M154" s="143">
        <v>0</v>
      </c>
      <c r="N154" s="197">
        <v>45628</v>
      </c>
      <c r="O154" s="157">
        <f>WEEKNUM(N154)</f>
        <v>49</v>
      </c>
      <c r="P154" s="198"/>
      <c r="Q154" s="140" t="s">
        <v>29</v>
      </c>
      <c r="R154" s="194"/>
      <c r="S154" s="194"/>
      <c r="T154" s="194"/>
      <c r="U154" s="194"/>
      <c r="V154" s="194"/>
    </row>
    <row r="155" spans="1:22" ht="15.6" hidden="1" x14ac:dyDescent="0.3">
      <c r="A155" s="140" t="s">
        <v>509</v>
      </c>
      <c r="B155" s="195">
        <v>1057</v>
      </c>
      <c r="C155" s="197">
        <v>45608</v>
      </c>
      <c r="D155" s="195">
        <f>WEEKNUM(C155)</f>
        <v>46</v>
      </c>
      <c r="E155" s="195" t="s">
        <v>68</v>
      </c>
      <c r="F155" s="195" t="s">
        <v>300</v>
      </c>
      <c r="G155" s="142" t="s">
        <v>311</v>
      </c>
      <c r="H155" s="195" t="s">
        <v>51</v>
      </c>
      <c r="I155" s="195" t="s">
        <v>46</v>
      </c>
      <c r="J155" s="195">
        <v>6</v>
      </c>
      <c r="K155" s="196">
        <v>25</v>
      </c>
      <c r="L155" s="196">
        <f>K155*J155</f>
        <v>150</v>
      </c>
      <c r="M155" s="143">
        <v>0</v>
      </c>
      <c r="N155" s="197">
        <v>45628</v>
      </c>
      <c r="O155" s="157">
        <f>WEEKNUM(N155)</f>
        <v>49</v>
      </c>
      <c r="P155" s="198"/>
      <c r="Q155" s="140" t="s">
        <v>29</v>
      </c>
      <c r="R155" s="194"/>
      <c r="S155" s="194"/>
      <c r="T155" s="194"/>
      <c r="U155" s="194"/>
      <c r="V155" s="194"/>
    </row>
    <row r="156" spans="1:22" ht="15.6" hidden="1" x14ac:dyDescent="0.3">
      <c r="A156" s="140" t="s">
        <v>509</v>
      </c>
      <c r="B156" s="195">
        <v>1058</v>
      </c>
      <c r="C156" s="197">
        <v>45609</v>
      </c>
      <c r="D156" s="195">
        <f>WEEKNUM(C156)</f>
        <v>46</v>
      </c>
      <c r="E156" s="195" t="s">
        <v>68</v>
      </c>
      <c r="F156" s="195" t="s">
        <v>317</v>
      </c>
      <c r="G156" s="195" t="s">
        <v>301</v>
      </c>
      <c r="H156" s="195" t="s">
        <v>74</v>
      </c>
      <c r="I156" s="195" t="s">
        <v>46</v>
      </c>
      <c r="J156" s="195">
        <v>22</v>
      </c>
      <c r="K156" s="196">
        <v>36.75</v>
      </c>
      <c r="L156" s="196">
        <f>K156*J156</f>
        <v>808.5</v>
      </c>
      <c r="M156" s="143">
        <v>0</v>
      </c>
      <c r="N156" s="197">
        <v>45623</v>
      </c>
      <c r="O156" s="157">
        <f>WEEKNUM(N156)</f>
        <v>48</v>
      </c>
      <c r="P156" s="198"/>
      <c r="Q156" s="140" t="s">
        <v>29</v>
      </c>
      <c r="R156" s="194"/>
      <c r="S156" s="194"/>
      <c r="T156" s="194"/>
      <c r="U156" s="194"/>
      <c r="V156" s="194"/>
    </row>
    <row r="157" spans="1:22" ht="15.6" hidden="1" x14ac:dyDescent="0.3">
      <c r="A157" s="140" t="s">
        <v>509</v>
      </c>
      <c r="B157" s="195">
        <v>1065</v>
      </c>
      <c r="C157" s="197">
        <v>45615</v>
      </c>
      <c r="D157" s="195">
        <f>WEEKNUM(C157)</f>
        <v>47</v>
      </c>
      <c r="E157" s="195" t="s">
        <v>68</v>
      </c>
      <c r="F157" s="142" t="s">
        <v>345</v>
      </c>
      <c r="G157" s="195" t="s">
        <v>301</v>
      </c>
      <c r="H157" s="195" t="s">
        <v>74</v>
      </c>
      <c r="I157" s="195" t="s">
        <v>46</v>
      </c>
      <c r="J157" s="195">
        <v>10</v>
      </c>
      <c r="K157" s="196">
        <v>36.75</v>
      </c>
      <c r="L157" s="196">
        <f>K157*J157</f>
        <v>367.5</v>
      </c>
      <c r="M157" s="143">
        <v>0</v>
      </c>
      <c r="N157" s="197">
        <v>45636</v>
      </c>
      <c r="O157" s="157">
        <f>WEEKNUM(N157)</f>
        <v>50</v>
      </c>
      <c r="P157" s="198"/>
      <c r="Q157" s="140" t="s">
        <v>29</v>
      </c>
      <c r="R157" s="194"/>
      <c r="S157" s="194"/>
      <c r="T157" s="194"/>
      <c r="U157" s="194"/>
      <c r="V157" s="194"/>
    </row>
    <row r="158" spans="1:22" ht="15.6" hidden="1" x14ac:dyDescent="0.3">
      <c r="A158" s="140" t="s">
        <v>509</v>
      </c>
      <c r="B158" s="195">
        <v>1065</v>
      </c>
      <c r="C158" s="197">
        <v>45615</v>
      </c>
      <c r="D158" s="195">
        <f>WEEKNUM(C158)</f>
        <v>47</v>
      </c>
      <c r="E158" s="195" t="s">
        <v>68</v>
      </c>
      <c r="F158" s="142" t="s">
        <v>345</v>
      </c>
      <c r="G158" s="140" t="s">
        <v>508</v>
      </c>
      <c r="H158" s="195" t="s">
        <v>190</v>
      </c>
      <c r="I158" s="195" t="s">
        <v>46</v>
      </c>
      <c r="J158" s="195">
        <v>8</v>
      </c>
      <c r="K158" s="196">
        <v>65</v>
      </c>
      <c r="L158" s="196">
        <f>K158*J158</f>
        <v>520</v>
      </c>
      <c r="M158" s="143">
        <v>0</v>
      </c>
      <c r="N158" s="197">
        <v>45636</v>
      </c>
      <c r="O158" s="157">
        <f>WEEKNUM(N158)</f>
        <v>50</v>
      </c>
      <c r="P158" s="198"/>
      <c r="Q158" s="140" t="s">
        <v>29</v>
      </c>
      <c r="R158" s="194"/>
      <c r="S158" s="194"/>
      <c r="T158" s="194"/>
      <c r="U158" s="194"/>
      <c r="V158" s="194"/>
    </row>
    <row r="159" spans="1:22" ht="15.6" hidden="1" x14ac:dyDescent="0.3">
      <c r="A159" s="140" t="s">
        <v>509</v>
      </c>
      <c r="B159" s="195">
        <v>1065</v>
      </c>
      <c r="C159" s="197">
        <v>45615</v>
      </c>
      <c r="D159" s="195">
        <f>WEEKNUM(C159)</f>
        <v>47</v>
      </c>
      <c r="E159" s="195" t="s">
        <v>68</v>
      </c>
      <c r="F159" s="142" t="s">
        <v>345</v>
      </c>
      <c r="G159" s="142" t="s">
        <v>311</v>
      </c>
      <c r="H159" s="195" t="s">
        <v>51</v>
      </c>
      <c r="I159" s="195" t="s">
        <v>46</v>
      </c>
      <c r="J159" s="195">
        <v>6</v>
      </c>
      <c r="K159" s="196">
        <v>25</v>
      </c>
      <c r="L159" s="196">
        <f>K159*J159</f>
        <v>150</v>
      </c>
      <c r="M159" s="143">
        <v>0</v>
      </c>
      <c r="N159" s="197">
        <v>45636</v>
      </c>
      <c r="O159" s="157">
        <f>WEEKNUM(N159)</f>
        <v>50</v>
      </c>
      <c r="P159" s="198"/>
      <c r="Q159" s="140" t="s">
        <v>29</v>
      </c>
      <c r="R159" s="194"/>
      <c r="S159" s="194"/>
      <c r="T159" s="194"/>
      <c r="U159" s="194"/>
      <c r="V159" s="194"/>
    </row>
    <row r="160" spans="1:22" ht="15.6" hidden="1" x14ac:dyDescent="0.3">
      <c r="A160" s="140" t="s">
        <v>509</v>
      </c>
      <c r="B160" s="195">
        <v>1065</v>
      </c>
      <c r="C160" s="197">
        <v>45615</v>
      </c>
      <c r="D160" s="195">
        <f>WEEKNUM(C160)</f>
        <v>47</v>
      </c>
      <c r="E160" s="195" t="s">
        <v>68</v>
      </c>
      <c r="F160" s="142" t="s">
        <v>345</v>
      </c>
      <c r="G160" s="142" t="s">
        <v>408</v>
      </c>
      <c r="H160" s="195" t="s">
        <v>80</v>
      </c>
      <c r="I160" s="195" t="s">
        <v>46</v>
      </c>
      <c r="J160" s="195">
        <v>8</v>
      </c>
      <c r="K160" s="196">
        <v>21</v>
      </c>
      <c r="L160" s="196">
        <f>K160*J160</f>
        <v>168</v>
      </c>
      <c r="M160" s="143">
        <v>0</v>
      </c>
      <c r="N160" s="197">
        <v>45636</v>
      </c>
      <c r="O160" s="157">
        <f>WEEKNUM(N160)</f>
        <v>50</v>
      </c>
      <c r="P160" s="198"/>
      <c r="Q160" s="140" t="s">
        <v>29</v>
      </c>
      <c r="R160" s="194"/>
      <c r="S160" s="194"/>
      <c r="T160" s="194"/>
      <c r="U160" s="194"/>
      <c r="V160" s="194"/>
    </row>
    <row r="161" spans="1:22" ht="15.6" hidden="1" x14ac:dyDescent="0.3">
      <c r="A161" s="140" t="s">
        <v>509</v>
      </c>
      <c r="B161" s="140">
        <v>1068</v>
      </c>
      <c r="C161" s="139">
        <v>45617</v>
      </c>
      <c r="D161" s="140">
        <f>WEEKNUM(C161)</f>
        <v>47</v>
      </c>
      <c r="E161" s="140" t="s">
        <v>68</v>
      </c>
      <c r="F161" s="140" t="s">
        <v>351</v>
      </c>
      <c r="G161" s="140" t="s">
        <v>508</v>
      </c>
      <c r="H161" s="140" t="s">
        <v>78</v>
      </c>
      <c r="I161" s="140" t="s">
        <v>46</v>
      </c>
      <c r="J161" s="154">
        <v>9</v>
      </c>
      <c r="K161" s="156">
        <v>75</v>
      </c>
      <c r="L161" s="156">
        <f>J161*K161</f>
        <v>675</v>
      </c>
      <c r="M161" s="143">
        <v>0</v>
      </c>
      <c r="N161" s="139">
        <v>45663</v>
      </c>
      <c r="O161" s="157">
        <f>WEEKNUM(N161)</f>
        <v>2</v>
      </c>
      <c r="P161" s="140" t="s">
        <v>28</v>
      </c>
      <c r="Q161" s="140" t="s">
        <v>29</v>
      </c>
      <c r="R161" s="156">
        <f>J161*0.25</f>
        <v>2.25</v>
      </c>
      <c r="S161" s="156"/>
      <c r="T161" s="156">
        <f>J161*3</f>
        <v>27</v>
      </c>
      <c r="U161" s="156">
        <f>J161*0.5</f>
        <v>4.5</v>
      </c>
      <c r="V161" s="156">
        <f>R161+S161+T161+U161</f>
        <v>33.75</v>
      </c>
    </row>
    <row r="162" spans="1:22" ht="15.6" hidden="1" x14ac:dyDescent="0.3">
      <c r="A162" s="140" t="s">
        <v>509</v>
      </c>
      <c r="B162" s="195">
        <v>1067</v>
      </c>
      <c r="C162" s="197">
        <v>45617</v>
      </c>
      <c r="D162" s="195">
        <f>WEEKNUM(C162)</f>
        <v>47</v>
      </c>
      <c r="E162" s="195" t="s">
        <v>68</v>
      </c>
      <c r="F162" s="195" t="s">
        <v>319</v>
      </c>
      <c r="G162" s="195" t="s">
        <v>301</v>
      </c>
      <c r="H162" s="195" t="s">
        <v>74</v>
      </c>
      <c r="I162" s="195" t="s">
        <v>46</v>
      </c>
      <c r="J162" s="195">
        <v>8</v>
      </c>
      <c r="K162" s="196">
        <v>36.75</v>
      </c>
      <c r="L162" s="196">
        <f>K162*J162</f>
        <v>294</v>
      </c>
      <c r="M162" s="143">
        <v>0</v>
      </c>
      <c r="N162" s="197">
        <v>45660</v>
      </c>
      <c r="O162" s="157">
        <f>WEEKNUM(N162)</f>
        <v>1</v>
      </c>
      <c r="P162" s="198"/>
      <c r="Q162" s="140" t="s">
        <v>29</v>
      </c>
      <c r="R162" s="194"/>
      <c r="S162" s="194"/>
      <c r="T162" s="194"/>
      <c r="U162" s="194"/>
      <c r="V162" s="194"/>
    </row>
    <row r="163" spans="1:22" ht="15.6" hidden="1" x14ac:dyDescent="0.3">
      <c r="A163" s="140" t="s">
        <v>509</v>
      </c>
      <c r="B163" s="195">
        <v>1067</v>
      </c>
      <c r="C163" s="197">
        <v>45617</v>
      </c>
      <c r="D163" s="195">
        <f>WEEKNUM(C163)</f>
        <v>47</v>
      </c>
      <c r="E163" s="195" t="s">
        <v>68</v>
      </c>
      <c r="F163" s="195" t="s">
        <v>319</v>
      </c>
      <c r="G163" s="142" t="s">
        <v>505</v>
      </c>
      <c r="H163" s="195" t="s">
        <v>190</v>
      </c>
      <c r="I163" s="142" t="s">
        <v>61</v>
      </c>
      <c r="J163" s="195">
        <v>8</v>
      </c>
      <c r="K163" s="196">
        <v>75</v>
      </c>
      <c r="L163" s="196">
        <f>K163*J163</f>
        <v>600</v>
      </c>
      <c r="M163" s="143">
        <v>0</v>
      </c>
      <c r="N163" s="197">
        <v>45660</v>
      </c>
      <c r="O163" s="157">
        <f>WEEKNUM(N163)</f>
        <v>1</v>
      </c>
      <c r="P163" s="198"/>
      <c r="Q163" s="140" t="s">
        <v>29</v>
      </c>
      <c r="R163" s="194"/>
      <c r="S163" s="194"/>
      <c r="T163" s="194"/>
      <c r="U163" s="194"/>
      <c r="V163" s="194"/>
    </row>
    <row r="164" spans="1:22" ht="15.6" hidden="1" x14ac:dyDescent="0.3">
      <c r="A164" s="140" t="s">
        <v>509</v>
      </c>
      <c r="B164" s="195">
        <v>1067</v>
      </c>
      <c r="C164" s="197">
        <v>45617</v>
      </c>
      <c r="D164" s="195">
        <f>WEEKNUM(C164)</f>
        <v>47</v>
      </c>
      <c r="E164" s="195" t="s">
        <v>68</v>
      </c>
      <c r="F164" s="195" t="s">
        <v>319</v>
      </c>
      <c r="G164" s="195" t="s">
        <v>308</v>
      </c>
      <c r="H164" s="195" t="s">
        <v>74</v>
      </c>
      <c r="I164" s="195" t="s">
        <v>46</v>
      </c>
      <c r="J164" s="195">
        <v>12</v>
      </c>
      <c r="K164" s="196">
        <v>36.75</v>
      </c>
      <c r="L164" s="196">
        <f>K164*J164</f>
        <v>441</v>
      </c>
      <c r="M164" s="143">
        <v>0</v>
      </c>
      <c r="N164" s="197">
        <v>45660</v>
      </c>
      <c r="O164" s="157">
        <f>WEEKNUM(N164)</f>
        <v>1</v>
      </c>
      <c r="P164" s="198"/>
      <c r="Q164" s="140" t="s">
        <v>29</v>
      </c>
      <c r="R164" s="194"/>
      <c r="S164" s="194"/>
      <c r="T164" s="194"/>
      <c r="U164" s="194"/>
      <c r="V164" s="194"/>
    </row>
    <row r="165" spans="1:22" ht="15.6" hidden="1" x14ac:dyDescent="0.3">
      <c r="A165" s="140" t="s">
        <v>509</v>
      </c>
      <c r="B165" s="195">
        <v>1067</v>
      </c>
      <c r="C165" s="197">
        <v>45617</v>
      </c>
      <c r="D165" s="195">
        <f>WEEKNUM(C165)</f>
        <v>47</v>
      </c>
      <c r="E165" s="195" t="s">
        <v>68</v>
      </c>
      <c r="F165" s="195" t="s">
        <v>319</v>
      </c>
      <c r="G165" s="140" t="s">
        <v>508</v>
      </c>
      <c r="H165" s="195" t="s">
        <v>190</v>
      </c>
      <c r="I165" s="195" t="s">
        <v>46</v>
      </c>
      <c r="J165" s="195">
        <v>12</v>
      </c>
      <c r="K165" s="196">
        <v>65</v>
      </c>
      <c r="L165" s="196">
        <f>K165*J165</f>
        <v>780</v>
      </c>
      <c r="M165" s="143">
        <v>0</v>
      </c>
      <c r="N165" s="197">
        <v>45660</v>
      </c>
      <c r="O165" s="157">
        <f>WEEKNUM(N165)</f>
        <v>1</v>
      </c>
      <c r="P165" s="198"/>
      <c r="Q165" s="140" t="s">
        <v>29</v>
      </c>
      <c r="R165" s="194"/>
      <c r="S165" s="194"/>
      <c r="T165" s="194"/>
      <c r="U165" s="194"/>
      <c r="V165" s="194"/>
    </row>
    <row r="166" spans="1:22" ht="15.6" hidden="1" x14ac:dyDescent="0.3">
      <c r="A166" s="140" t="s">
        <v>509</v>
      </c>
      <c r="B166" s="195">
        <v>1067</v>
      </c>
      <c r="C166" s="197">
        <v>45617</v>
      </c>
      <c r="D166" s="195">
        <f>WEEKNUM(C166)</f>
        <v>47</v>
      </c>
      <c r="E166" s="195" t="s">
        <v>68</v>
      </c>
      <c r="F166" s="195" t="s">
        <v>319</v>
      </c>
      <c r="G166" s="142" t="s">
        <v>408</v>
      </c>
      <c r="H166" s="195" t="s">
        <v>80</v>
      </c>
      <c r="I166" s="195" t="s">
        <v>46</v>
      </c>
      <c r="J166" s="195">
        <v>8</v>
      </c>
      <c r="K166" s="196">
        <v>21</v>
      </c>
      <c r="L166" s="196">
        <f>K166*J166</f>
        <v>168</v>
      </c>
      <c r="M166" s="143">
        <v>0</v>
      </c>
      <c r="N166" s="197">
        <v>45660</v>
      </c>
      <c r="O166" s="157">
        <f>WEEKNUM(N166)</f>
        <v>1</v>
      </c>
      <c r="P166" s="198"/>
      <c r="Q166" s="140" t="s">
        <v>29</v>
      </c>
      <c r="R166" s="194"/>
      <c r="S166" s="194"/>
      <c r="T166" s="194"/>
      <c r="U166" s="194"/>
      <c r="V166" s="194"/>
    </row>
    <row r="167" spans="1:22" ht="15.6" hidden="1" x14ac:dyDescent="0.3">
      <c r="A167" s="140" t="s">
        <v>509</v>
      </c>
      <c r="B167" s="195">
        <v>1067</v>
      </c>
      <c r="C167" s="197">
        <v>45617</v>
      </c>
      <c r="D167" s="195">
        <f>WEEKNUM(C167)</f>
        <v>47</v>
      </c>
      <c r="E167" s="195" t="s">
        <v>68</v>
      </c>
      <c r="F167" s="195" t="s">
        <v>319</v>
      </c>
      <c r="G167" s="142" t="s">
        <v>311</v>
      </c>
      <c r="H167" s="195" t="s">
        <v>51</v>
      </c>
      <c r="I167" s="195" t="s">
        <v>46</v>
      </c>
      <c r="J167" s="195">
        <v>12</v>
      </c>
      <c r="K167" s="196">
        <v>25</v>
      </c>
      <c r="L167" s="196">
        <f>K167*J167</f>
        <v>300</v>
      </c>
      <c r="M167" s="143">
        <v>0</v>
      </c>
      <c r="N167" s="197">
        <v>45660</v>
      </c>
      <c r="O167" s="157">
        <f>WEEKNUM(N167)</f>
        <v>1</v>
      </c>
      <c r="P167" s="198"/>
      <c r="Q167" s="140" t="s">
        <v>29</v>
      </c>
      <c r="R167" s="194"/>
      <c r="S167" s="194"/>
      <c r="T167" s="194"/>
      <c r="U167" s="194"/>
      <c r="V167" s="194"/>
    </row>
    <row r="168" spans="1:22" ht="15.6" hidden="1" x14ac:dyDescent="0.3">
      <c r="A168" s="140" t="s">
        <v>509</v>
      </c>
      <c r="B168" s="195">
        <v>1066</v>
      </c>
      <c r="C168" s="197">
        <v>45617</v>
      </c>
      <c r="D168" s="195">
        <f>WEEKNUM(C168)</f>
        <v>47</v>
      </c>
      <c r="E168" s="195" t="s">
        <v>68</v>
      </c>
      <c r="F168" s="195" t="s">
        <v>352</v>
      </c>
      <c r="G168" s="195" t="s">
        <v>308</v>
      </c>
      <c r="H168" s="195" t="s">
        <v>74</v>
      </c>
      <c r="I168" s="195" t="s">
        <v>46</v>
      </c>
      <c r="J168" s="195">
        <v>18</v>
      </c>
      <c r="K168" s="196">
        <v>36.75</v>
      </c>
      <c r="L168" s="196">
        <f>K168*J168</f>
        <v>661.5</v>
      </c>
      <c r="M168" s="143">
        <v>0</v>
      </c>
      <c r="N168" s="197">
        <v>45636</v>
      </c>
      <c r="O168" s="157">
        <f>WEEKNUM(N168)</f>
        <v>50</v>
      </c>
      <c r="P168" s="198"/>
      <c r="Q168" s="140" t="s">
        <v>29</v>
      </c>
      <c r="R168" s="194"/>
      <c r="S168" s="194"/>
      <c r="T168" s="194"/>
      <c r="U168" s="194"/>
      <c r="V168" s="194"/>
    </row>
    <row r="169" spans="1:22" ht="15.6" hidden="1" x14ac:dyDescent="0.3">
      <c r="A169" s="140" t="s">
        <v>509</v>
      </c>
      <c r="B169" s="195">
        <v>1066</v>
      </c>
      <c r="C169" s="197">
        <v>45617</v>
      </c>
      <c r="D169" s="195">
        <f>WEEKNUM(C169)</f>
        <v>47</v>
      </c>
      <c r="E169" s="195" t="s">
        <v>68</v>
      </c>
      <c r="F169" s="195" t="s">
        <v>352</v>
      </c>
      <c r="G169" s="195" t="s">
        <v>301</v>
      </c>
      <c r="H169" s="195" t="s">
        <v>74</v>
      </c>
      <c r="I169" s="195" t="s">
        <v>46</v>
      </c>
      <c r="J169" s="195">
        <v>8</v>
      </c>
      <c r="K169" s="196">
        <v>36.75</v>
      </c>
      <c r="L169" s="196">
        <f>K169*J169</f>
        <v>294</v>
      </c>
      <c r="M169" s="143">
        <v>0</v>
      </c>
      <c r="N169" s="197">
        <v>45636</v>
      </c>
      <c r="O169" s="157">
        <f>WEEKNUM(N169)</f>
        <v>50</v>
      </c>
      <c r="P169" s="198"/>
      <c r="Q169" s="140" t="s">
        <v>29</v>
      </c>
      <c r="R169" s="194"/>
      <c r="S169" s="194"/>
      <c r="T169" s="194"/>
      <c r="U169" s="194"/>
      <c r="V169" s="194"/>
    </row>
    <row r="170" spans="1:22" ht="15.6" hidden="1" x14ac:dyDescent="0.3">
      <c r="A170" s="140" t="s">
        <v>509</v>
      </c>
      <c r="B170" s="195">
        <v>1066</v>
      </c>
      <c r="C170" s="197">
        <v>45617</v>
      </c>
      <c r="D170" s="195">
        <f>WEEKNUM(C170)</f>
        <v>47</v>
      </c>
      <c r="E170" s="195" t="s">
        <v>68</v>
      </c>
      <c r="F170" s="195" t="s">
        <v>352</v>
      </c>
      <c r="G170" s="142" t="s">
        <v>311</v>
      </c>
      <c r="H170" s="195" t="s">
        <v>51</v>
      </c>
      <c r="I170" s="195" t="s">
        <v>46</v>
      </c>
      <c r="J170" s="195">
        <v>10</v>
      </c>
      <c r="K170" s="196">
        <v>25</v>
      </c>
      <c r="L170" s="196">
        <f>K170*J170</f>
        <v>250</v>
      </c>
      <c r="M170" s="143">
        <v>0</v>
      </c>
      <c r="N170" s="197">
        <v>45636</v>
      </c>
      <c r="O170" s="157">
        <f>WEEKNUM(N170)</f>
        <v>50</v>
      </c>
      <c r="P170" s="198"/>
      <c r="Q170" s="140" t="s">
        <v>29</v>
      </c>
      <c r="R170" s="194"/>
      <c r="S170" s="194"/>
      <c r="T170" s="194"/>
      <c r="U170" s="194"/>
      <c r="V170" s="194"/>
    </row>
    <row r="171" spans="1:22" ht="15.6" hidden="1" x14ac:dyDescent="0.3">
      <c r="A171" s="140" t="s">
        <v>509</v>
      </c>
      <c r="B171" s="195">
        <v>1066</v>
      </c>
      <c r="C171" s="197">
        <v>45617</v>
      </c>
      <c r="D171" s="195">
        <f>WEEKNUM(C171)</f>
        <v>47</v>
      </c>
      <c r="E171" s="195" t="s">
        <v>68</v>
      </c>
      <c r="F171" s="195" t="s">
        <v>352</v>
      </c>
      <c r="G171" s="142" t="s">
        <v>408</v>
      </c>
      <c r="H171" s="195" t="s">
        <v>80</v>
      </c>
      <c r="I171" s="195" t="s">
        <v>46</v>
      </c>
      <c r="J171" s="195">
        <v>10</v>
      </c>
      <c r="K171" s="196">
        <v>21</v>
      </c>
      <c r="L171" s="196">
        <f>K171*J171</f>
        <v>210</v>
      </c>
      <c r="M171" s="143">
        <v>0</v>
      </c>
      <c r="N171" s="197">
        <v>45636</v>
      </c>
      <c r="O171" s="157">
        <f>WEEKNUM(N171)</f>
        <v>50</v>
      </c>
      <c r="P171" s="198"/>
      <c r="Q171" s="140" t="s">
        <v>29</v>
      </c>
      <c r="R171" s="194"/>
      <c r="S171" s="194"/>
      <c r="T171" s="194"/>
      <c r="U171" s="194"/>
      <c r="V171" s="194"/>
    </row>
    <row r="172" spans="1:22" ht="15.6" hidden="1" x14ac:dyDescent="0.3">
      <c r="A172" s="140" t="s">
        <v>509</v>
      </c>
      <c r="B172" s="195">
        <v>1116</v>
      </c>
      <c r="C172" s="197">
        <v>45622</v>
      </c>
      <c r="D172" s="195">
        <f>WEEKNUM(C172)</f>
        <v>48</v>
      </c>
      <c r="E172" s="195" t="s">
        <v>68</v>
      </c>
      <c r="F172" s="195" t="s">
        <v>347</v>
      </c>
      <c r="G172" s="142" t="s">
        <v>311</v>
      </c>
      <c r="H172" s="195" t="s">
        <v>51</v>
      </c>
      <c r="I172" s="195" t="s">
        <v>46</v>
      </c>
      <c r="J172" s="195">
        <v>13</v>
      </c>
      <c r="K172" s="196">
        <v>25</v>
      </c>
      <c r="L172" s="196">
        <f>K172*J172</f>
        <v>325</v>
      </c>
      <c r="M172" s="143">
        <v>0</v>
      </c>
      <c r="N172" s="197">
        <v>45681</v>
      </c>
      <c r="O172" s="157">
        <f>WEEKNUM(N172)</f>
        <v>4</v>
      </c>
      <c r="P172" s="198"/>
      <c r="Q172" s="140" t="s">
        <v>29</v>
      </c>
      <c r="R172" s="194"/>
      <c r="S172" s="194"/>
      <c r="T172" s="194"/>
      <c r="U172" s="194"/>
      <c r="V172" s="194"/>
    </row>
    <row r="173" spans="1:22" ht="15.6" hidden="1" x14ac:dyDescent="0.3">
      <c r="A173" s="140" t="s">
        <v>509</v>
      </c>
      <c r="B173" s="195">
        <v>1116</v>
      </c>
      <c r="C173" s="197">
        <v>45622</v>
      </c>
      <c r="D173" s="195">
        <f>WEEKNUM(C173)</f>
        <v>48</v>
      </c>
      <c r="E173" s="195" t="s">
        <v>68</v>
      </c>
      <c r="F173" s="195" t="s">
        <v>347</v>
      </c>
      <c r="G173" s="195" t="s">
        <v>308</v>
      </c>
      <c r="H173" s="195" t="s">
        <v>74</v>
      </c>
      <c r="I173" s="195" t="s">
        <v>46</v>
      </c>
      <c r="J173" s="195">
        <v>7</v>
      </c>
      <c r="K173" s="196">
        <v>36.75</v>
      </c>
      <c r="L173" s="196">
        <f>K173*J173</f>
        <v>257.25</v>
      </c>
      <c r="M173" s="143">
        <v>0</v>
      </c>
      <c r="N173" s="197">
        <v>45681</v>
      </c>
      <c r="O173" s="157">
        <f>WEEKNUM(N173)</f>
        <v>4</v>
      </c>
      <c r="P173" s="198"/>
      <c r="Q173" s="140" t="s">
        <v>29</v>
      </c>
      <c r="R173" s="194"/>
      <c r="S173" s="194"/>
      <c r="T173" s="194"/>
      <c r="U173" s="194"/>
      <c r="V173" s="194"/>
    </row>
    <row r="174" spans="1:22" ht="15.6" hidden="1" x14ac:dyDescent="0.3">
      <c r="A174" s="140" t="s">
        <v>509</v>
      </c>
      <c r="B174" s="195">
        <v>1116</v>
      </c>
      <c r="C174" s="197">
        <v>45622</v>
      </c>
      <c r="D174" s="195">
        <f>WEEKNUM(C174)</f>
        <v>48</v>
      </c>
      <c r="E174" s="195" t="s">
        <v>68</v>
      </c>
      <c r="F174" s="195" t="s">
        <v>347</v>
      </c>
      <c r="G174" s="195" t="s">
        <v>301</v>
      </c>
      <c r="H174" s="195" t="s">
        <v>74</v>
      </c>
      <c r="I174" s="195" t="s">
        <v>46</v>
      </c>
      <c r="J174" s="195">
        <v>6</v>
      </c>
      <c r="K174" s="196">
        <v>36.75</v>
      </c>
      <c r="L174" s="196">
        <f>K174*J174</f>
        <v>220.5</v>
      </c>
      <c r="M174" s="143">
        <v>0</v>
      </c>
      <c r="N174" s="197">
        <v>45681</v>
      </c>
      <c r="O174" s="157">
        <f>WEEKNUM(N174)</f>
        <v>4</v>
      </c>
      <c r="P174" s="198"/>
      <c r="Q174" s="140" t="s">
        <v>29</v>
      </c>
      <c r="R174" s="194"/>
      <c r="S174" s="194"/>
      <c r="T174" s="194"/>
      <c r="U174" s="194"/>
      <c r="V174" s="194"/>
    </row>
    <row r="175" spans="1:22" ht="15.6" hidden="1" x14ac:dyDescent="0.3">
      <c r="A175" s="140" t="s">
        <v>509</v>
      </c>
      <c r="B175" s="195">
        <v>1076</v>
      </c>
      <c r="C175" s="197">
        <v>45623</v>
      </c>
      <c r="D175" s="195">
        <f>WEEKNUM(C175)</f>
        <v>48</v>
      </c>
      <c r="E175" s="195" t="s">
        <v>68</v>
      </c>
      <c r="F175" s="142" t="s">
        <v>329</v>
      </c>
      <c r="G175" s="195" t="s">
        <v>307</v>
      </c>
      <c r="H175" s="195" t="s">
        <v>74</v>
      </c>
      <c r="I175" s="195" t="s">
        <v>46</v>
      </c>
      <c r="J175" s="195">
        <v>3</v>
      </c>
      <c r="K175" s="196">
        <v>47.5</v>
      </c>
      <c r="L175" s="196">
        <f>K175*J175</f>
        <v>142.5</v>
      </c>
      <c r="M175" s="143">
        <v>0</v>
      </c>
      <c r="N175" s="197">
        <v>45625</v>
      </c>
      <c r="O175" s="157">
        <f>WEEKNUM(N175)</f>
        <v>48</v>
      </c>
      <c r="P175" s="198"/>
      <c r="Q175" s="140" t="s">
        <v>29</v>
      </c>
      <c r="R175" s="194"/>
      <c r="S175" s="194"/>
      <c r="T175" s="194"/>
      <c r="U175" s="194"/>
      <c r="V175" s="194"/>
    </row>
    <row r="176" spans="1:22" ht="15.6" hidden="1" x14ac:dyDescent="0.3">
      <c r="A176" s="140" t="s">
        <v>509</v>
      </c>
      <c r="B176" s="195">
        <v>1076</v>
      </c>
      <c r="C176" s="197">
        <v>45623</v>
      </c>
      <c r="D176" s="195">
        <f>WEEKNUM(C176)</f>
        <v>48</v>
      </c>
      <c r="E176" s="195" t="s">
        <v>68</v>
      </c>
      <c r="F176" s="142" t="s">
        <v>329</v>
      </c>
      <c r="G176" s="140" t="s">
        <v>356</v>
      </c>
      <c r="H176" s="195" t="s">
        <v>321</v>
      </c>
      <c r="I176" s="195" t="s">
        <v>46</v>
      </c>
      <c r="J176" s="195">
        <v>1</v>
      </c>
      <c r="K176" s="196">
        <v>79.099999999999994</v>
      </c>
      <c r="L176" s="196">
        <f>K176*J176</f>
        <v>79.099999999999994</v>
      </c>
      <c r="M176" s="143">
        <v>0</v>
      </c>
      <c r="N176" s="197">
        <v>45625</v>
      </c>
      <c r="O176" s="157">
        <f>WEEKNUM(N176)</f>
        <v>48</v>
      </c>
      <c r="P176" s="198"/>
      <c r="Q176" s="140" t="s">
        <v>29</v>
      </c>
      <c r="R176" s="194"/>
      <c r="S176" s="194"/>
      <c r="T176" s="194"/>
      <c r="U176" s="194"/>
      <c r="V176" s="194"/>
    </row>
    <row r="177" spans="1:23" ht="15.6" hidden="1" x14ac:dyDescent="0.3">
      <c r="A177" s="140" t="s">
        <v>509</v>
      </c>
      <c r="B177" s="195">
        <v>1076</v>
      </c>
      <c r="C177" s="197">
        <v>45623</v>
      </c>
      <c r="D177" s="195">
        <f>WEEKNUM(C177)</f>
        <v>48</v>
      </c>
      <c r="E177" s="195" t="s">
        <v>68</v>
      </c>
      <c r="F177" s="142" t="s">
        <v>329</v>
      </c>
      <c r="G177" s="142" t="s">
        <v>408</v>
      </c>
      <c r="H177" s="195" t="s">
        <v>80</v>
      </c>
      <c r="I177" s="195" t="s">
        <v>46</v>
      </c>
      <c r="J177" s="195">
        <v>5</v>
      </c>
      <c r="K177" s="196">
        <v>21</v>
      </c>
      <c r="L177" s="196">
        <f>K177*J177</f>
        <v>105</v>
      </c>
      <c r="M177" s="143">
        <v>0</v>
      </c>
      <c r="N177" s="197">
        <v>45625</v>
      </c>
      <c r="O177" s="157">
        <f>WEEKNUM(N177)</f>
        <v>48</v>
      </c>
      <c r="P177" s="198"/>
      <c r="Q177" s="140" t="s">
        <v>29</v>
      </c>
      <c r="R177" s="194"/>
      <c r="S177" s="194"/>
      <c r="T177" s="194"/>
      <c r="U177" s="194"/>
      <c r="V177" s="194"/>
    </row>
    <row r="178" spans="1:23" ht="15.6" hidden="1" x14ac:dyDescent="0.3">
      <c r="A178" s="140" t="s">
        <v>509</v>
      </c>
      <c r="B178" s="140">
        <v>1077</v>
      </c>
      <c r="C178" s="139">
        <v>45628</v>
      </c>
      <c r="D178" s="140">
        <f>WEEKNUM(C178)</f>
        <v>49</v>
      </c>
      <c r="E178" s="140" t="s">
        <v>475</v>
      </c>
      <c r="F178" s="140" t="s">
        <v>940</v>
      </c>
      <c r="G178" s="140" t="s">
        <v>618</v>
      </c>
      <c r="H178" s="140" t="s">
        <v>555</v>
      </c>
      <c r="I178" s="140" t="s">
        <v>61</v>
      </c>
      <c r="J178" s="154">
        <v>100</v>
      </c>
      <c r="K178" s="154"/>
      <c r="L178" s="154"/>
      <c r="M178" s="143">
        <v>0</v>
      </c>
      <c r="N178" s="139">
        <v>45663</v>
      </c>
      <c r="O178" s="157">
        <f>WEEKNUM(N178)</f>
        <v>2</v>
      </c>
      <c r="P178" s="140" t="s">
        <v>28</v>
      </c>
      <c r="Q178" s="140" t="s">
        <v>29</v>
      </c>
      <c r="R178" s="156">
        <f>J178*0.25</f>
        <v>25</v>
      </c>
      <c r="S178" s="156">
        <f>J178*1.5</f>
        <v>150</v>
      </c>
      <c r="T178" s="156">
        <f>J178*5.27</f>
        <v>527</v>
      </c>
      <c r="U178" s="156">
        <f>J178*0.5</f>
        <v>50</v>
      </c>
      <c r="V178" s="156">
        <f>R178+S178+T178+U178</f>
        <v>752</v>
      </c>
    </row>
    <row r="179" spans="1:23" ht="15.6" hidden="1" x14ac:dyDescent="0.3">
      <c r="A179" s="140" t="s">
        <v>509</v>
      </c>
      <c r="B179" s="195">
        <v>1081</v>
      </c>
      <c r="C179" s="197">
        <v>45632</v>
      </c>
      <c r="D179" s="195">
        <f>WEEKNUM(C179)</f>
        <v>49</v>
      </c>
      <c r="E179" s="195" t="s">
        <v>68</v>
      </c>
      <c r="F179" s="195" t="s">
        <v>306</v>
      </c>
      <c r="G179" s="195" t="s">
        <v>308</v>
      </c>
      <c r="H179" s="195" t="s">
        <v>74</v>
      </c>
      <c r="I179" s="195" t="s">
        <v>46</v>
      </c>
      <c r="J179" s="195">
        <v>4</v>
      </c>
      <c r="K179" s="196">
        <v>36.75</v>
      </c>
      <c r="L179" s="196">
        <f>K179*J179</f>
        <v>147</v>
      </c>
      <c r="M179" s="143">
        <v>0</v>
      </c>
      <c r="N179" s="197">
        <v>45636</v>
      </c>
      <c r="O179" s="157">
        <f>WEEKNUM(N179)</f>
        <v>50</v>
      </c>
      <c r="P179" s="198"/>
      <c r="Q179" s="140" t="s">
        <v>29</v>
      </c>
      <c r="R179" s="194"/>
      <c r="S179" s="194"/>
      <c r="T179" s="194"/>
      <c r="U179" s="194"/>
      <c r="V179" s="194"/>
    </row>
    <row r="180" spans="1:23" ht="15.6" hidden="1" x14ac:dyDescent="0.3">
      <c r="A180" s="140" t="s">
        <v>509</v>
      </c>
      <c r="B180" s="195">
        <v>1081</v>
      </c>
      <c r="C180" s="197">
        <v>45632</v>
      </c>
      <c r="D180" s="195">
        <f>WEEKNUM(C180)</f>
        <v>49</v>
      </c>
      <c r="E180" s="195" t="s">
        <v>68</v>
      </c>
      <c r="F180" s="195" t="s">
        <v>306</v>
      </c>
      <c r="G180" s="195" t="s">
        <v>301</v>
      </c>
      <c r="H180" s="195" t="s">
        <v>74</v>
      </c>
      <c r="I180" s="195" t="s">
        <v>46</v>
      </c>
      <c r="J180" s="195">
        <v>18</v>
      </c>
      <c r="K180" s="196">
        <v>36.75</v>
      </c>
      <c r="L180" s="196">
        <f>K180*J180</f>
        <v>661.5</v>
      </c>
      <c r="M180" s="143">
        <v>0</v>
      </c>
      <c r="N180" s="197">
        <v>45636</v>
      </c>
      <c r="O180" s="157">
        <f>WEEKNUM(N180)</f>
        <v>50</v>
      </c>
      <c r="P180" s="198"/>
      <c r="Q180" s="140" t="s">
        <v>29</v>
      </c>
      <c r="R180" s="194"/>
      <c r="S180" s="194"/>
      <c r="T180" s="194"/>
      <c r="U180" s="194"/>
      <c r="V180" s="194"/>
    </row>
    <row r="181" spans="1:23" ht="15.6" hidden="1" x14ac:dyDescent="0.3">
      <c r="A181" s="140" t="s">
        <v>509</v>
      </c>
      <c r="B181" s="195">
        <v>1081</v>
      </c>
      <c r="C181" s="197">
        <v>45632</v>
      </c>
      <c r="D181" s="195">
        <f>WEEKNUM(C181)</f>
        <v>49</v>
      </c>
      <c r="E181" s="195" t="s">
        <v>68</v>
      </c>
      <c r="F181" s="195" t="s">
        <v>306</v>
      </c>
      <c r="G181" s="142" t="s">
        <v>311</v>
      </c>
      <c r="H181" s="195" t="s">
        <v>51</v>
      </c>
      <c r="I181" s="195" t="s">
        <v>46</v>
      </c>
      <c r="J181" s="195">
        <v>10</v>
      </c>
      <c r="K181" s="196">
        <v>25</v>
      </c>
      <c r="L181" s="196">
        <f>K181*J181</f>
        <v>250</v>
      </c>
      <c r="M181" s="143">
        <v>0</v>
      </c>
      <c r="N181" s="197">
        <v>45636</v>
      </c>
      <c r="O181" s="157">
        <f>WEEKNUM(N181)</f>
        <v>50</v>
      </c>
      <c r="P181" s="198"/>
      <c r="Q181" s="140" t="s">
        <v>29</v>
      </c>
      <c r="R181" s="194"/>
      <c r="S181" s="194"/>
      <c r="T181" s="194"/>
      <c r="U181" s="194"/>
      <c r="V181" s="194"/>
    </row>
    <row r="182" spans="1:23" ht="15.6" hidden="1" x14ac:dyDescent="0.3">
      <c r="A182" s="140" t="s">
        <v>509</v>
      </c>
      <c r="B182" s="195">
        <v>1081</v>
      </c>
      <c r="C182" s="197">
        <v>45632</v>
      </c>
      <c r="D182" s="195">
        <f>WEEKNUM(C182)</f>
        <v>49</v>
      </c>
      <c r="E182" s="195" t="s">
        <v>68</v>
      </c>
      <c r="F182" s="195" t="s">
        <v>306</v>
      </c>
      <c r="G182" s="142" t="s">
        <v>408</v>
      </c>
      <c r="H182" s="195" t="s">
        <v>80</v>
      </c>
      <c r="I182" s="195" t="s">
        <v>46</v>
      </c>
      <c r="J182" s="195">
        <v>4</v>
      </c>
      <c r="K182" s="196">
        <v>21</v>
      </c>
      <c r="L182" s="196">
        <f>K182*J182</f>
        <v>84</v>
      </c>
      <c r="M182" s="143">
        <v>0</v>
      </c>
      <c r="N182" s="197">
        <v>45636</v>
      </c>
      <c r="O182" s="157">
        <f>WEEKNUM(N182)</f>
        <v>50</v>
      </c>
      <c r="P182" s="198"/>
      <c r="Q182" s="140" t="s">
        <v>29</v>
      </c>
      <c r="R182" s="194"/>
      <c r="S182" s="194"/>
      <c r="T182" s="194"/>
      <c r="U182" s="194"/>
      <c r="V182" s="194"/>
    </row>
    <row r="183" spans="1:23" s="127" customFormat="1" ht="15" hidden="1" customHeight="1" x14ac:dyDescent="0.3">
      <c r="A183" s="140" t="s">
        <v>509</v>
      </c>
      <c r="B183" s="195">
        <v>1082</v>
      </c>
      <c r="C183" s="197">
        <v>45632</v>
      </c>
      <c r="D183" s="195">
        <f>WEEKNUM(C183)</f>
        <v>49</v>
      </c>
      <c r="E183" s="195" t="s">
        <v>68</v>
      </c>
      <c r="F183" s="195" t="s">
        <v>302</v>
      </c>
      <c r="G183" s="142" t="s">
        <v>311</v>
      </c>
      <c r="H183" s="195" t="s">
        <v>51</v>
      </c>
      <c r="I183" s="195" t="s">
        <v>46</v>
      </c>
      <c r="J183" s="195">
        <v>40</v>
      </c>
      <c r="K183" s="196">
        <v>25</v>
      </c>
      <c r="L183" s="196">
        <f>K183*J183</f>
        <v>1000</v>
      </c>
      <c r="M183" s="143">
        <v>0</v>
      </c>
      <c r="N183" s="197">
        <v>45659</v>
      </c>
      <c r="O183" s="157">
        <f>WEEKNUM(N183)</f>
        <v>1</v>
      </c>
      <c r="P183" s="198"/>
      <c r="Q183" s="140" t="s">
        <v>29</v>
      </c>
      <c r="R183" s="194"/>
      <c r="S183" s="194"/>
      <c r="T183" s="194"/>
      <c r="U183" s="194"/>
      <c r="V183" s="194"/>
    </row>
    <row r="184" spans="1:23" s="127" customFormat="1" ht="16.2" hidden="1" customHeight="1" x14ac:dyDescent="0.3">
      <c r="A184" s="140" t="s">
        <v>509</v>
      </c>
      <c r="B184" s="195">
        <v>1082</v>
      </c>
      <c r="C184" s="197">
        <v>45632</v>
      </c>
      <c r="D184" s="195">
        <f>WEEKNUM(C184)</f>
        <v>49</v>
      </c>
      <c r="E184" s="195" t="s">
        <v>68</v>
      </c>
      <c r="F184" s="195" t="s">
        <v>302</v>
      </c>
      <c r="G184" s="195" t="s">
        <v>301</v>
      </c>
      <c r="H184" s="195" t="s">
        <v>74</v>
      </c>
      <c r="I184" s="195" t="s">
        <v>46</v>
      </c>
      <c r="J184" s="195">
        <v>75</v>
      </c>
      <c r="K184" s="196">
        <v>36.75</v>
      </c>
      <c r="L184" s="196">
        <f>K184*J184</f>
        <v>2756.25</v>
      </c>
      <c r="M184" s="143">
        <v>0</v>
      </c>
      <c r="N184" s="197">
        <v>45659</v>
      </c>
      <c r="O184" s="157">
        <f>WEEKNUM(N184)</f>
        <v>1</v>
      </c>
      <c r="P184" s="198"/>
      <c r="Q184" s="140" t="s">
        <v>29</v>
      </c>
      <c r="R184" s="194"/>
      <c r="S184" s="194"/>
      <c r="T184" s="194"/>
      <c r="U184" s="194"/>
      <c r="V184" s="194"/>
    </row>
    <row r="185" spans="1:23" s="127" customFormat="1" ht="15.6" hidden="1" x14ac:dyDescent="0.3">
      <c r="A185" s="140" t="s">
        <v>509</v>
      </c>
      <c r="B185" s="140">
        <v>1082</v>
      </c>
      <c r="C185" s="139">
        <v>45632</v>
      </c>
      <c r="D185" s="140">
        <f>WEEKNUM(C185)</f>
        <v>49</v>
      </c>
      <c r="E185" s="140" t="s">
        <v>68</v>
      </c>
      <c r="F185" s="142" t="s">
        <v>302</v>
      </c>
      <c r="G185" s="142" t="s">
        <v>311</v>
      </c>
      <c r="H185" s="140" t="s">
        <v>51</v>
      </c>
      <c r="I185" s="140" t="s">
        <v>46</v>
      </c>
      <c r="J185" s="154">
        <v>40</v>
      </c>
      <c r="K185" s="156">
        <v>25</v>
      </c>
      <c r="L185" s="156">
        <f>J185*K185</f>
        <v>1000</v>
      </c>
      <c r="M185" s="143">
        <v>0</v>
      </c>
      <c r="N185" s="139">
        <v>45663</v>
      </c>
      <c r="O185" s="157">
        <f>WEEKNUM(N185)</f>
        <v>2</v>
      </c>
      <c r="P185" s="140" t="s">
        <v>28</v>
      </c>
      <c r="Q185" s="140" t="s">
        <v>29</v>
      </c>
      <c r="R185" s="156">
        <f>J185*0.25</f>
        <v>10</v>
      </c>
      <c r="S185" s="156">
        <f>J185*0.7</f>
        <v>28</v>
      </c>
      <c r="T185" s="156">
        <f>J185*1.5</f>
        <v>60</v>
      </c>
      <c r="U185" s="156">
        <f>J185*0.5</f>
        <v>20</v>
      </c>
      <c r="V185" s="156">
        <f>R185+S185+T185+U185</f>
        <v>118</v>
      </c>
    </row>
    <row r="186" spans="1:23" s="127" customFormat="1" ht="15.6" hidden="1" x14ac:dyDescent="0.3">
      <c r="A186" s="140" t="s">
        <v>509</v>
      </c>
      <c r="B186" s="140">
        <v>1082</v>
      </c>
      <c r="C186" s="139">
        <v>45632</v>
      </c>
      <c r="D186" s="140">
        <f>WEEKNUM(C186)</f>
        <v>49</v>
      </c>
      <c r="E186" s="140" t="s">
        <v>68</v>
      </c>
      <c r="F186" s="142" t="s">
        <v>302</v>
      </c>
      <c r="G186" s="142" t="s">
        <v>301</v>
      </c>
      <c r="H186" s="140" t="s">
        <v>74</v>
      </c>
      <c r="I186" s="140" t="s">
        <v>46</v>
      </c>
      <c r="J186" s="154">
        <v>75</v>
      </c>
      <c r="K186" s="156">
        <v>36.75</v>
      </c>
      <c r="L186" s="156">
        <f>J186*K186</f>
        <v>2756.25</v>
      </c>
      <c r="M186" s="143">
        <v>0</v>
      </c>
      <c r="N186" s="139">
        <v>45663</v>
      </c>
      <c r="O186" s="157">
        <f>WEEKNUM(N186)</f>
        <v>2</v>
      </c>
      <c r="P186" s="140" t="s">
        <v>28</v>
      </c>
      <c r="Q186" s="140" t="s">
        <v>29</v>
      </c>
      <c r="R186" s="156">
        <f>J186*0.25</f>
        <v>18.75</v>
      </c>
      <c r="S186" s="156">
        <f>R186*1.5</f>
        <v>28.125</v>
      </c>
      <c r="T186" s="156">
        <f>J186*1.5</f>
        <v>112.5</v>
      </c>
      <c r="U186" s="156">
        <f>J186*0.5</f>
        <v>37.5</v>
      </c>
      <c r="V186" s="156">
        <f>R186+S186+T186+U186</f>
        <v>196.875</v>
      </c>
    </row>
    <row r="187" spans="1:23" s="127" customFormat="1" ht="15.6" hidden="1" x14ac:dyDescent="0.3">
      <c r="A187" s="140" t="s">
        <v>509</v>
      </c>
      <c r="B187" s="140">
        <v>651</v>
      </c>
      <c r="C187" s="139">
        <v>45632</v>
      </c>
      <c r="D187" s="140">
        <f>WEEKNUM(C187)</f>
        <v>49</v>
      </c>
      <c r="E187" s="140" t="s">
        <v>475</v>
      </c>
      <c r="F187" s="140" t="s">
        <v>788</v>
      </c>
      <c r="G187" s="140" t="s">
        <v>789</v>
      </c>
      <c r="H187" s="140" t="s">
        <v>60</v>
      </c>
      <c r="I187" s="140" t="s">
        <v>61</v>
      </c>
      <c r="J187" s="154">
        <v>2000</v>
      </c>
      <c r="K187" s="154"/>
      <c r="L187" s="154"/>
      <c r="M187" s="143">
        <v>0</v>
      </c>
      <c r="N187" s="139">
        <v>45667</v>
      </c>
      <c r="O187" s="157">
        <f>WEEKNUM(N187)</f>
        <v>2</v>
      </c>
      <c r="P187" s="140" t="s">
        <v>28</v>
      </c>
      <c r="Q187" s="140" t="s">
        <v>29</v>
      </c>
      <c r="R187" s="156">
        <f>J187*0.25</f>
        <v>500</v>
      </c>
      <c r="S187" s="156">
        <f>J187*1</f>
        <v>2000</v>
      </c>
      <c r="T187" s="156">
        <f>J187*1.5</f>
        <v>3000</v>
      </c>
      <c r="U187" s="156">
        <f>J187*0.5</f>
        <v>1000</v>
      </c>
      <c r="V187" s="156">
        <f>R187+S187+T187+U187</f>
        <v>6500</v>
      </c>
    </row>
    <row r="188" spans="1:23" s="127" customFormat="1" ht="15.6" hidden="1" x14ac:dyDescent="0.3">
      <c r="A188" s="140" t="s">
        <v>509</v>
      </c>
      <c r="B188" s="140">
        <v>651</v>
      </c>
      <c r="C188" s="139">
        <v>45632</v>
      </c>
      <c r="D188" s="140">
        <f>WEEKNUM(C188)</f>
        <v>49</v>
      </c>
      <c r="E188" s="140" t="s">
        <v>475</v>
      </c>
      <c r="F188" s="140" t="s">
        <v>788</v>
      </c>
      <c r="G188" s="140" t="s">
        <v>790</v>
      </c>
      <c r="H188" s="140" t="s">
        <v>60</v>
      </c>
      <c r="I188" s="140" t="s">
        <v>61</v>
      </c>
      <c r="J188" s="154">
        <v>2000</v>
      </c>
      <c r="K188" s="154"/>
      <c r="L188" s="154"/>
      <c r="M188" s="143">
        <v>0</v>
      </c>
      <c r="N188" s="139">
        <v>45667</v>
      </c>
      <c r="O188" s="157">
        <f>WEEKNUM(N188)</f>
        <v>2</v>
      </c>
      <c r="P188" s="140" t="s">
        <v>28</v>
      </c>
      <c r="Q188" s="140" t="s">
        <v>29</v>
      </c>
      <c r="R188" s="156">
        <f>J188*0.25</f>
        <v>500</v>
      </c>
      <c r="S188" s="156">
        <f>J188*1</f>
        <v>2000</v>
      </c>
      <c r="T188" s="156">
        <f>J188*1.5</f>
        <v>3000</v>
      </c>
      <c r="U188" s="156">
        <f>J188*0.5</f>
        <v>1000</v>
      </c>
      <c r="V188" s="156">
        <f>R188+S188+T188+U188</f>
        <v>6500</v>
      </c>
    </row>
    <row r="189" spans="1:23" s="127" customFormat="1" ht="15.6" hidden="1" x14ac:dyDescent="0.3">
      <c r="A189" s="140" t="s">
        <v>509</v>
      </c>
      <c r="B189" s="195">
        <v>1083</v>
      </c>
      <c r="C189" s="197">
        <v>45635</v>
      </c>
      <c r="D189" s="195">
        <f>WEEKNUM(C189)</f>
        <v>50</v>
      </c>
      <c r="E189" s="195" t="s">
        <v>68</v>
      </c>
      <c r="F189" s="195" t="s">
        <v>334</v>
      </c>
      <c r="G189" s="142" t="s">
        <v>311</v>
      </c>
      <c r="H189" s="195" t="s">
        <v>51</v>
      </c>
      <c r="I189" s="195" t="s">
        <v>46</v>
      </c>
      <c r="J189" s="195">
        <v>10</v>
      </c>
      <c r="K189" s="196">
        <v>25</v>
      </c>
      <c r="L189" s="196">
        <f>K189*J189</f>
        <v>250</v>
      </c>
      <c r="M189" s="143">
        <v>0</v>
      </c>
      <c r="N189" s="197">
        <v>45665</v>
      </c>
      <c r="O189" s="157">
        <f>WEEKNUM(N189)</f>
        <v>2</v>
      </c>
      <c r="P189" s="198"/>
      <c r="Q189" s="140" t="s">
        <v>29</v>
      </c>
      <c r="R189" s="194"/>
      <c r="S189" s="194"/>
      <c r="T189" s="194"/>
      <c r="U189" s="194"/>
      <c r="V189" s="194"/>
    </row>
    <row r="190" spans="1:23" s="127" customFormat="1" ht="15.6" hidden="1" x14ac:dyDescent="0.3">
      <c r="A190" s="140" t="s">
        <v>509</v>
      </c>
      <c r="B190" s="195">
        <v>1083</v>
      </c>
      <c r="C190" s="197">
        <v>45635</v>
      </c>
      <c r="D190" s="195">
        <f>WEEKNUM(C190)</f>
        <v>50</v>
      </c>
      <c r="E190" s="195" t="s">
        <v>68</v>
      </c>
      <c r="F190" s="195" t="s">
        <v>334</v>
      </c>
      <c r="G190" s="142" t="s">
        <v>408</v>
      </c>
      <c r="H190" s="195" t="s">
        <v>80</v>
      </c>
      <c r="I190" s="195" t="s">
        <v>46</v>
      </c>
      <c r="J190" s="195">
        <v>10</v>
      </c>
      <c r="K190" s="196">
        <v>21</v>
      </c>
      <c r="L190" s="196">
        <f>K190*J190</f>
        <v>210</v>
      </c>
      <c r="M190" s="143">
        <v>0</v>
      </c>
      <c r="N190" s="197">
        <v>45665</v>
      </c>
      <c r="O190" s="157">
        <f>WEEKNUM(N190)</f>
        <v>2</v>
      </c>
      <c r="P190" s="198"/>
      <c r="Q190" s="140" t="s">
        <v>29</v>
      </c>
      <c r="R190" s="194"/>
      <c r="S190" s="194"/>
      <c r="T190" s="194"/>
      <c r="U190" s="194"/>
      <c r="V190" s="194"/>
      <c r="W190" s="128"/>
    </row>
    <row r="191" spans="1:23" s="127" customFormat="1" ht="15.6" hidden="1" x14ac:dyDescent="0.3">
      <c r="A191" s="140" t="s">
        <v>509</v>
      </c>
      <c r="B191" s="140">
        <v>1084</v>
      </c>
      <c r="C191" s="139">
        <v>45637</v>
      </c>
      <c r="D191" s="140">
        <f>WEEKNUM(C191)</f>
        <v>50</v>
      </c>
      <c r="E191" s="140" t="s">
        <v>475</v>
      </c>
      <c r="F191" s="140" t="s">
        <v>940</v>
      </c>
      <c r="G191" s="140" t="s">
        <v>480</v>
      </c>
      <c r="H191" s="140" t="s">
        <v>51</v>
      </c>
      <c r="I191" s="140" t="s">
        <v>46</v>
      </c>
      <c r="J191" s="154">
        <v>150</v>
      </c>
      <c r="K191" s="154"/>
      <c r="L191" s="154"/>
      <c r="M191" s="143">
        <v>0</v>
      </c>
      <c r="N191" s="139">
        <v>45663</v>
      </c>
      <c r="O191" s="157">
        <f>WEEKNUM(N191)</f>
        <v>2</v>
      </c>
      <c r="P191" s="140" t="s">
        <v>28</v>
      </c>
      <c r="Q191" s="140" t="s">
        <v>29</v>
      </c>
      <c r="R191" s="156">
        <f>J191*0.25</f>
        <v>37.5</v>
      </c>
      <c r="S191" s="156">
        <f>J191*0.7</f>
        <v>105</v>
      </c>
      <c r="T191" s="156">
        <f>J191*1.84</f>
        <v>276</v>
      </c>
      <c r="U191" s="156">
        <f>J191*0.5</f>
        <v>75</v>
      </c>
      <c r="V191" s="156">
        <f>R191+S191+T191+U191</f>
        <v>493.5</v>
      </c>
    </row>
    <row r="192" spans="1:23" s="127" customFormat="1" ht="15.6" hidden="1" x14ac:dyDescent="0.3">
      <c r="A192" s="140" t="s">
        <v>509</v>
      </c>
      <c r="B192" s="140">
        <v>654</v>
      </c>
      <c r="C192" s="139">
        <v>45637</v>
      </c>
      <c r="D192" s="140">
        <f>WEEKNUM(C192)</f>
        <v>50</v>
      </c>
      <c r="E192" s="140" t="s">
        <v>478</v>
      </c>
      <c r="F192" s="140" t="s">
        <v>146</v>
      </c>
      <c r="G192" s="140" t="s">
        <v>853</v>
      </c>
      <c r="H192" s="140" t="s">
        <v>95</v>
      </c>
      <c r="I192" s="140" t="s">
        <v>26</v>
      </c>
      <c r="J192" s="154">
        <v>200</v>
      </c>
      <c r="K192" s="154"/>
      <c r="L192" s="154"/>
      <c r="M192" s="143">
        <v>0</v>
      </c>
      <c r="N192" s="139">
        <v>45664</v>
      </c>
      <c r="O192" s="157">
        <f>WEEKNUM(N192)</f>
        <v>2</v>
      </c>
      <c r="P192" s="140" t="s">
        <v>28</v>
      </c>
      <c r="Q192" s="140" t="s">
        <v>29</v>
      </c>
      <c r="R192" s="156">
        <f>J192*0.25</f>
        <v>50</v>
      </c>
      <c r="S192" s="156">
        <f>J192*0.5</f>
        <v>100</v>
      </c>
      <c r="T192" s="156">
        <f>J192*0.8</f>
        <v>160</v>
      </c>
      <c r="U192" s="156">
        <f>J192*0.5</f>
        <v>100</v>
      </c>
      <c r="V192" s="156">
        <f>R192+S192+T192+U192</f>
        <v>410</v>
      </c>
    </row>
    <row r="193" spans="1:23" s="127" customFormat="1" ht="15.6" hidden="1" x14ac:dyDescent="0.3">
      <c r="A193" s="140" t="s">
        <v>509</v>
      </c>
      <c r="B193" s="140">
        <v>655</v>
      </c>
      <c r="C193" s="139">
        <v>45637</v>
      </c>
      <c r="D193" s="140">
        <f>WEEKNUM(C193)</f>
        <v>50</v>
      </c>
      <c r="E193" s="140" t="s">
        <v>478</v>
      </c>
      <c r="F193" s="140" t="s">
        <v>444</v>
      </c>
      <c r="G193" s="130" t="s">
        <v>638</v>
      </c>
      <c r="H193" s="140" t="s">
        <v>60</v>
      </c>
      <c r="I193" s="140" t="s">
        <v>61</v>
      </c>
      <c r="J193" s="154">
        <v>300</v>
      </c>
      <c r="K193" s="156">
        <v>23</v>
      </c>
      <c r="L193" s="156">
        <f>K193*J193</f>
        <v>6900</v>
      </c>
      <c r="M193" s="143">
        <v>0</v>
      </c>
      <c r="N193" s="139">
        <v>45670</v>
      </c>
      <c r="O193" s="157">
        <f>WEEKNUM(N193)</f>
        <v>3</v>
      </c>
      <c r="P193" s="140" t="s">
        <v>28</v>
      </c>
      <c r="Q193" s="140" t="s">
        <v>29</v>
      </c>
      <c r="R193" s="156">
        <f>J193*0.25</f>
        <v>75</v>
      </c>
      <c r="S193" s="156">
        <f>J193*0.6</f>
        <v>180</v>
      </c>
      <c r="T193" s="156">
        <f>J193*5</f>
        <v>1500</v>
      </c>
      <c r="U193" s="156">
        <f>J193*0.5</f>
        <v>150</v>
      </c>
      <c r="V193" s="156">
        <f>R193+S193+T193+U193</f>
        <v>1905</v>
      </c>
    </row>
    <row r="194" spans="1:23" s="127" customFormat="1" ht="15.6" hidden="1" x14ac:dyDescent="0.3">
      <c r="A194" s="140" t="s">
        <v>509</v>
      </c>
      <c r="B194" s="140">
        <v>658</v>
      </c>
      <c r="C194" s="139">
        <v>45642</v>
      </c>
      <c r="D194" s="140">
        <f>WEEKNUM(C194)</f>
        <v>51</v>
      </c>
      <c r="E194" s="140" t="s">
        <v>498</v>
      </c>
      <c r="F194" s="140" t="s">
        <v>637</v>
      </c>
      <c r="G194" s="140" t="s">
        <v>778</v>
      </c>
      <c r="H194" s="140" t="s">
        <v>38</v>
      </c>
      <c r="I194" s="140" t="s">
        <v>46</v>
      </c>
      <c r="J194" s="154">
        <v>50</v>
      </c>
      <c r="K194" s="154"/>
      <c r="L194" s="154"/>
      <c r="M194" s="143">
        <v>0</v>
      </c>
      <c r="N194" s="139">
        <v>45674</v>
      </c>
      <c r="O194" s="157">
        <f>WEEKNUM(N194)</f>
        <v>3</v>
      </c>
      <c r="P194" s="140" t="s">
        <v>28</v>
      </c>
      <c r="Q194" s="140" t="s">
        <v>29</v>
      </c>
      <c r="R194" s="156">
        <f>J194*0.25</f>
        <v>12.5</v>
      </c>
      <c r="S194" s="156"/>
      <c r="T194" s="156">
        <f>J194*10</f>
        <v>500</v>
      </c>
      <c r="U194" s="156">
        <f>J194*0.5</f>
        <v>25</v>
      </c>
      <c r="V194" s="156">
        <f>R194+S194+T194+U194</f>
        <v>537.5</v>
      </c>
    </row>
    <row r="195" spans="1:23" s="127" customFormat="1" ht="15.6" hidden="1" x14ac:dyDescent="0.3">
      <c r="A195" s="140" t="s">
        <v>509</v>
      </c>
      <c r="B195" s="140">
        <v>659</v>
      </c>
      <c r="C195" s="139">
        <v>45645</v>
      </c>
      <c r="D195" s="140">
        <f>WEEKNUM(C195)</f>
        <v>51</v>
      </c>
      <c r="E195" s="140" t="s">
        <v>475</v>
      </c>
      <c r="F195" s="140" t="s">
        <v>761</v>
      </c>
      <c r="G195" s="140" t="s">
        <v>762</v>
      </c>
      <c r="H195" s="140" t="s">
        <v>51</v>
      </c>
      <c r="I195" s="140" t="s">
        <v>61</v>
      </c>
      <c r="J195" s="154">
        <v>1100</v>
      </c>
      <c r="K195" s="154"/>
      <c r="L195" s="154"/>
      <c r="M195" s="143">
        <v>0</v>
      </c>
      <c r="N195" s="139">
        <v>45671</v>
      </c>
      <c r="O195" s="157">
        <f>WEEKNUM(N195)</f>
        <v>3</v>
      </c>
      <c r="P195" s="140" t="s">
        <v>28</v>
      </c>
      <c r="Q195" s="140" t="s">
        <v>29</v>
      </c>
      <c r="R195" s="156">
        <f>J195*0.25</f>
        <v>275</v>
      </c>
      <c r="S195" s="156">
        <f>J195*1</f>
        <v>1100</v>
      </c>
      <c r="T195" s="156">
        <f>J195*3</f>
        <v>3300</v>
      </c>
      <c r="U195" s="156">
        <f>J195*0.5</f>
        <v>550</v>
      </c>
      <c r="V195" s="156">
        <f>R195+S195+T195+U195</f>
        <v>5225</v>
      </c>
    </row>
    <row r="196" spans="1:23" s="127" customFormat="1" ht="15.6" hidden="1" x14ac:dyDescent="0.3">
      <c r="A196" s="140" t="s">
        <v>509</v>
      </c>
      <c r="B196" s="140">
        <v>1094</v>
      </c>
      <c r="C196" s="139">
        <v>45652</v>
      </c>
      <c r="D196" s="140">
        <f>WEEKNUM(C196)</f>
        <v>52</v>
      </c>
      <c r="E196" s="140" t="s">
        <v>498</v>
      </c>
      <c r="F196" s="140" t="s">
        <v>715</v>
      </c>
      <c r="G196" s="140" t="s">
        <v>716</v>
      </c>
      <c r="H196" s="140" t="s">
        <v>304</v>
      </c>
      <c r="I196" s="140" t="s">
        <v>46</v>
      </c>
      <c r="J196" s="154">
        <v>250</v>
      </c>
      <c r="K196" s="154"/>
      <c r="L196" s="154"/>
      <c r="M196" s="143">
        <v>0</v>
      </c>
      <c r="N196" s="139">
        <v>45701</v>
      </c>
      <c r="O196" s="157">
        <f>WEEKNUM(N196)</f>
        <v>7</v>
      </c>
      <c r="P196" s="140" t="s">
        <v>28</v>
      </c>
      <c r="Q196" s="140" t="s">
        <v>29</v>
      </c>
      <c r="R196" s="156">
        <f>J196*0.25</f>
        <v>62.5</v>
      </c>
      <c r="S196" s="156">
        <f>J196*0.6</f>
        <v>150</v>
      </c>
      <c r="T196" s="156">
        <f>J196*1</f>
        <v>250</v>
      </c>
      <c r="U196" s="156">
        <f>J196*0.5</f>
        <v>125</v>
      </c>
      <c r="V196" s="156">
        <f>R196+S196+T196+U196</f>
        <v>587.5</v>
      </c>
    </row>
    <row r="197" spans="1:23" s="127" customFormat="1" ht="15.6" hidden="1" x14ac:dyDescent="0.3">
      <c r="A197" s="140" t="s">
        <v>509</v>
      </c>
      <c r="B197" s="140">
        <v>1094</v>
      </c>
      <c r="C197" s="139">
        <v>45652</v>
      </c>
      <c r="D197" s="140">
        <f>WEEKNUM(C197)</f>
        <v>52</v>
      </c>
      <c r="E197" s="140" t="s">
        <v>498</v>
      </c>
      <c r="F197" s="140" t="s">
        <v>459</v>
      </c>
      <c r="G197" s="140" t="s">
        <v>901</v>
      </c>
      <c r="H197" s="140" t="s">
        <v>51</v>
      </c>
      <c r="I197" s="140" t="s">
        <v>46</v>
      </c>
      <c r="J197" s="154">
        <v>1000</v>
      </c>
      <c r="K197" s="154"/>
      <c r="L197" s="154"/>
      <c r="M197" s="143">
        <v>0</v>
      </c>
      <c r="N197" s="139">
        <v>45664</v>
      </c>
      <c r="O197" s="157">
        <f>WEEKNUM(N197)</f>
        <v>2</v>
      </c>
      <c r="P197" s="140" t="s">
        <v>28</v>
      </c>
      <c r="Q197" s="140" t="s">
        <v>29</v>
      </c>
      <c r="R197" s="156">
        <f>J197*0.25</f>
        <v>250</v>
      </c>
      <c r="S197" s="156">
        <f>J197*1</f>
        <v>1000</v>
      </c>
      <c r="T197" s="156">
        <f>J197*1.65</f>
        <v>1650</v>
      </c>
      <c r="U197" s="156">
        <f>J197*0.5</f>
        <v>500</v>
      </c>
      <c r="V197" s="156">
        <f>R197+S197+T197+U197</f>
        <v>3400</v>
      </c>
    </row>
    <row r="198" spans="1:23" s="128" customFormat="1" ht="15.6" hidden="1" x14ac:dyDescent="0.3">
      <c r="A198" s="142" t="s">
        <v>477</v>
      </c>
      <c r="B198" s="142">
        <v>1093</v>
      </c>
      <c r="C198" s="141">
        <v>45652</v>
      </c>
      <c r="D198" s="140">
        <f>WEEKNUM(C198)</f>
        <v>52</v>
      </c>
      <c r="E198" s="142" t="s">
        <v>498</v>
      </c>
      <c r="F198" s="140" t="s">
        <v>459</v>
      </c>
      <c r="G198" s="142" t="s">
        <v>902</v>
      </c>
      <c r="H198" s="142" t="s">
        <v>903</v>
      </c>
      <c r="I198" s="142" t="s">
        <v>61</v>
      </c>
      <c r="J198" s="157">
        <v>270</v>
      </c>
      <c r="K198" s="143">
        <v>40</v>
      </c>
      <c r="L198" s="143">
        <v>0</v>
      </c>
      <c r="M198" s="143">
        <v>0</v>
      </c>
      <c r="N198" s="141">
        <v>45706</v>
      </c>
      <c r="O198" s="157">
        <f>WEEKNUM(N198)</f>
        <v>8</v>
      </c>
      <c r="P198" s="140"/>
      <c r="Q198" s="140" t="s">
        <v>29</v>
      </c>
      <c r="R198" s="143">
        <f>J198*0.25</f>
        <v>67.5</v>
      </c>
      <c r="S198" s="143">
        <f>J198*0.7</f>
        <v>189</v>
      </c>
      <c r="T198" s="143">
        <f>J198*3</f>
        <v>810</v>
      </c>
      <c r="U198" s="143">
        <f>J198*0.5</f>
        <v>135</v>
      </c>
      <c r="V198" s="143">
        <f>R198+S198+T198+U198</f>
        <v>1201.5</v>
      </c>
    </row>
    <row r="199" spans="1:23" s="127" customFormat="1" ht="15.6" hidden="1" x14ac:dyDescent="0.3">
      <c r="A199" s="140" t="s">
        <v>509</v>
      </c>
      <c r="B199" s="140">
        <v>661</v>
      </c>
      <c r="C199" s="139">
        <v>45659</v>
      </c>
      <c r="D199" s="140">
        <f>WEEKNUM(C199)</f>
        <v>1</v>
      </c>
      <c r="E199" s="140" t="s">
        <v>475</v>
      </c>
      <c r="F199" s="140" t="s">
        <v>809</v>
      </c>
      <c r="G199" s="140" t="s">
        <v>511</v>
      </c>
      <c r="H199" s="140" t="s">
        <v>494</v>
      </c>
      <c r="I199" s="140" t="s">
        <v>26</v>
      </c>
      <c r="J199" s="154">
        <v>200</v>
      </c>
      <c r="K199" s="156">
        <v>24.5</v>
      </c>
      <c r="L199" s="156">
        <f>K199*J199</f>
        <v>4900</v>
      </c>
      <c r="M199" s="143">
        <v>0</v>
      </c>
      <c r="N199" s="139">
        <v>45677</v>
      </c>
      <c r="O199" s="157">
        <f>WEEKNUM(N199)</f>
        <v>4</v>
      </c>
      <c r="P199" s="140" t="s">
        <v>28</v>
      </c>
      <c r="Q199" s="140" t="s">
        <v>29</v>
      </c>
      <c r="R199" s="156">
        <f>J199*0.25</f>
        <v>50</v>
      </c>
      <c r="S199" s="156">
        <f>J199*1</f>
        <v>200</v>
      </c>
      <c r="T199" s="156">
        <f>J199*1.5</f>
        <v>300</v>
      </c>
      <c r="U199" s="156">
        <f>J199*0.5</f>
        <v>100</v>
      </c>
      <c r="V199" s="156">
        <f>R199+S199+T199+U199</f>
        <v>650</v>
      </c>
    </row>
    <row r="200" spans="1:23" s="127" customFormat="1" ht="15.6" hidden="1" x14ac:dyDescent="0.3">
      <c r="A200" s="140" t="s">
        <v>509</v>
      </c>
      <c r="B200" s="140">
        <v>661</v>
      </c>
      <c r="C200" s="139">
        <v>45659</v>
      </c>
      <c r="D200" s="140">
        <f>WEEKNUM(C200)</f>
        <v>1</v>
      </c>
      <c r="E200" s="140" t="s">
        <v>475</v>
      </c>
      <c r="F200" s="142" t="s">
        <v>821</v>
      </c>
      <c r="G200" s="140" t="s">
        <v>822</v>
      </c>
      <c r="H200" s="140" t="s">
        <v>660</v>
      </c>
      <c r="I200" s="140" t="s">
        <v>46</v>
      </c>
      <c r="J200" s="154">
        <v>600</v>
      </c>
      <c r="K200" s="154"/>
      <c r="L200" s="154"/>
      <c r="M200" s="143">
        <v>0</v>
      </c>
      <c r="N200" s="139">
        <v>45673</v>
      </c>
      <c r="O200" s="157">
        <f>WEEKNUM(N200)</f>
        <v>3</v>
      </c>
      <c r="P200" s="140" t="s">
        <v>28</v>
      </c>
      <c r="Q200" s="140" t="s">
        <v>29</v>
      </c>
      <c r="R200" s="156">
        <f>J200*0.25</f>
        <v>150</v>
      </c>
      <c r="S200" s="156"/>
      <c r="T200" s="156"/>
      <c r="U200" s="156">
        <f>J200*0.5</f>
        <v>300</v>
      </c>
      <c r="V200" s="156">
        <f>R200+S200+T200+U200</f>
        <v>450</v>
      </c>
      <c r="W200" s="128"/>
    </row>
    <row r="201" spans="1:23" s="127" customFormat="1" ht="15.6" hidden="1" x14ac:dyDescent="0.3">
      <c r="A201" s="140" t="s">
        <v>509</v>
      </c>
      <c r="B201" s="140">
        <v>1102</v>
      </c>
      <c r="C201" s="139">
        <v>45663</v>
      </c>
      <c r="D201" s="140">
        <f>WEEKNUM(C201)</f>
        <v>2</v>
      </c>
      <c r="E201" s="140" t="s">
        <v>68</v>
      </c>
      <c r="F201" s="140" t="s">
        <v>353</v>
      </c>
      <c r="G201" s="142" t="s">
        <v>311</v>
      </c>
      <c r="H201" s="140" t="s">
        <v>51</v>
      </c>
      <c r="I201" s="140" t="s">
        <v>46</v>
      </c>
      <c r="J201" s="154">
        <v>2</v>
      </c>
      <c r="K201" s="156">
        <v>25</v>
      </c>
      <c r="L201" s="156">
        <f>J201*K201</f>
        <v>50</v>
      </c>
      <c r="M201" s="143">
        <v>0</v>
      </c>
      <c r="N201" s="139">
        <v>45693</v>
      </c>
      <c r="O201" s="157">
        <f>WEEKNUM(N201)</f>
        <v>6</v>
      </c>
      <c r="P201" s="140" t="s">
        <v>28</v>
      </c>
      <c r="Q201" s="140" t="s">
        <v>29</v>
      </c>
      <c r="R201" s="156">
        <f>J201*0.25</f>
        <v>0.5</v>
      </c>
      <c r="S201" s="156">
        <f>J201*0.7</f>
        <v>1.4</v>
      </c>
      <c r="T201" s="156">
        <f>J201*1.5</f>
        <v>3</v>
      </c>
      <c r="U201" s="156">
        <f>J201*0.5</f>
        <v>1</v>
      </c>
      <c r="V201" s="156">
        <f>R201+S201+T201+U201</f>
        <v>5.9</v>
      </c>
    </row>
    <row r="202" spans="1:23" s="127" customFormat="1" ht="15.6" hidden="1" x14ac:dyDescent="0.3">
      <c r="A202" s="140" t="s">
        <v>509</v>
      </c>
      <c r="B202" s="140">
        <v>1102</v>
      </c>
      <c r="C202" s="139">
        <v>45663</v>
      </c>
      <c r="D202" s="140">
        <f>WEEKNUM(C202)</f>
        <v>2</v>
      </c>
      <c r="E202" s="140" t="s">
        <v>68</v>
      </c>
      <c r="F202" s="140" t="s">
        <v>353</v>
      </c>
      <c r="G202" s="142" t="s">
        <v>408</v>
      </c>
      <c r="H202" s="140" t="s">
        <v>80</v>
      </c>
      <c r="I202" s="140" t="s">
        <v>46</v>
      </c>
      <c r="J202" s="154">
        <v>2</v>
      </c>
      <c r="K202" s="156">
        <v>21</v>
      </c>
      <c r="L202" s="156">
        <f>J202*K202</f>
        <v>42</v>
      </c>
      <c r="M202" s="143">
        <v>0</v>
      </c>
      <c r="N202" s="139">
        <v>45693</v>
      </c>
      <c r="O202" s="157">
        <f>WEEKNUM(N202)</f>
        <v>6</v>
      </c>
      <c r="P202" s="140" t="s">
        <v>28</v>
      </c>
      <c r="Q202" s="140" t="s">
        <v>29</v>
      </c>
      <c r="R202" s="156">
        <f>J202*0.25</f>
        <v>0.5</v>
      </c>
      <c r="S202" s="156">
        <f>J202*1</f>
        <v>2</v>
      </c>
      <c r="T202" s="156">
        <f>J202*1.2</f>
        <v>2.4</v>
      </c>
      <c r="U202" s="156">
        <f>J202*0.5</f>
        <v>1</v>
      </c>
      <c r="V202" s="156">
        <f>R202+S202+T202+U202</f>
        <v>5.9</v>
      </c>
    </row>
    <row r="203" spans="1:23" s="127" customFormat="1" ht="15.6" hidden="1" x14ac:dyDescent="0.3">
      <c r="A203" s="140" t="s">
        <v>509</v>
      </c>
      <c r="B203" s="140">
        <v>1102</v>
      </c>
      <c r="C203" s="139">
        <v>45663</v>
      </c>
      <c r="D203" s="140">
        <f>WEEKNUM(C203)</f>
        <v>2</v>
      </c>
      <c r="E203" s="140" t="s">
        <v>68</v>
      </c>
      <c r="F203" s="140" t="s">
        <v>353</v>
      </c>
      <c r="G203" s="142" t="s">
        <v>301</v>
      </c>
      <c r="H203" s="140" t="s">
        <v>74</v>
      </c>
      <c r="I203" s="140" t="s">
        <v>46</v>
      </c>
      <c r="J203" s="154">
        <v>2</v>
      </c>
      <c r="K203" s="156">
        <v>36.75</v>
      </c>
      <c r="L203" s="156">
        <f>K203*J203</f>
        <v>73.5</v>
      </c>
      <c r="M203" s="143">
        <v>0</v>
      </c>
      <c r="N203" s="139">
        <v>45693</v>
      </c>
      <c r="O203" s="157">
        <f>WEEKNUM(N203)</f>
        <v>6</v>
      </c>
      <c r="P203" s="140" t="s">
        <v>28</v>
      </c>
      <c r="Q203" s="140" t="s">
        <v>29</v>
      </c>
      <c r="R203" s="156">
        <f>J203*0.25</f>
        <v>0.5</v>
      </c>
      <c r="S203" s="156">
        <f>R203*1.5</f>
        <v>0.75</v>
      </c>
      <c r="T203" s="156">
        <f>J203*1.5</f>
        <v>3</v>
      </c>
      <c r="U203" s="156">
        <f>J203*0.5</f>
        <v>1</v>
      </c>
      <c r="V203" s="156">
        <f>R203+S203+T203+U203</f>
        <v>5.25</v>
      </c>
    </row>
    <row r="204" spans="1:23" s="127" customFormat="1" ht="15.6" hidden="1" x14ac:dyDescent="0.3">
      <c r="A204" s="140" t="s">
        <v>509</v>
      </c>
      <c r="B204" s="140">
        <v>1102</v>
      </c>
      <c r="C204" s="139">
        <v>45663</v>
      </c>
      <c r="D204" s="140">
        <f>WEEKNUM(C204)</f>
        <v>2</v>
      </c>
      <c r="E204" s="140" t="s">
        <v>68</v>
      </c>
      <c r="F204" s="140" t="s">
        <v>353</v>
      </c>
      <c r="G204" s="140" t="s">
        <v>503</v>
      </c>
      <c r="H204" s="140" t="s">
        <v>354</v>
      </c>
      <c r="I204" s="140" t="s">
        <v>46</v>
      </c>
      <c r="J204" s="154">
        <v>6</v>
      </c>
      <c r="K204" s="156">
        <v>36.75</v>
      </c>
      <c r="L204" s="156">
        <f>K204*J204</f>
        <v>220.5</v>
      </c>
      <c r="M204" s="143">
        <v>0</v>
      </c>
      <c r="N204" s="139">
        <v>45693</v>
      </c>
      <c r="O204" s="157">
        <f>WEEKNUM(N204)</f>
        <v>6</v>
      </c>
      <c r="P204" s="140" t="s">
        <v>28</v>
      </c>
      <c r="Q204" s="140" t="s">
        <v>29</v>
      </c>
      <c r="R204" s="156">
        <f>J204*0.25</f>
        <v>1.5</v>
      </c>
      <c r="S204" s="156">
        <f>R204*1.5</f>
        <v>2.25</v>
      </c>
      <c r="T204" s="156">
        <f>J204*1.5</f>
        <v>9</v>
      </c>
      <c r="U204" s="156">
        <f>J204*0.5</f>
        <v>3</v>
      </c>
      <c r="V204" s="156">
        <f>R204+S204+T204+U204</f>
        <v>15.75</v>
      </c>
    </row>
    <row r="205" spans="1:23" s="127" customFormat="1" ht="15.6" hidden="1" x14ac:dyDescent="0.3">
      <c r="A205" s="140" t="s">
        <v>509</v>
      </c>
      <c r="B205" s="140">
        <v>1102</v>
      </c>
      <c r="C205" s="139">
        <v>45663</v>
      </c>
      <c r="D205" s="140">
        <f>WEEKNUM(C205)</f>
        <v>2</v>
      </c>
      <c r="E205" s="140" t="s">
        <v>68</v>
      </c>
      <c r="F205" s="140" t="s">
        <v>353</v>
      </c>
      <c r="G205" s="142" t="s">
        <v>301</v>
      </c>
      <c r="H205" s="140" t="s">
        <v>74</v>
      </c>
      <c r="I205" s="140" t="s">
        <v>46</v>
      </c>
      <c r="J205" s="154">
        <v>2</v>
      </c>
      <c r="K205" s="156">
        <v>36.75</v>
      </c>
      <c r="L205" s="156">
        <f>K205*J205</f>
        <v>73.5</v>
      </c>
      <c r="M205" s="143">
        <v>0</v>
      </c>
      <c r="N205" s="139">
        <v>45693</v>
      </c>
      <c r="O205" s="157">
        <f>WEEKNUM(N205)</f>
        <v>6</v>
      </c>
      <c r="P205" s="140" t="s">
        <v>28</v>
      </c>
      <c r="Q205" s="140" t="s">
        <v>29</v>
      </c>
      <c r="R205" s="156">
        <f>J205*0.25</f>
        <v>0.5</v>
      </c>
      <c r="S205" s="156">
        <f>R205*1.5</f>
        <v>0.75</v>
      </c>
      <c r="T205" s="156">
        <f>J205*1.5</f>
        <v>3</v>
      </c>
      <c r="U205" s="156">
        <f>J205*0.5</f>
        <v>1</v>
      </c>
      <c r="V205" s="156">
        <f>R205+S205+T205+U205</f>
        <v>5.25</v>
      </c>
    </row>
    <row r="206" spans="1:23" s="127" customFormat="1" ht="15.6" hidden="1" x14ac:dyDescent="0.3">
      <c r="A206" s="140" t="s">
        <v>509</v>
      </c>
      <c r="B206" s="140">
        <v>663</v>
      </c>
      <c r="C206" s="139">
        <v>45663</v>
      </c>
      <c r="D206" s="140">
        <f>WEEKNUM(C206)</f>
        <v>2</v>
      </c>
      <c r="E206" s="140" t="s">
        <v>498</v>
      </c>
      <c r="F206" s="140" t="s">
        <v>637</v>
      </c>
      <c r="G206" s="142" t="s">
        <v>487</v>
      </c>
      <c r="H206" s="140" t="s">
        <v>51</v>
      </c>
      <c r="I206" s="140" t="s">
        <v>46</v>
      </c>
      <c r="J206" s="154">
        <v>250</v>
      </c>
      <c r="K206" s="154"/>
      <c r="L206" s="154"/>
      <c r="M206" s="143">
        <v>0</v>
      </c>
      <c r="N206" s="139">
        <v>45677</v>
      </c>
      <c r="O206" s="157">
        <f>WEEKNUM(N206)</f>
        <v>4</v>
      </c>
      <c r="P206" s="140"/>
      <c r="Q206" s="140" t="s">
        <v>29</v>
      </c>
      <c r="R206" s="156">
        <f>J206*0.25</f>
        <v>62.5</v>
      </c>
      <c r="S206" s="156">
        <f>J206*1</f>
        <v>250</v>
      </c>
      <c r="T206" s="156">
        <f>J206*1.84</f>
        <v>460</v>
      </c>
      <c r="U206" s="156">
        <f>J206*0.5</f>
        <v>125</v>
      </c>
      <c r="V206" s="156">
        <f>R206+S206+T206+U206</f>
        <v>897.5</v>
      </c>
    </row>
    <row r="207" spans="1:23" s="127" customFormat="1" ht="15.6" hidden="1" x14ac:dyDescent="0.3">
      <c r="A207" s="140" t="s">
        <v>509</v>
      </c>
      <c r="B207" s="140">
        <v>664</v>
      </c>
      <c r="C207" s="139">
        <v>45665</v>
      </c>
      <c r="D207" s="140">
        <f>WEEKNUM(C207)</f>
        <v>2</v>
      </c>
      <c r="E207" s="140" t="s">
        <v>478</v>
      </c>
      <c r="F207" s="140" t="s">
        <v>510</v>
      </c>
      <c r="G207" s="140" t="s">
        <v>511</v>
      </c>
      <c r="H207" s="140" t="s">
        <v>494</v>
      </c>
      <c r="I207" s="140" t="s">
        <v>46</v>
      </c>
      <c r="J207" s="154">
        <v>20</v>
      </c>
      <c r="K207" s="154"/>
      <c r="L207" s="154"/>
      <c r="M207" s="143">
        <v>0</v>
      </c>
      <c r="N207" s="139">
        <v>45695</v>
      </c>
      <c r="O207" s="157">
        <f>WEEKNUM(N207)</f>
        <v>6</v>
      </c>
      <c r="P207" s="140" t="s">
        <v>28</v>
      </c>
      <c r="Q207" s="140" t="s">
        <v>29</v>
      </c>
      <c r="R207" s="156">
        <f>J207*0.25</f>
        <v>5</v>
      </c>
      <c r="S207" s="156">
        <f>J207*1</f>
        <v>20</v>
      </c>
      <c r="T207" s="156">
        <f>J207*1.5</f>
        <v>30</v>
      </c>
      <c r="U207" s="156">
        <f>J207*0.5</f>
        <v>10</v>
      </c>
      <c r="V207" s="156">
        <f>R207+S207+T207+U207</f>
        <v>65</v>
      </c>
    </row>
    <row r="208" spans="1:23" s="127" customFormat="1" ht="15.6" hidden="1" x14ac:dyDescent="0.3">
      <c r="A208" s="140" t="s">
        <v>509</v>
      </c>
      <c r="B208" s="140">
        <v>664</v>
      </c>
      <c r="C208" s="139">
        <v>45665</v>
      </c>
      <c r="D208" s="140">
        <f>WEEKNUM(C208)</f>
        <v>2</v>
      </c>
      <c r="E208" s="140" t="s">
        <v>478</v>
      </c>
      <c r="F208" s="140" t="s">
        <v>510</v>
      </c>
      <c r="G208" s="140" t="s">
        <v>512</v>
      </c>
      <c r="H208" s="140" t="s">
        <v>340</v>
      </c>
      <c r="I208" s="140" t="s">
        <v>46</v>
      </c>
      <c r="J208" s="154">
        <v>12</v>
      </c>
      <c r="K208" s="154"/>
      <c r="L208" s="154"/>
      <c r="M208" s="143">
        <v>0</v>
      </c>
      <c r="N208" s="139">
        <v>45695</v>
      </c>
      <c r="O208" s="157">
        <f>WEEKNUM(N208)</f>
        <v>6</v>
      </c>
      <c r="P208" s="140" t="s">
        <v>28</v>
      </c>
      <c r="Q208" s="140" t="s">
        <v>29</v>
      </c>
      <c r="R208" s="156">
        <f>J208*0.25</f>
        <v>3</v>
      </c>
      <c r="S208" s="156">
        <f>J208*1</f>
        <v>12</v>
      </c>
      <c r="T208" s="156">
        <f>J208*3</f>
        <v>36</v>
      </c>
      <c r="U208" s="156">
        <f>J208*0.5</f>
        <v>6</v>
      </c>
      <c r="V208" s="156">
        <f>R208+S208+T208+U208</f>
        <v>57</v>
      </c>
    </row>
    <row r="209" spans="1:22" s="127" customFormat="1" ht="15.6" hidden="1" x14ac:dyDescent="0.3">
      <c r="A209" s="140" t="s">
        <v>509</v>
      </c>
      <c r="B209" s="140">
        <v>664</v>
      </c>
      <c r="C209" s="139">
        <v>45665</v>
      </c>
      <c r="D209" s="140">
        <f>WEEKNUM(C209)</f>
        <v>2</v>
      </c>
      <c r="E209" s="140" t="s">
        <v>478</v>
      </c>
      <c r="F209" s="140" t="s">
        <v>510</v>
      </c>
      <c r="G209" s="140" t="s">
        <v>513</v>
      </c>
      <c r="H209" s="140" t="s">
        <v>74</v>
      </c>
      <c r="I209" s="140" t="s">
        <v>46</v>
      </c>
      <c r="J209" s="154">
        <v>12</v>
      </c>
      <c r="K209" s="154"/>
      <c r="L209" s="154"/>
      <c r="M209" s="143">
        <v>0</v>
      </c>
      <c r="N209" s="139">
        <v>45695</v>
      </c>
      <c r="O209" s="157">
        <f>WEEKNUM(N209)</f>
        <v>6</v>
      </c>
      <c r="P209" s="140" t="s">
        <v>28</v>
      </c>
      <c r="Q209" s="140" t="s">
        <v>29</v>
      </c>
      <c r="R209" s="156">
        <f>J209*0.25</f>
        <v>3</v>
      </c>
      <c r="S209" s="156">
        <f>R209*1.5</f>
        <v>4.5</v>
      </c>
      <c r="T209" s="156">
        <f>J209*1.5</f>
        <v>18</v>
      </c>
      <c r="U209" s="156">
        <f>J209*0.5</f>
        <v>6</v>
      </c>
      <c r="V209" s="156">
        <f>R209+S209+T209+U209</f>
        <v>31.5</v>
      </c>
    </row>
    <row r="210" spans="1:22" s="127" customFormat="1" ht="15.6" hidden="1" x14ac:dyDescent="0.3">
      <c r="A210" s="140" t="s">
        <v>509</v>
      </c>
      <c r="B210" s="140">
        <v>1104</v>
      </c>
      <c r="C210" s="139">
        <v>45666</v>
      </c>
      <c r="D210" s="140">
        <f>WEEKNUM(C210)</f>
        <v>2</v>
      </c>
      <c r="E210" s="140" t="s">
        <v>478</v>
      </c>
      <c r="F210" s="140" t="s">
        <v>714</v>
      </c>
      <c r="G210" s="140" t="s">
        <v>139</v>
      </c>
      <c r="H210" s="140" t="s">
        <v>140</v>
      </c>
      <c r="I210" s="140" t="s">
        <v>46</v>
      </c>
      <c r="J210" s="154">
        <v>1000</v>
      </c>
      <c r="K210" s="154"/>
      <c r="L210" s="154"/>
      <c r="M210" s="143">
        <v>0</v>
      </c>
      <c r="N210" s="139">
        <v>45688</v>
      </c>
      <c r="O210" s="157">
        <f>WEEKNUM(N210)</f>
        <v>5</v>
      </c>
      <c r="P210" s="140" t="s">
        <v>54</v>
      </c>
      <c r="Q210" s="140" t="s">
        <v>29</v>
      </c>
      <c r="R210" s="156">
        <f>J210*0.25</f>
        <v>250</v>
      </c>
      <c r="S210" s="156"/>
      <c r="T210" s="156">
        <f>J210*1.5</f>
        <v>1500</v>
      </c>
      <c r="U210" s="156">
        <f>J210*0.5</f>
        <v>500</v>
      </c>
      <c r="V210" s="156">
        <f>R210+S210+T210+U210</f>
        <v>2250</v>
      </c>
    </row>
    <row r="211" spans="1:22" s="127" customFormat="1" ht="15.6" hidden="1" x14ac:dyDescent="0.3">
      <c r="A211" s="140" t="s">
        <v>509</v>
      </c>
      <c r="B211" s="140">
        <v>665</v>
      </c>
      <c r="C211" s="139">
        <v>45670</v>
      </c>
      <c r="D211" s="140">
        <f>WEEKNUM(C211)</f>
        <v>3</v>
      </c>
      <c r="E211" s="140" t="s">
        <v>478</v>
      </c>
      <c r="F211" s="140" t="s">
        <v>827</v>
      </c>
      <c r="G211" s="140" t="s">
        <v>828</v>
      </c>
      <c r="H211" s="140" t="s">
        <v>42</v>
      </c>
      <c r="I211" s="140" t="s">
        <v>26</v>
      </c>
      <c r="J211" s="154">
        <v>1000</v>
      </c>
      <c r="K211" s="154"/>
      <c r="L211" s="154"/>
      <c r="M211" s="143">
        <v>0</v>
      </c>
      <c r="N211" s="139">
        <v>45695</v>
      </c>
      <c r="O211" s="157">
        <f>WEEKNUM(N211)</f>
        <v>6</v>
      </c>
      <c r="P211" s="140" t="s">
        <v>28</v>
      </c>
      <c r="Q211" s="140" t="s">
        <v>29</v>
      </c>
      <c r="R211" s="156">
        <f>J211*0.25</f>
        <v>250</v>
      </c>
      <c r="S211" s="156">
        <f>J211*0.6</f>
        <v>600</v>
      </c>
      <c r="T211" s="156">
        <f>J211*1</f>
        <v>1000</v>
      </c>
      <c r="U211" s="156">
        <f>J211*0.5</f>
        <v>500</v>
      </c>
      <c r="V211" s="156">
        <f>R211+S211+T211+U211</f>
        <v>2350</v>
      </c>
    </row>
    <row r="212" spans="1:22" s="127" customFormat="1" ht="15.6" hidden="1" x14ac:dyDescent="0.3">
      <c r="A212" s="140" t="s">
        <v>509</v>
      </c>
      <c r="B212" s="140">
        <v>667</v>
      </c>
      <c r="C212" s="139">
        <v>45670</v>
      </c>
      <c r="D212" s="140">
        <f>WEEKNUM(C212)</f>
        <v>3</v>
      </c>
      <c r="E212" s="140" t="s">
        <v>498</v>
      </c>
      <c r="F212" s="140" t="s">
        <v>883</v>
      </c>
      <c r="G212" s="142" t="s">
        <v>487</v>
      </c>
      <c r="H212" s="140" t="s">
        <v>51</v>
      </c>
      <c r="I212" s="140" t="s">
        <v>26</v>
      </c>
      <c r="J212" s="154">
        <v>240</v>
      </c>
      <c r="K212" s="156">
        <v>25</v>
      </c>
      <c r="L212" s="156">
        <f>J212*K212</f>
        <v>6000</v>
      </c>
      <c r="M212" s="143">
        <v>0</v>
      </c>
      <c r="N212" s="139">
        <v>45698</v>
      </c>
      <c r="O212" s="157">
        <f>WEEKNUM(N212)</f>
        <v>7</v>
      </c>
      <c r="P212" s="140"/>
      <c r="Q212" s="140" t="s">
        <v>29</v>
      </c>
      <c r="R212" s="156">
        <f>J212*0.25</f>
        <v>60</v>
      </c>
      <c r="S212" s="156">
        <f>J212*1</f>
        <v>240</v>
      </c>
      <c r="T212" s="156">
        <f>J212*1.84</f>
        <v>441.6</v>
      </c>
      <c r="U212" s="156">
        <f>J212*0.5</f>
        <v>120</v>
      </c>
      <c r="V212" s="156">
        <f>R212+S212+T212+U212</f>
        <v>861.6</v>
      </c>
    </row>
    <row r="213" spans="1:22" s="127" customFormat="1" ht="15.6" hidden="1" x14ac:dyDescent="0.3">
      <c r="A213" s="140" t="s">
        <v>509</v>
      </c>
      <c r="B213" s="140">
        <v>669</v>
      </c>
      <c r="C213" s="139">
        <v>45672</v>
      </c>
      <c r="D213" s="140">
        <f>WEEKNUM(C213)</f>
        <v>3</v>
      </c>
      <c r="E213" s="140" t="s">
        <v>478</v>
      </c>
      <c r="F213" s="140" t="s">
        <v>881</v>
      </c>
      <c r="G213" s="140" t="s">
        <v>631</v>
      </c>
      <c r="H213" s="140" t="s">
        <v>74</v>
      </c>
      <c r="I213" s="140" t="s">
        <v>46</v>
      </c>
      <c r="J213" s="154">
        <v>20</v>
      </c>
      <c r="K213" s="154"/>
      <c r="L213" s="154"/>
      <c r="M213" s="143">
        <v>0</v>
      </c>
      <c r="N213" s="139">
        <v>45700</v>
      </c>
      <c r="O213" s="157">
        <f>WEEKNUM(N213)</f>
        <v>7</v>
      </c>
      <c r="P213" s="140"/>
      <c r="Q213" s="140" t="s">
        <v>29</v>
      </c>
      <c r="R213" s="156">
        <f>J213*0.25</f>
        <v>5</v>
      </c>
      <c r="S213" s="156">
        <f>R213*1.5</f>
        <v>7.5</v>
      </c>
      <c r="T213" s="156">
        <f>J213*1.5</f>
        <v>30</v>
      </c>
      <c r="U213" s="156">
        <f>J213*0.5</f>
        <v>10</v>
      </c>
      <c r="V213" s="156">
        <f>R213+S213+T213+U213</f>
        <v>52.5</v>
      </c>
    </row>
    <row r="214" spans="1:22" s="127" customFormat="1" ht="15.6" hidden="1" x14ac:dyDescent="0.3">
      <c r="A214" s="140" t="s">
        <v>477</v>
      </c>
      <c r="B214" s="140">
        <v>1109</v>
      </c>
      <c r="C214" s="139">
        <v>45673</v>
      </c>
      <c r="D214" s="140">
        <f>WEEKNUM(C214)</f>
        <v>3</v>
      </c>
      <c r="E214" s="140" t="s">
        <v>475</v>
      </c>
      <c r="F214" s="140" t="s">
        <v>615</v>
      </c>
      <c r="G214" s="140" t="s">
        <v>480</v>
      </c>
      <c r="H214" s="140" t="s">
        <v>51</v>
      </c>
      <c r="I214" s="140" t="s">
        <v>46</v>
      </c>
      <c r="J214" s="154">
        <v>1000</v>
      </c>
      <c r="K214" s="156">
        <v>18</v>
      </c>
      <c r="L214" s="156">
        <f>J214*K214</f>
        <v>18000</v>
      </c>
      <c r="M214" s="143">
        <v>0</v>
      </c>
      <c r="N214" s="139">
        <v>45705</v>
      </c>
      <c r="O214" s="157">
        <f>WEEKNUM(N214)</f>
        <v>8</v>
      </c>
      <c r="P214" s="140"/>
      <c r="Q214" s="140" t="s">
        <v>29</v>
      </c>
      <c r="R214" s="156">
        <f>J214*0.25</f>
        <v>250</v>
      </c>
      <c r="S214" s="156">
        <f>J214*0.7</f>
        <v>700</v>
      </c>
      <c r="T214" s="156">
        <f>J214*1.84</f>
        <v>1840</v>
      </c>
      <c r="U214" s="156">
        <f>J214*0.5</f>
        <v>500</v>
      </c>
      <c r="V214" s="156">
        <f>R214+S214+T214+U214</f>
        <v>3290</v>
      </c>
    </row>
    <row r="215" spans="1:22" s="127" customFormat="1" ht="15.6" hidden="1" x14ac:dyDescent="0.3">
      <c r="A215" s="140" t="s">
        <v>477</v>
      </c>
      <c r="B215" s="140">
        <v>1109</v>
      </c>
      <c r="C215" s="139">
        <v>45673</v>
      </c>
      <c r="D215" s="140">
        <f>WEEKNUM(C215)</f>
        <v>3</v>
      </c>
      <c r="E215" s="140" t="s">
        <v>475</v>
      </c>
      <c r="F215" s="140" t="s">
        <v>615</v>
      </c>
      <c r="G215" s="140" t="s">
        <v>511</v>
      </c>
      <c r="H215" s="140" t="s">
        <v>494</v>
      </c>
      <c r="I215" s="140" t="s">
        <v>26</v>
      </c>
      <c r="J215" s="154">
        <v>1000</v>
      </c>
      <c r="K215" s="156">
        <v>24.5</v>
      </c>
      <c r="L215" s="156">
        <f>J215*K215</f>
        <v>24500</v>
      </c>
      <c r="M215" s="143">
        <v>0</v>
      </c>
      <c r="N215" s="139">
        <v>45705</v>
      </c>
      <c r="O215" s="157">
        <f>WEEKNUM(N215)</f>
        <v>8</v>
      </c>
      <c r="P215" s="140"/>
      <c r="Q215" s="140" t="s">
        <v>29</v>
      </c>
      <c r="R215" s="156">
        <f>J215*0.25</f>
        <v>250</v>
      </c>
      <c r="S215" s="156">
        <f>J215*1</f>
        <v>1000</v>
      </c>
      <c r="T215" s="156">
        <f>J215*1.5</f>
        <v>1500</v>
      </c>
      <c r="U215" s="156">
        <f>J215*0.5</f>
        <v>500</v>
      </c>
      <c r="V215" s="156">
        <f>R215+S215+T215+U215</f>
        <v>3250</v>
      </c>
    </row>
    <row r="216" spans="1:22" s="127" customFormat="1" ht="15.6" hidden="1" x14ac:dyDescent="0.3">
      <c r="A216" s="140" t="s">
        <v>509</v>
      </c>
      <c r="B216" s="140">
        <v>670</v>
      </c>
      <c r="C216" s="139">
        <v>45673</v>
      </c>
      <c r="D216" s="140">
        <f>WEEKNUM(C216)</f>
        <v>3</v>
      </c>
      <c r="E216" s="140" t="s">
        <v>498</v>
      </c>
      <c r="F216" s="140" t="s">
        <v>637</v>
      </c>
      <c r="G216" s="142" t="s">
        <v>487</v>
      </c>
      <c r="H216" s="140" t="s">
        <v>51</v>
      </c>
      <c r="I216" s="140" t="s">
        <v>46</v>
      </c>
      <c r="J216" s="154">
        <v>250</v>
      </c>
      <c r="K216" s="154"/>
      <c r="L216" s="154"/>
      <c r="M216" s="143">
        <v>0</v>
      </c>
      <c r="N216" s="139">
        <v>45701</v>
      </c>
      <c r="O216" s="157">
        <f>WEEKNUM(N216)</f>
        <v>7</v>
      </c>
      <c r="P216" s="140"/>
      <c r="Q216" s="140" t="s">
        <v>29</v>
      </c>
      <c r="R216" s="156">
        <f>J216*0.25</f>
        <v>62.5</v>
      </c>
      <c r="S216" s="156">
        <f>J216*1</f>
        <v>250</v>
      </c>
      <c r="T216" s="156">
        <f>J216*1.84</f>
        <v>460</v>
      </c>
      <c r="U216" s="156">
        <f>J216*0.5</f>
        <v>125</v>
      </c>
      <c r="V216" s="156">
        <f>R216+S216+T216+U216</f>
        <v>897.5</v>
      </c>
    </row>
    <row r="217" spans="1:22" s="127" customFormat="1" ht="15.6" hidden="1" x14ac:dyDescent="0.3">
      <c r="A217" s="140" t="s">
        <v>509</v>
      </c>
      <c r="B217" s="140">
        <v>1110</v>
      </c>
      <c r="C217" s="139">
        <v>45674</v>
      </c>
      <c r="D217" s="140">
        <f>WEEKNUM(C217)</f>
        <v>3</v>
      </c>
      <c r="E217" s="140" t="s">
        <v>475</v>
      </c>
      <c r="F217" s="140" t="s">
        <v>549</v>
      </c>
      <c r="G217" s="142" t="s">
        <v>489</v>
      </c>
      <c r="H217" s="140" t="s">
        <v>51</v>
      </c>
      <c r="I217" s="140" t="s">
        <v>61</v>
      </c>
      <c r="J217" s="154">
        <v>100</v>
      </c>
      <c r="K217" s="156">
        <v>67</v>
      </c>
      <c r="L217" s="156">
        <f>J217*K217</f>
        <v>6700</v>
      </c>
      <c r="M217" s="143">
        <v>0</v>
      </c>
      <c r="N217" s="139">
        <v>45698</v>
      </c>
      <c r="O217" s="157">
        <f>WEEKNUM(N217)</f>
        <v>7</v>
      </c>
      <c r="P217" s="140"/>
      <c r="Q217" s="140" t="s">
        <v>29</v>
      </c>
      <c r="R217" s="156">
        <f>J217*0.25</f>
        <v>25</v>
      </c>
      <c r="S217" s="156">
        <f>J217*1</f>
        <v>100</v>
      </c>
      <c r="T217" s="156">
        <f>J217*3</f>
        <v>300</v>
      </c>
      <c r="U217" s="156">
        <f>J217*0.5</f>
        <v>50</v>
      </c>
      <c r="V217" s="156">
        <f>R217+S217+T217+U217</f>
        <v>475</v>
      </c>
    </row>
    <row r="218" spans="1:22" s="127" customFormat="1" ht="15.6" hidden="1" x14ac:dyDescent="0.3">
      <c r="A218" s="140" t="s">
        <v>509</v>
      </c>
      <c r="B218" s="140">
        <v>1111</v>
      </c>
      <c r="C218" s="139">
        <v>45674</v>
      </c>
      <c r="D218" s="140">
        <f>WEEKNUM(C218)</f>
        <v>3</v>
      </c>
      <c r="E218" s="140" t="s">
        <v>498</v>
      </c>
      <c r="F218" s="140" t="s">
        <v>715</v>
      </c>
      <c r="G218" s="140" t="s">
        <v>717</v>
      </c>
      <c r="H218" s="140" t="s">
        <v>42</v>
      </c>
      <c r="I218" s="140" t="s">
        <v>61</v>
      </c>
      <c r="J218" s="154">
        <v>300</v>
      </c>
      <c r="K218" s="154"/>
      <c r="L218" s="154"/>
      <c r="M218" s="143">
        <v>0</v>
      </c>
      <c r="N218" s="139">
        <v>45675</v>
      </c>
      <c r="O218" s="157">
        <f>WEEKNUM(N218)</f>
        <v>3</v>
      </c>
      <c r="P218" s="140"/>
      <c r="Q218" s="140" t="s">
        <v>29</v>
      </c>
      <c r="R218" s="156">
        <f>J218*0.25</f>
        <v>75</v>
      </c>
      <c r="S218" s="156">
        <f>J218*0.6</f>
        <v>180</v>
      </c>
      <c r="T218" s="156">
        <f>J218*1.5</f>
        <v>450</v>
      </c>
      <c r="U218" s="156">
        <f>J218*0.5</f>
        <v>150</v>
      </c>
      <c r="V218" s="156">
        <f>R218+S218+T218+U218</f>
        <v>855</v>
      </c>
    </row>
    <row r="219" spans="1:22" s="127" customFormat="1" ht="15.6" hidden="1" x14ac:dyDescent="0.3">
      <c r="A219" s="140" t="s">
        <v>509</v>
      </c>
      <c r="B219" s="140">
        <v>1108</v>
      </c>
      <c r="C219" s="139">
        <v>45674</v>
      </c>
      <c r="D219" s="140">
        <f>WEEKNUM(C219)</f>
        <v>3</v>
      </c>
      <c r="E219" s="140" t="s">
        <v>498</v>
      </c>
      <c r="F219" s="140" t="s">
        <v>715</v>
      </c>
      <c r="G219" s="140" t="s">
        <v>152</v>
      </c>
      <c r="H219" s="140" t="s">
        <v>74</v>
      </c>
      <c r="I219" s="140" t="s">
        <v>46</v>
      </c>
      <c r="J219" s="154">
        <f>135+140</f>
        <v>275</v>
      </c>
      <c r="K219" s="156">
        <v>21</v>
      </c>
      <c r="L219" s="156">
        <f>J219*K219</f>
        <v>5775</v>
      </c>
      <c r="M219" s="143">
        <v>0</v>
      </c>
      <c r="N219" s="139">
        <v>45716</v>
      </c>
      <c r="O219" s="157">
        <f>WEEKNUM(N219)</f>
        <v>9</v>
      </c>
      <c r="P219" s="140"/>
      <c r="Q219" s="140" t="s">
        <v>29</v>
      </c>
      <c r="R219" s="156">
        <f>J219*0.25</f>
        <v>68.75</v>
      </c>
      <c r="S219" s="156">
        <f>R219*1.5</f>
        <v>103.125</v>
      </c>
      <c r="T219" s="156">
        <f>J219*1.5</f>
        <v>412.5</v>
      </c>
      <c r="U219" s="156">
        <f>J219*0.5</f>
        <v>137.5</v>
      </c>
      <c r="V219" s="156">
        <f>R219+S219+T219+U219</f>
        <v>721.875</v>
      </c>
    </row>
    <row r="220" spans="1:22" s="127" customFormat="1" ht="15.6" hidden="1" x14ac:dyDescent="0.3">
      <c r="A220" s="140" t="s">
        <v>509</v>
      </c>
      <c r="B220" s="140">
        <v>1108</v>
      </c>
      <c r="C220" s="139">
        <v>45674</v>
      </c>
      <c r="D220" s="140">
        <f>WEEKNUM(C220)</f>
        <v>3</v>
      </c>
      <c r="E220" s="140" t="s">
        <v>498</v>
      </c>
      <c r="F220" s="140" t="s">
        <v>715</v>
      </c>
      <c r="G220" s="140" t="s">
        <v>152</v>
      </c>
      <c r="H220" s="140" t="s">
        <v>74</v>
      </c>
      <c r="I220" s="140" t="s">
        <v>46</v>
      </c>
      <c r="J220" s="154">
        <f>140+160</f>
        <v>300</v>
      </c>
      <c r="K220" s="156">
        <v>21</v>
      </c>
      <c r="L220" s="156">
        <f>J220*K220</f>
        <v>6300</v>
      </c>
      <c r="M220" s="143">
        <v>0</v>
      </c>
      <c r="N220" s="139">
        <v>45716</v>
      </c>
      <c r="O220" s="157">
        <f>WEEKNUM(N220)</f>
        <v>9</v>
      </c>
      <c r="P220" s="140"/>
      <c r="Q220" s="140" t="s">
        <v>29</v>
      </c>
      <c r="R220" s="156">
        <f>J220*0.25</f>
        <v>75</v>
      </c>
      <c r="S220" s="156">
        <f>R220*1.5</f>
        <v>112.5</v>
      </c>
      <c r="T220" s="156">
        <f>J220*1.5</f>
        <v>450</v>
      </c>
      <c r="U220" s="156">
        <f>J220*0.5</f>
        <v>150</v>
      </c>
      <c r="V220" s="156">
        <f>R220+S220+T220+U220</f>
        <v>787.5</v>
      </c>
    </row>
    <row r="221" spans="1:22" s="127" customFormat="1" ht="15.6" hidden="1" x14ac:dyDescent="0.3">
      <c r="A221" s="140" t="s">
        <v>509</v>
      </c>
      <c r="B221" s="140">
        <v>1107</v>
      </c>
      <c r="C221" s="139">
        <v>45674</v>
      </c>
      <c r="D221" s="140">
        <f>WEEKNUM(C221)</f>
        <v>3</v>
      </c>
      <c r="E221" s="140" t="s">
        <v>498</v>
      </c>
      <c r="F221" s="140" t="s">
        <v>715</v>
      </c>
      <c r="G221" s="140" t="s">
        <v>718</v>
      </c>
      <c r="H221" s="140" t="s">
        <v>494</v>
      </c>
      <c r="I221" s="140" t="s">
        <v>46</v>
      </c>
      <c r="J221" s="154">
        <v>250</v>
      </c>
      <c r="K221" s="154"/>
      <c r="L221" s="154"/>
      <c r="M221" s="143">
        <v>0</v>
      </c>
      <c r="N221" s="139">
        <v>45702</v>
      </c>
      <c r="O221" s="157">
        <f>WEEKNUM(N221)</f>
        <v>7</v>
      </c>
      <c r="P221" s="140"/>
      <c r="Q221" s="140" t="s">
        <v>29</v>
      </c>
      <c r="R221" s="156">
        <f>J221*0.25</f>
        <v>62.5</v>
      </c>
      <c r="S221" s="156"/>
      <c r="T221" s="156">
        <f>J221*1</f>
        <v>250</v>
      </c>
      <c r="U221" s="156">
        <f>J221*0.5</f>
        <v>125</v>
      </c>
      <c r="V221" s="156">
        <f>R221+S221+T221+U221</f>
        <v>437.5</v>
      </c>
    </row>
    <row r="222" spans="1:22" s="127" customFormat="1" ht="15.6" hidden="1" x14ac:dyDescent="0.3">
      <c r="A222" s="140" t="s">
        <v>509</v>
      </c>
      <c r="B222" s="140">
        <v>1107</v>
      </c>
      <c r="C222" s="139">
        <v>45674</v>
      </c>
      <c r="D222" s="140">
        <f>WEEKNUM(C222)</f>
        <v>3</v>
      </c>
      <c r="E222" s="140" t="s">
        <v>498</v>
      </c>
      <c r="F222" s="140" t="s">
        <v>715</v>
      </c>
      <c r="G222" s="140" t="s">
        <v>718</v>
      </c>
      <c r="H222" s="140" t="s">
        <v>494</v>
      </c>
      <c r="I222" s="140" t="s">
        <v>46</v>
      </c>
      <c r="J222" s="154">
        <v>500</v>
      </c>
      <c r="K222" s="156">
        <v>11.5</v>
      </c>
      <c r="L222" s="156">
        <f>J222*K222</f>
        <v>5750</v>
      </c>
      <c r="M222" s="143">
        <v>0</v>
      </c>
      <c r="N222" s="139">
        <v>45702</v>
      </c>
      <c r="O222" s="157">
        <f>WEEKNUM(N222)</f>
        <v>7</v>
      </c>
      <c r="P222" s="140"/>
      <c r="Q222" s="140" t="s">
        <v>29</v>
      </c>
      <c r="R222" s="156">
        <f>J222*0.25</f>
        <v>125</v>
      </c>
      <c r="S222" s="156"/>
      <c r="T222" s="156">
        <f>J222*1</f>
        <v>500</v>
      </c>
      <c r="U222" s="156">
        <f>J222*0.5</f>
        <v>250</v>
      </c>
      <c r="V222" s="156">
        <f>R222+S222+T222+U222</f>
        <v>875</v>
      </c>
    </row>
    <row r="223" spans="1:22" s="127" customFormat="1" ht="15.6" hidden="1" x14ac:dyDescent="0.3">
      <c r="A223" s="140" t="s">
        <v>509</v>
      </c>
      <c r="B223" s="140">
        <v>1114</v>
      </c>
      <c r="C223" s="139">
        <v>45678</v>
      </c>
      <c r="D223" s="140">
        <f>WEEKNUM(C223)</f>
        <v>4</v>
      </c>
      <c r="E223" s="140" t="s">
        <v>68</v>
      </c>
      <c r="F223" s="140" t="s">
        <v>355</v>
      </c>
      <c r="G223" s="142" t="s">
        <v>301</v>
      </c>
      <c r="H223" s="140" t="s">
        <v>74</v>
      </c>
      <c r="I223" s="140" t="s">
        <v>26</v>
      </c>
      <c r="J223" s="154">
        <v>5</v>
      </c>
      <c r="K223" s="156">
        <v>36.75</v>
      </c>
      <c r="L223" s="156">
        <f>K223*J223</f>
        <v>183.75</v>
      </c>
      <c r="M223" s="143">
        <v>0</v>
      </c>
      <c r="N223" s="139">
        <v>45711</v>
      </c>
      <c r="O223" s="157">
        <f>WEEKNUM(N223)</f>
        <v>9</v>
      </c>
      <c r="P223" s="140"/>
      <c r="Q223" s="140" t="s">
        <v>29</v>
      </c>
      <c r="R223" s="156">
        <f>J223*0.25</f>
        <v>1.25</v>
      </c>
      <c r="S223" s="156">
        <f>R223*1.5</f>
        <v>1.875</v>
      </c>
      <c r="T223" s="156">
        <f>J223*1.5</f>
        <v>7.5</v>
      </c>
      <c r="U223" s="156">
        <f>J223*0.5</f>
        <v>2.5</v>
      </c>
      <c r="V223" s="156">
        <f>R223+S223+T223+U223</f>
        <v>13.125</v>
      </c>
    </row>
    <row r="224" spans="1:22" s="127" customFormat="1" ht="15.6" hidden="1" x14ac:dyDescent="0.3">
      <c r="A224" s="140" t="s">
        <v>509</v>
      </c>
      <c r="B224" s="140">
        <v>1114</v>
      </c>
      <c r="C224" s="139">
        <v>45678</v>
      </c>
      <c r="D224" s="140">
        <f>WEEKNUM(C224)</f>
        <v>4</v>
      </c>
      <c r="E224" s="140" t="s">
        <v>68</v>
      </c>
      <c r="F224" s="140" t="s">
        <v>355</v>
      </c>
      <c r="G224" s="142" t="s">
        <v>301</v>
      </c>
      <c r="H224" s="140" t="s">
        <v>74</v>
      </c>
      <c r="I224" s="140" t="s">
        <v>26</v>
      </c>
      <c r="J224" s="154">
        <v>4</v>
      </c>
      <c r="K224" s="156">
        <v>36.75</v>
      </c>
      <c r="L224" s="156">
        <f>K224*J224</f>
        <v>147</v>
      </c>
      <c r="M224" s="143">
        <v>0</v>
      </c>
      <c r="N224" s="139">
        <v>45711</v>
      </c>
      <c r="O224" s="157">
        <f>WEEKNUM(N224)</f>
        <v>9</v>
      </c>
      <c r="P224" s="140"/>
      <c r="Q224" s="140" t="s">
        <v>29</v>
      </c>
      <c r="R224" s="156">
        <f>J224*0.25</f>
        <v>1</v>
      </c>
      <c r="S224" s="156">
        <f>R224*1.5</f>
        <v>1.5</v>
      </c>
      <c r="T224" s="156">
        <f>J224*1.5</f>
        <v>6</v>
      </c>
      <c r="U224" s="156">
        <f>J224*0.5</f>
        <v>2</v>
      </c>
      <c r="V224" s="156">
        <f>R224+S224+T224+U224</f>
        <v>10.5</v>
      </c>
    </row>
    <row r="225" spans="1:23" s="127" customFormat="1" ht="15.6" hidden="1" x14ac:dyDescent="0.3">
      <c r="A225" s="140" t="s">
        <v>509</v>
      </c>
      <c r="B225" s="140">
        <v>1114</v>
      </c>
      <c r="C225" s="139">
        <v>45678</v>
      </c>
      <c r="D225" s="140">
        <f>WEEKNUM(C225)</f>
        <v>4</v>
      </c>
      <c r="E225" s="140" t="s">
        <v>68</v>
      </c>
      <c r="F225" s="140" t="s">
        <v>355</v>
      </c>
      <c r="G225" s="140" t="s">
        <v>356</v>
      </c>
      <c r="H225" s="140" t="s">
        <v>321</v>
      </c>
      <c r="I225" s="140" t="s">
        <v>26</v>
      </c>
      <c r="J225" s="154">
        <v>4</v>
      </c>
      <c r="K225" s="156">
        <v>85</v>
      </c>
      <c r="L225" s="156">
        <f>K225*J225</f>
        <v>340</v>
      </c>
      <c r="M225" s="143">
        <v>0</v>
      </c>
      <c r="N225" s="139">
        <v>45711</v>
      </c>
      <c r="O225" s="157">
        <f>WEEKNUM(N225)</f>
        <v>9</v>
      </c>
      <c r="P225" s="140"/>
      <c r="Q225" s="140" t="s">
        <v>29</v>
      </c>
      <c r="R225" s="156">
        <f>J225*0.25</f>
        <v>1</v>
      </c>
      <c r="S225" s="156">
        <f>PRODUCT(1.5,J225)</f>
        <v>6</v>
      </c>
      <c r="T225" s="156">
        <f>PRODUCT(1.5,J225)</f>
        <v>6</v>
      </c>
      <c r="U225" s="156">
        <f>J225*0.5</f>
        <v>2</v>
      </c>
      <c r="V225" s="156">
        <f>R225+S225+T225+U225</f>
        <v>15</v>
      </c>
    </row>
    <row r="226" spans="1:23" s="127" customFormat="1" ht="15.6" hidden="1" x14ac:dyDescent="0.3">
      <c r="A226" s="140" t="s">
        <v>509</v>
      </c>
      <c r="B226" s="140">
        <v>1114</v>
      </c>
      <c r="C226" s="139">
        <v>45678</v>
      </c>
      <c r="D226" s="140">
        <f>WEEKNUM(C226)</f>
        <v>4</v>
      </c>
      <c r="E226" s="140" t="s">
        <v>68</v>
      </c>
      <c r="F226" s="140" t="s">
        <v>355</v>
      </c>
      <c r="G226" s="142" t="s">
        <v>408</v>
      </c>
      <c r="H226" s="140" t="s">
        <v>80</v>
      </c>
      <c r="I226" s="140" t="s">
        <v>26</v>
      </c>
      <c r="J226" s="154">
        <v>2</v>
      </c>
      <c r="K226" s="156">
        <v>21</v>
      </c>
      <c r="L226" s="156">
        <f>K226*J226</f>
        <v>42</v>
      </c>
      <c r="M226" s="143">
        <v>0</v>
      </c>
      <c r="N226" s="139">
        <v>45711</v>
      </c>
      <c r="O226" s="157">
        <f>WEEKNUM(N226)</f>
        <v>9</v>
      </c>
      <c r="P226" s="140"/>
      <c r="Q226" s="140" t="s">
        <v>29</v>
      </c>
      <c r="R226" s="156">
        <f>J226*0.25</f>
        <v>0.5</v>
      </c>
      <c r="S226" s="156">
        <f>J226*1</f>
        <v>2</v>
      </c>
      <c r="T226" s="156">
        <f>J226*1.2</f>
        <v>2.4</v>
      </c>
      <c r="U226" s="156">
        <f>J226*0.5</f>
        <v>1</v>
      </c>
      <c r="V226" s="156">
        <f>R226+S226+T226+U226</f>
        <v>5.9</v>
      </c>
    </row>
    <row r="227" spans="1:23" s="127" customFormat="1" ht="15.6" hidden="1" x14ac:dyDescent="0.3">
      <c r="A227" s="140" t="s">
        <v>477</v>
      </c>
      <c r="B227" s="140">
        <v>686</v>
      </c>
      <c r="C227" s="139">
        <v>45679</v>
      </c>
      <c r="D227" s="140">
        <f>WEEKNUM(C227)</f>
        <v>4</v>
      </c>
      <c r="E227" s="140" t="s">
        <v>478</v>
      </c>
      <c r="F227" s="140" t="s">
        <v>594</v>
      </c>
      <c r="G227" s="142" t="s">
        <v>311</v>
      </c>
      <c r="H227" s="140" t="s">
        <v>51</v>
      </c>
      <c r="I227" s="140" t="s">
        <v>26</v>
      </c>
      <c r="J227" s="154">
        <v>100</v>
      </c>
      <c r="K227" s="156">
        <v>18.5</v>
      </c>
      <c r="L227" s="156">
        <f>J227*K227</f>
        <v>1850</v>
      </c>
      <c r="M227" s="143">
        <v>0</v>
      </c>
      <c r="N227" s="139">
        <v>45722</v>
      </c>
      <c r="O227" s="157">
        <f>WEEKNUM(N227)</f>
        <v>10</v>
      </c>
      <c r="P227" s="140"/>
      <c r="Q227" s="140" t="s">
        <v>29</v>
      </c>
      <c r="R227" s="156">
        <f>J227*0.25</f>
        <v>25</v>
      </c>
      <c r="S227" s="156">
        <f>J227*0.7</f>
        <v>70</v>
      </c>
      <c r="T227" s="156">
        <f>J227*1.84</f>
        <v>184</v>
      </c>
      <c r="U227" s="156">
        <f>J227*0.5</f>
        <v>50</v>
      </c>
      <c r="V227" s="156">
        <f>R227+S227+T227+U227</f>
        <v>329</v>
      </c>
    </row>
    <row r="228" spans="1:23" s="127" customFormat="1" ht="15.6" hidden="1" x14ac:dyDescent="0.3">
      <c r="A228" s="140" t="s">
        <v>477</v>
      </c>
      <c r="B228" s="140">
        <v>1113</v>
      </c>
      <c r="C228" s="139">
        <v>45679</v>
      </c>
      <c r="D228" s="140">
        <f>WEEKNUM(C228)</f>
        <v>4</v>
      </c>
      <c r="E228" s="140" t="s">
        <v>498</v>
      </c>
      <c r="F228" s="140" t="s">
        <v>446</v>
      </c>
      <c r="G228" s="140" t="s">
        <v>595</v>
      </c>
      <c r="H228" s="140" t="s">
        <v>51</v>
      </c>
      <c r="I228" s="140" t="s">
        <v>46</v>
      </c>
      <c r="J228" s="154">
        <v>2500</v>
      </c>
      <c r="K228" s="156">
        <v>23.5</v>
      </c>
      <c r="L228" s="156">
        <f>J228*K228</f>
        <v>58750</v>
      </c>
      <c r="M228" s="143">
        <v>0</v>
      </c>
      <c r="N228" s="139">
        <v>45733</v>
      </c>
      <c r="O228" s="157">
        <f>WEEKNUM(N228)</f>
        <v>12</v>
      </c>
      <c r="P228" s="140"/>
      <c r="Q228" s="140" t="s">
        <v>29</v>
      </c>
      <c r="R228" s="156">
        <f>J228*0.25</f>
        <v>625</v>
      </c>
      <c r="S228" s="156">
        <f>J228*1</f>
        <v>2500</v>
      </c>
      <c r="T228" s="156">
        <f>J228*1.65</f>
        <v>4125</v>
      </c>
      <c r="U228" s="156">
        <f>J228*0.5</f>
        <v>1250</v>
      </c>
      <c r="V228" s="156">
        <f>R228+S228+T228+U228</f>
        <v>8500</v>
      </c>
    </row>
    <row r="229" spans="1:23" s="127" customFormat="1" ht="15.6" hidden="1" x14ac:dyDescent="0.3">
      <c r="A229" s="140" t="s">
        <v>509</v>
      </c>
      <c r="B229" s="140">
        <v>1118</v>
      </c>
      <c r="C229" s="139">
        <v>45679</v>
      </c>
      <c r="D229" s="140">
        <f>WEEKNUM(C229)</f>
        <v>4</v>
      </c>
      <c r="E229" s="140" t="s">
        <v>478</v>
      </c>
      <c r="F229" s="140" t="s">
        <v>813</v>
      </c>
      <c r="G229" s="140" t="s">
        <v>814</v>
      </c>
      <c r="H229" s="140" t="s">
        <v>42</v>
      </c>
      <c r="I229" s="140" t="s">
        <v>61</v>
      </c>
      <c r="J229" s="154">
        <v>301</v>
      </c>
      <c r="K229" s="154"/>
      <c r="L229" s="154"/>
      <c r="M229" s="143">
        <v>0</v>
      </c>
      <c r="N229" s="139">
        <v>45707</v>
      </c>
      <c r="O229" s="157">
        <f>WEEKNUM(N229)</f>
        <v>8</v>
      </c>
      <c r="P229" s="140"/>
      <c r="Q229" s="140" t="s">
        <v>29</v>
      </c>
      <c r="R229" s="156">
        <f>J229*0.25</f>
        <v>75.25</v>
      </c>
      <c r="S229" s="156"/>
      <c r="T229" s="156"/>
      <c r="U229" s="156">
        <f>J229*0.5</f>
        <v>150.5</v>
      </c>
      <c r="V229" s="156">
        <f>R229+S229+T229+U229</f>
        <v>225.75</v>
      </c>
    </row>
    <row r="230" spans="1:23" s="127" customFormat="1" ht="15.6" hidden="1" x14ac:dyDescent="0.3">
      <c r="A230" s="140" t="s">
        <v>509</v>
      </c>
      <c r="B230" s="140">
        <v>671</v>
      </c>
      <c r="C230" s="139">
        <v>45680</v>
      </c>
      <c r="D230" s="140">
        <f>WEEKNUM(C230)</f>
        <v>4</v>
      </c>
      <c r="E230" s="140" t="s">
        <v>498</v>
      </c>
      <c r="F230" s="140" t="s">
        <v>563</v>
      </c>
      <c r="G230" s="142" t="s">
        <v>487</v>
      </c>
      <c r="H230" s="140" t="s">
        <v>51</v>
      </c>
      <c r="I230" s="140" t="s">
        <v>564</v>
      </c>
      <c r="J230" s="154">
        <v>250</v>
      </c>
      <c r="K230" s="156"/>
      <c r="L230" s="156">
        <f>J230*K230</f>
        <v>0</v>
      </c>
      <c r="M230" s="143">
        <v>0</v>
      </c>
      <c r="N230" s="139">
        <v>45708</v>
      </c>
      <c r="O230" s="157">
        <f>WEEKNUM(N230)</f>
        <v>8</v>
      </c>
      <c r="P230" s="140"/>
      <c r="Q230" s="140" t="s">
        <v>29</v>
      </c>
      <c r="R230" s="156">
        <f>J230*0.25</f>
        <v>62.5</v>
      </c>
      <c r="S230" s="156">
        <f>J230*1</f>
        <v>250</v>
      </c>
      <c r="T230" s="156">
        <f>J230*1.84</f>
        <v>460</v>
      </c>
      <c r="U230" s="156">
        <f>J230*0.5</f>
        <v>125</v>
      </c>
      <c r="V230" s="156">
        <f>R230+S230+T230+U230</f>
        <v>897.5</v>
      </c>
    </row>
    <row r="231" spans="1:23" s="127" customFormat="1" ht="15.6" hidden="1" x14ac:dyDescent="0.3">
      <c r="A231" s="140" t="s">
        <v>477</v>
      </c>
      <c r="B231" s="140">
        <v>673</v>
      </c>
      <c r="C231" s="139">
        <v>45680</v>
      </c>
      <c r="D231" s="140">
        <f>WEEKNUM(C231)</f>
        <v>4</v>
      </c>
      <c r="E231" s="140" t="s">
        <v>475</v>
      </c>
      <c r="F231" s="140" t="s">
        <v>761</v>
      </c>
      <c r="G231" s="140" t="s">
        <v>593</v>
      </c>
      <c r="H231" s="140" t="s">
        <v>51</v>
      </c>
      <c r="I231" s="140" t="s">
        <v>26</v>
      </c>
      <c r="J231" s="154">
        <v>300</v>
      </c>
      <c r="K231" s="156">
        <v>15</v>
      </c>
      <c r="L231" s="156">
        <f>J231*K231</f>
        <v>4500</v>
      </c>
      <c r="M231" s="143">
        <v>0</v>
      </c>
      <c r="N231" s="139">
        <v>45708</v>
      </c>
      <c r="O231" s="157">
        <f>WEEKNUM(N231)</f>
        <v>8</v>
      </c>
      <c r="P231" s="140"/>
      <c r="Q231" s="140" t="s">
        <v>29</v>
      </c>
      <c r="R231" s="156">
        <f>J231*0.25</f>
        <v>75</v>
      </c>
      <c r="S231" s="156">
        <f>J231*0.8</f>
        <v>240</v>
      </c>
      <c r="T231" s="156">
        <f>J231*2</f>
        <v>600</v>
      </c>
      <c r="U231" s="156">
        <f>J231*0.5</f>
        <v>150</v>
      </c>
      <c r="V231" s="156">
        <f>R231+S231+T231+U231</f>
        <v>1065</v>
      </c>
    </row>
    <row r="232" spans="1:23" s="127" customFormat="1" ht="15.6" hidden="1" x14ac:dyDescent="0.3">
      <c r="A232" s="140" t="s">
        <v>509</v>
      </c>
      <c r="B232" s="140">
        <v>1117</v>
      </c>
      <c r="C232" s="139">
        <v>45684</v>
      </c>
      <c r="D232" s="140">
        <f>WEEKNUM(C232)</f>
        <v>5</v>
      </c>
      <c r="E232" s="140" t="s">
        <v>68</v>
      </c>
      <c r="F232" s="195" t="s">
        <v>306</v>
      </c>
      <c r="G232" s="140" t="s">
        <v>503</v>
      </c>
      <c r="H232" s="140" t="s">
        <v>354</v>
      </c>
      <c r="I232" s="140" t="s">
        <v>46</v>
      </c>
      <c r="J232" s="154">
        <v>2</v>
      </c>
      <c r="K232" s="156">
        <v>36.75</v>
      </c>
      <c r="L232" s="156">
        <f>K232*J232</f>
        <v>73.5</v>
      </c>
      <c r="M232" s="143">
        <v>0</v>
      </c>
      <c r="N232" s="139">
        <v>45702</v>
      </c>
      <c r="O232" s="157">
        <f>WEEKNUM(N232)</f>
        <v>7</v>
      </c>
      <c r="P232" s="140"/>
      <c r="Q232" s="140" t="s">
        <v>29</v>
      </c>
      <c r="R232" s="156">
        <f>J232*0.25</f>
        <v>0.5</v>
      </c>
      <c r="S232" s="156">
        <f>R232*1.5</f>
        <v>0.75</v>
      </c>
      <c r="T232" s="156">
        <f>J232*1.5</f>
        <v>3</v>
      </c>
      <c r="U232" s="156">
        <f>J232*0.5</f>
        <v>1</v>
      </c>
      <c r="V232" s="156">
        <f>R232+S232+T232+U232</f>
        <v>5.25</v>
      </c>
    </row>
    <row r="233" spans="1:23" s="127" customFormat="1" ht="15.6" hidden="1" x14ac:dyDescent="0.3">
      <c r="A233" s="140" t="s">
        <v>509</v>
      </c>
      <c r="B233" s="140">
        <v>1117</v>
      </c>
      <c r="C233" s="139">
        <v>45685</v>
      </c>
      <c r="D233" s="140">
        <f>WEEKNUM(C233)</f>
        <v>5</v>
      </c>
      <c r="E233" s="140" t="s">
        <v>68</v>
      </c>
      <c r="F233" s="195" t="s">
        <v>306</v>
      </c>
      <c r="G233" s="140" t="s">
        <v>508</v>
      </c>
      <c r="H233" s="140" t="s">
        <v>78</v>
      </c>
      <c r="I233" s="140" t="s">
        <v>26</v>
      </c>
      <c r="J233" s="154">
        <v>8</v>
      </c>
      <c r="K233" s="156">
        <v>75</v>
      </c>
      <c r="L233" s="156">
        <f>K233*J233</f>
        <v>600</v>
      </c>
      <c r="M233" s="143">
        <v>0</v>
      </c>
      <c r="N233" s="139">
        <v>45702</v>
      </c>
      <c r="O233" s="157">
        <f>WEEKNUM(N233)</f>
        <v>7</v>
      </c>
      <c r="P233" s="140"/>
      <c r="Q233" s="140" t="s">
        <v>29</v>
      </c>
      <c r="R233" s="156">
        <f>J233*0.25</f>
        <v>2</v>
      </c>
      <c r="S233" s="156"/>
      <c r="T233" s="156">
        <f>J233*3</f>
        <v>24</v>
      </c>
      <c r="U233" s="156">
        <f>J233*0.5</f>
        <v>4</v>
      </c>
      <c r="V233" s="156">
        <f>R233+S233+T233+U233</f>
        <v>30</v>
      </c>
    </row>
    <row r="234" spans="1:23" s="128" customFormat="1" ht="15.6" hidden="1" x14ac:dyDescent="0.3">
      <c r="A234" s="140" t="s">
        <v>477</v>
      </c>
      <c r="B234" s="140">
        <v>1120</v>
      </c>
      <c r="C234" s="139">
        <v>45685</v>
      </c>
      <c r="D234" s="140">
        <f>WEEKNUM(C234)</f>
        <v>5</v>
      </c>
      <c r="E234" s="140" t="s">
        <v>478</v>
      </c>
      <c r="F234" s="140" t="s">
        <v>852</v>
      </c>
      <c r="G234" s="140" t="s">
        <v>853</v>
      </c>
      <c r="H234" s="140" t="s">
        <v>95</v>
      </c>
      <c r="I234" s="140" t="s">
        <v>46</v>
      </c>
      <c r="J234" s="154">
        <v>1000</v>
      </c>
      <c r="K234" s="156">
        <v>16.2</v>
      </c>
      <c r="L234" s="156">
        <f>J234*K234</f>
        <v>16200</v>
      </c>
      <c r="M234" s="143">
        <v>0</v>
      </c>
      <c r="N234" s="139">
        <v>45715</v>
      </c>
      <c r="O234" s="157">
        <f>WEEKNUM(N234)</f>
        <v>9</v>
      </c>
      <c r="P234" s="140"/>
      <c r="Q234" s="140" t="s">
        <v>29</v>
      </c>
      <c r="R234" s="156">
        <f>J234*0.25</f>
        <v>250</v>
      </c>
      <c r="S234" s="156">
        <f>J234*0.5</f>
        <v>500</v>
      </c>
      <c r="T234" s="156">
        <f>J234*0.8</f>
        <v>800</v>
      </c>
      <c r="U234" s="156">
        <f>J234*0.5</f>
        <v>500</v>
      </c>
      <c r="V234" s="156">
        <f>R234+S234+T234+U234</f>
        <v>2050</v>
      </c>
      <c r="W234" s="127"/>
    </row>
    <row r="235" spans="1:23" s="127" customFormat="1" ht="15.6" hidden="1" x14ac:dyDescent="0.3">
      <c r="A235" s="140" t="s">
        <v>509</v>
      </c>
      <c r="B235" s="140">
        <v>1117</v>
      </c>
      <c r="C235" s="139">
        <v>45686</v>
      </c>
      <c r="D235" s="140">
        <f>WEEKNUM(C235)</f>
        <v>5</v>
      </c>
      <c r="E235" s="140" t="s">
        <v>68</v>
      </c>
      <c r="F235" s="195" t="s">
        <v>306</v>
      </c>
      <c r="G235" s="140" t="s">
        <v>503</v>
      </c>
      <c r="H235" s="140" t="s">
        <v>354</v>
      </c>
      <c r="I235" s="140" t="s">
        <v>26</v>
      </c>
      <c r="J235" s="154">
        <v>2</v>
      </c>
      <c r="K235" s="156">
        <v>36.75</v>
      </c>
      <c r="L235" s="156">
        <f>K235*J235</f>
        <v>73.5</v>
      </c>
      <c r="M235" s="143">
        <v>0</v>
      </c>
      <c r="N235" s="139">
        <v>45702</v>
      </c>
      <c r="O235" s="157">
        <f>WEEKNUM(N235)</f>
        <v>7</v>
      </c>
      <c r="P235" s="140"/>
      <c r="Q235" s="140" t="s">
        <v>29</v>
      </c>
      <c r="R235" s="156">
        <f>J235*0.25</f>
        <v>0.5</v>
      </c>
      <c r="S235" s="156">
        <f>R235*1.5</f>
        <v>0.75</v>
      </c>
      <c r="T235" s="156">
        <f>J235*1.5</f>
        <v>3</v>
      </c>
      <c r="U235" s="156">
        <f>J235*0.5</f>
        <v>1</v>
      </c>
      <c r="V235" s="156">
        <f>R235+S235+T235+U235</f>
        <v>5.25</v>
      </c>
    </row>
    <row r="236" spans="1:23" s="127" customFormat="1" ht="15.6" hidden="1" x14ac:dyDescent="0.3">
      <c r="A236" s="140" t="s">
        <v>509</v>
      </c>
      <c r="B236" s="140">
        <v>674</v>
      </c>
      <c r="C236" s="139">
        <v>45686</v>
      </c>
      <c r="D236" s="140">
        <f>WEEKNUM(C236)</f>
        <v>5</v>
      </c>
      <c r="E236" s="140" t="s">
        <v>475</v>
      </c>
      <c r="F236" s="140" t="s">
        <v>617</v>
      </c>
      <c r="G236" s="142" t="s">
        <v>311</v>
      </c>
      <c r="H236" s="140" t="s">
        <v>51</v>
      </c>
      <c r="I236" s="140" t="s">
        <v>26</v>
      </c>
      <c r="J236" s="154">
        <v>100</v>
      </c>
      <c r="K236" s="154"/>
      <c r="L236" s="154"/>
      <c r="M236" s="143">
        <v>0</v>
      </c>
      <c r="N236" s="139">
        <v>45713</v>
      </c>
      <c r="O236" s="157">
        <f>WEEKNUM(N236)</f>
        <v>9</v>
      </c>
      <c r="P236" s="140"/>
      <c r="Q236" s="140" t="s">
        <v>29</v>
      </c>
      <c r="R236" s="156">
        <f>J236*0.25</f>
        <v>25</v>
      </c>
      <c r="S236" s="156">
        <f>J236*0.7</f>
        <v>70</v>
      </c>
      <c r="T236" s="156">
        <f>J236*1.5</f>
        <v>150</v>
      </c>
      <c r="U236" s="156">
        <f>J236*0.5</f>
        <v>50</v>
      </c>
      <c r="V236" s="156">
        <f>R236+S236+T236+U236</f>
        <v>295</v>
      </c>
      <c r="W236" s="128"/>
    </row>
    <row r="237" spans="1:23" s="127" customFormat="1" ht="15.6" hidden="1" x14ac:dyDescent="0.3">
      <c r="A237" s="140" t="s">
        <v>509</v>
      </c>
      <c r="B237" s="140">
        <v>674</v>
      </c>
      <c r="C237" s="139">
        <v>45686</v>
      </c>
      <c r="D237" s="140">
        <f>WEEKNUM(C237)</f>
        <v>5</v>
      </c>
      <c r="E237" s="140" t="s">
        <v>475</v>
      </c>
      <c r="F237" s="140" t="s">
        <v>617</v>
      </c>
      <c r="G237" s="140" t="s">
        <v>618</v>
      </c>
      <c r="H237" s="140" t="s">
        <v>555</v>
      </c>
      <c r="I237" s="140" t="s">
        <v>61</v>
      </c>
      <c r="J237" s="154">
        <v>10</v>
      </c>
      <c r="K237" s="154"/>
      <c r="L237" s="154"/>
      <c r="M237" s="143">
        <v>0</v>
      </c>
      <c r="N237" s="139">
        <v>45713</v>
      </c>
      <c r="O237" s="157">
        <f>WEEKNUM(N237)</f>
        <v>9</v>
      </c>
      <c r="P237" s="140"/>
      <c r="Q237" s="140" t="s">
        <v>29</v>
      </c>
      <c r="R237" s="156">
        <f>J237*0.25</f>
        <v>2.5</v>
      </c>
      <c r="S237" s="156">
        <f>J237*1.5</f>
        <v>15</v>
      </c>
      <c r="T237" s="156">
        <f>J237*5.27</f>
        <v>52.699999999999996</v>
      </c>
      <c r="U237" s="156">
        <f>J237*0.5</f>
        <v>5</v>
      </c>
      <c r="V237" s="156">
        <f>R237+S237+T237+U237</f>
        <v>75.199999999999989</v>
      </c>
    </row>
    <row r="238" spans="1:23" s="127" customFormat="1" ht="15.6" hidden="1" x14ac:dyDescent="0.3">
      <c r="A238" s="140" t="s">
        <v>477</v>
      </c>
      <c r="B238" s="140">
        <v>675</v>
      </c>
      <c r="C238" s="139">
        <v>45686</v>
      </c>
      <c r="D238" s="140">
        <f>WEEKNUM(C238)</f>
        <v>5</v>
      </c>
      <c r="E238" s="140" t="s">
        <v>475</v>
      </c>
      <c r="F238" s="140" t="s">
        <v>357</v>
      </c>
      <c r="G238" s="140" t="s">
        <v>503</v>
      </c>
      <c r="H238" s="140" t="s">
        <v>354</v>
      </c>
      <c r="I238" s="140" t="s">
        <v>46</v>
      </c>
      <c r="J238" s="154">
        <v>70</v>
      </c>
      <c r="K238" s="156">
        <v>28</v>
      </c>
      <c r="L238" s="156">
        <f>K238*J238</f>
        <v>1960</v>
      </c>
      <c r="M238" s="143">
        <v>0</v>
      </c>
      <c r="N238" s="139">
        <v>45714</v>
      </c>
      <c r="O238" s="157">
        <f>WEEKNUM(N238)</f>
        <v>9</v>
      </c>
      <c r="P238" s="140"/>
      <c r="Q238" s="140" t="s">
        <v>29</v>
      </c>
      <c r="R238" s="156">
        <f>J238*0.25</f>
        <v>17.5</v>
      </c>
      <c r="S238" s="156">
        <f>J238*1.5</f>
        <v>105</v>
      </c>
      <c r="T238" s="156">
        <f>J238*1.5</f>
        <v>105</v>
      </c>
      <c r="U238" s="156">
        <f>J238*0.5</f>
        <v>35</v>
      </c>
      <c r="V238" s="156">
        <f>R238+S238+T238+U238</f>
        <v>262.5</v>
      </c>
    </row>
    <row r="239" spans="1:23" s="127" customFormat="1" ht="15.6" hidden="1" x14ac:dyDescent="0.3">
      <c r="A239" s="140" t="s">
        <v>477</v>
      </c>
      <c r="B239" s="140">
        <v>675</v>
      </c>
      <c r="C239" s="139">
        <v>45686</v>
      </c>
      <c r="D239" s="140">
        <f>WEEKNUM(C239)</f>
        <v>5</v>
      </c>
      <c r="E239" s="140" t="s">
        <v>475</v>
      </c>
      <c r="F239" s="140" t="s">
        <v>357</v>
      </c>
      <c r="G239" s="142" t="s">
        <v>301</v>
      </c>
      <c r="H239" s="140" t="s">
        <v>74</v>
      </c>
      <c r="I239" s="140" t="s">
        <v>26</v>
      </c>
      <c r="J239" s="154">
        <v>30</v>
      </c>
      <c r="K239" s="156">
        <v>28</v>
      </c>
      <c r="L239" s="156">
        <f>K239*J239</f>
        <v>840</v>
      </c>
      <c r="M239" s="143">
        <v>0</v>
      </c>
      <c r="N239" s="139">
        <v>45714</v>
      </c>
      <c r="O239" s="157">
        <f>WEEKNUM(N239)</f>
        <v>9</v>
      </c>
      <c r="P239" s="140"/>
      <c r="Q239" s="140" t="s">
        <v>29</v>
      </c>
      <c r="R239" s="156">
        <f>J239*0.25</f>
        <v>7.5</v>
      </c>
      <c r="S239" s="156">
        <f>R239*1.5</f>
        <v>11.25</v>
      </c>
      <c r="T239" s="156">
        <f>J239*1.5</f>
        <v>45</v>
      </c>
      <c r="U239" s="156">
        <f>J239*0.5</f>
        <v>15</v>
      </c>
      <c r="V239" s="156">
        <f>R239+S239+T239+U239</f>
        <v>78.75</v>
      </c>
    </row>
    <row r="240" spans="1:23" s="127" customFormat="1" ht="15.6" hidden="1" x14ac:dyDescent="0.3">
      <c r="A240" s="140" t="s">
        <v>477</v>
      </c>
      <c r="B240" s="140">
        <v>678</v>
      </c>
      <c r="C240" s="139">
        <v>45686</v>
      </c>
      <c r="D240" s="140">
        <f>WEEKNUM(C240)</f>
        <v>5</v>
      </c>
      <c r="E240" s="140" t="s">
        <v>475</v>
      </c>
      <c r="F240" s="140" t="s">
        <v>815</v>
      </c>
      <c r="G240" s="140" t="s">
        <v>816</v>
      </c>
      <c r="H240" s="140" t="s">
        <v>304</v>
      </c>
      <c r="I240" s="140" t="s">
        <v>26</v>
      </c>
      <c r="J240" s="154">
        <v>200</v>
      </c>
      <c r="K240" s="156">
        <v>19.5</v>
      </c>
      <c r="L240" s="156">
        <f>J240*K240</f>
        <v>3900</v>
      </c>
      <c r="M240" s="143">
        <v>0</v>
      </c>
      <c r="N240" s="139">
        <v>45706</v>
      </c>
      <c r="O240" s="157">
        <f>WEEKNUM(N240)</f>
        <v>8</v>
      </c>
      <c r="P240" s="140"/>
      <c r="Q240" s="140" t="s">
        <v>29</v>
      </c>
      <c r="R240" s="156">
        <f>J240*0.25</f>
        <v>50</v>
      </c>
      <c r="S240" s="156">
        <f>J240*1</f>
        <v>200</v>
      </c>
      <c r="T240" s="156">
        <f>J240*1.3</f>
        <v>260</v>
      </c>
      <c r="U240" s="156">
        <f>J240*0.5</f>
        <v>100</v>
      </c>
      <c r="V240" s="156">
        <f>R240+S240+T240+U240</f>
        <v>610</v>
      </c>
    </row>
    <row r="241" spans="1:23" s="127" customFormat="1" ht="15.6" hidden="1" x14ac:dyDescent="0.3">
      <c r="A241" s="140" t="s">
        <v>509</v>
      </c>
      <c r="B241" s="140">
        <v>1117</v>
      </c>
      <c r="C241" s="139">
        <v>45687</v>
      </c>
      <c r="D241" s="140">
        <f>WEEKNUM(C241)</f>
        <v>5</v>
      </c>
      <c r="E241" s="140" t="s">
        <v>68</v>
      </c>
      <c r="F241" s="195" t="s">
        <v>306</v>
      </c>
      <c r="G241" s="140" t="s">
        <v>503</v>
      </c>
      <c r="H241" s="140" t="s">
        <v>354</v>
      </c>
      <c r="I241" s="140" t="s">
        <v>26</v>
      </c>
      <c r="J241" s="154">
        <v>2</v>
      </c>
      <c r="K241" s="156">
        <v>36.75</v>
      </c>
      <c r="L241" s="156">
        <f>K241*J241</f>
        <v>73.5</v>
      </c>
      <c r="M241" s="143">
        <v>0</v>
      </c>
      <c r="N241" s="139">
        <v>45702</v>
      </c>
      <c r="O241" s="157">
        <f>WEEKNUM(N241)</f>
        <v>7</v>
      </c>
      <c r="P241" s="140"/>
      <c r="Q241" s="140" t="s">
        <v>29</v>
      </c>
      <c r="R241" s="156">
        <f>J241*0.25</f>
        <v>0.5</v>
      </c>
      <c r="S241" s="156">
        <f>R241*1.5</f>
        <v>0.75</v>
      </c>
      <c r="T241" s="156">
        <f>J241*1.5</f>
        <v>3</v>
      </c>
      <c r="U241" s="156">
        <f>J241*0.5</f>
        <v>1</v>
      </c>
      <c r="V241" s="156">
        <f>R241+S241+T241+U241</f>
        <v>5.25</v>
      </c>
    </row>
    <row r="242" spans="1:23" s="127" customFormat="1" ht="15.6" hidden="1" x14ac:dyDescent="0.3">
      <c r="A242" s="142" t="s">
        <v>477</v>
      </c>
      <c r="B242" s="142">
        <v>679</v>
      </c>
      <c r="C242" s="141">
        <v>45687</v>
      </c>
      <c r="D242" s="140">
        <f>WEEKNUM(C242)</f>
        <v>5</v>
      </c>
      <c r="E242" s="142" t="s">
        <v>498</v>
      </c>
      <c r="F242" s="140" t="s">
        <v>883</v>
      </c>
      <c r="G242" s="142" t="s">
        <v>884</v>
      </c>
      <c r="H242" s="142" t="s">
        <v>38</v>
      </c>
      <c r="I242" s="142" t="s">
        <v>46</v>
      </c>
      <c r="J242" s="157">
        <v>200</v>
      </c>
      <c r="K242" s="143">
        <v>55</v>
      </c>
      <c r="L242" s="143">
        <f>J242*K242</f>
        <v>11000</v>
      </c>
      <c r="M242" s="143">
        <v>0</v>
      </c>
      <c r="N242" s="141">
        <v>45715</v>
      </c>
      <c r="O242" s="157">
        <f>WEEKNUM(N242)</f>
        <v>9</v>
      </c>
      <c r="P242" s="140"/>
      <c r="Q242" s="140" t="s">
        <v>29</v>
      </c>
      <c r="R242" s="143">
        <f>J242*0.25</f>
        <v>50</v>
      </c>
      <c r="S242" s="143">
        <v>0</v>
      </c>
      <c r="T242" s="143">
        <f>J242*10</f>
        <v>2000</v>
      </c>
      <c r="U242" s="143">
        <f>J242*0.5</f>
        <v>100</v>
      </c>
      <c r="V242" s="143">
        <f>R242+S242+T242+U242</f>
        <v>2150</v>
      </c>
    </row>
    <row r="243" spans="1:23" s="127" customFormat="1" ht="15.6" hidden="1" x14ac:dyDescent="0.3">
      <c r="A243" s="140" t="s">
        <v>509</v>
      </c>
      <c r="B243" s="140">
        <v>1117</v>
      </c>
      <c r="C243" s="139">
        <v>45688</v>
      </c>
      <c r="D243" s="140">
        <f>WEEKNUM(C243)</f>
        <v>5</v>
      </c>
      <c r="E243" s="140" t="s">
        <v>68</v>
      </c>
      <c r="F243" s="195" t="s">
        <v>306</v>
      </c>
      <c r="G243" s="140" t="s">
        <v>503</v>
      </c>
      <c r="H243" s="140" t="s">
        <v>354</v>
      </c>
      <c r="I243" s="140" t="s">
        <v>26</v>
      </c>
      <c r="J243" s="154">
        <v>2</v>
      </c>
      <c r="K243" s="156">
        <v>36.75</v>
      </c>
      <c r="L243" s="156">
        <f>K243*J243</f>
        <v>73.5</v>
      </c>
      <c r="M243" s="143">
        <v>0</v>
      </c>
      <c r="N243" s="139">
        <v>45702</v>
      </c>
      <c r="O243" s="157">
        <f>WEEKNUM(N243)</f>
        <v>7</v>
      </c>
      <c r="P243" s="140"/>
      <c r="Q243" s="140" t="s">
        <v>29</v>
      </c>
      <c r="R243" s="156">
        <f>J243*0.25</f>
        <v>0.5</v>
      </c>
      <c r="S243" s="156">
        <f>R243*1.5</f>
        <v>0.75</v>
      </c>
      <c r="T243" s="156">
        <f>J243*1.5</f>
        <v>3</v>
      </c>
      <c r="U243" s="156">
        <f>J243*0.5</f>
        <v>1</v>
      </c>
      <c r="V243" s="156">
        <f>R243+S243+T243+U243</f>
        <v>5.25</v>
      </c>
    </row>
    <row r="244" spans="1:23" s="127" customFormat="1" ht="15.6" hidden="1" x14ac:dyDescent="0.3">
      <c r="A244" s="140" t="s">
        <v>477</v>
      </c>
      <c r="B244" s="140">
        <v>1123</v>
      </c>
      <c r="C244" s="139">
        <v>45688</v>
      </c>
      <c r="D244" s="140">
        <f>WEEKNUM(C244)</f>
        <v>5</v>
      </c>
      <c r="E244" s="140" t="s">
        <v>478</v>
      </c>
      <c r="F244" s="140" t="s">
        <v>709</v>
      </c>
      <c r="G244" s="140" t="s">
        <v>710</v>
      </c>
      <c r="H244" s="140" t="s">
        <v>574</v>
      </c>
      <c r="I244" s="140" t="s">
        <v>46</v>
      </c>
      <c r="J244" s="154">
        <v>150</v>
      </c>
      <c r="K244" s="156">
        <v>15</v>
      </c>
      <c r="L244" s="156">
        <f>J244*K244</f>
        <v>2250</v>
      </c>
      <c r="M244" s="143">
        <v>0</v>
      </c>
      <c r="N244" s="139">
        <v>45718</v>
      </c>
      <c r="O244" s="157">
        <f>WEEKNUM(N244)</f>
        <v>10</v>
      </c>
      <c r="P244" s="140"/>
      <c r="Q244" s="140" t="s">
        <v>29</v>
      </c>
      <c r="R244" s="156">
        <f>J244*0.25</f>
        <v>37.5</v>
      </c>
      <c r="S244" s="156">
        <f>J244*0.6</f>
        <v>90</v>
      </c>
      <c r="T244" s="156">
        <f>J244*0.8</f>
        <v>120</v>
      </c>
      <c r="U244" s="156">
        <f>J244*0.5</f>
        <v>75</v>
      </c>
      <c r="V244" s="156">
        <f>R244+S244+T244+U244</f>
        <v>322.5</v>
      </c>
    </row>
    <row r="245" spans="1:23" s="127" customFormat="1" ht="15.6" hidden="1" x14ac:dyDescent="0.3">
      <c r="A245" s="140" t="s">
        <v>509</v>
      </c>
      <c r="B245" s="140">
        <v>681</v>
      </c>
      <c r="C245" s="139">
        <v>45688</v>
      </c>
      <c r="D245" s="140">
        <f>WEEKNUM(C245)</f>
        <v>5</v>
      </c>
      <c r="E245" s="140" t="s">
        <v>478</v>
      </c>
      <c r="F245" s="140" t="s">
        <v>146</v>
      </c>
      <c r="G245" s="140" t="s">
        <v>853</v>
      </c>
      <c r="H245" s="140" t="s">
        <v>95</v>
      </c>
      <c r="I245" s="140" t="s">
        <v>46</v>
      </c>
      <c r="J245" s="154">
        <v>200</v>
      </c>
      <c r="K245" s="156">
        <v>16.5</v>
      </c>
      <c r="L245" s="156">
        <f>J245*K245</f>
        <v>3300</v>
      </c>
      <c r="M245" s="143">
        <v>0</v>
      </c>
      <c r="N245" s="139">
        <v>45716</v>
      </c>
      <c r="O245" s="157">
        <f>WEEKNUM(N245)</f>
        <v>9</v>
      </c>
      <c r="P245" s="140"/>
      <c r="Q245" s="140" t="s">
        <v>29</v>
      </c>
      <c r="R245" s="156">
        <f>J245*0.25</f>
        <v>50</v>
      </c>
      <c r="S245" s="156">
        <f>J245*0.5</f>
        <v>100</v>
      </c>
      <c r="T245" s="156">
        <f>J245*0.8</f>
        <v>160</v>
      </c>
      <c r="U245" s="156">
        <f>J245*0.5</f>
        <v>100</v>
      </c>
      <c r="V245" s="156">
        <f>R245+S245+T245+U245</f>
        <v>410</v>
      </c>
    </row>
    <row r="246" spans="1:23" s="127" customFormat="1" ht="15.6" hidden="1" x14ac:dyDescent="0.3">
      <c r="A246" s="140" t="s">
        <v>509</v>
      </c>
      <c r="B246" s="238">
        <v>682</v>
      </c>
      <c r="C246" s="239">
        <v>45688</v>
      </c>
      <c r="D246" s="140">
        <f>WEEKNUM(C246)</f>
        <v>5</v>
      </c>
      <c r="E246" s="140" t="s">
        <v>478</v>
      </c>
      <c r="F246" s="140" t="s">
        <v>444</v>
      </c>
      <c r="G246" s="130" t="s">
        <v>638</v>
      </c>
      <c r="H246" s="140" t="s">
        <v>60</v>
      </c>
      <c r="I246" s="140" t="s">
        <v>61</v>
      </c>
      <c r="J246" s="154">
        <v>300</v>
      </c>
      <c r="K246" s="156">
        <v>23</v>
      </c>
      <c r="L246" s="156">
        <f>J246*K246</f>
        <v>6900</v>
      </c>
      <c r="M246" s="143">
        <v>0</v>
      </c>
      <c r="N246" s="139">
        <v>45716</v>
      </c>
      <c r="O246" s="157">
        <f>WEEKNUM(N246)</f>
        <v>9</v>
      </c>
      <c r="P246" s="140"/>
      <c r="Q246" s="140" t="s">
        <v>29</v>
      </c>
      <c r="R246" s="156">
        <f>J246*0.25</f>
        <v>75</v>
      </c>
      <c r="S246" s="156">
        <f>J246*0.6</f>
        <v>180</v>
      </c>
      <c r="T246" s="156">
        <f>J246*5</f>
        <v>1500</v>
      </c>
      <c r="U246" s="156">
        <f>J246*0.5</f>
        <v>150</v>
      </c>
      <c r="V246" s="156">
        <f>R246+S246+T246+U246</f>
        <v>1905</v>
      </c>
    </row>
    <row r="247" spans="1:23" s="127" customFormat="1" ht="15.6" hidden="1" x14ac:dyDescent="0.3">
      <c r="A247" s="140" t="s">
        <v>509</v>
      </c>
      <c r="B247" s="140">
        <v>1117</v>
      </c>
      <c r="C247" s="139">
        <v>45689</v>
      </c>
      <c r="D247" s="140">
        <f>WEEKNUM(C247)</f>
        <v>5</v>
      </c>
      <c r="E247" s="140" t="s">
        <v>68</v>
      </c>
      <c r="F247" s="195" t="s">
        <v>306</v>
      </c>
      <c r="G247" s="142" t="s">
        <v>301</v>
      </c>
      <c r="H247" s="140" t="s">
        <v>74</v>
      </c>
      <c r="I247" s="140" t="s">
        <v>26</v>
      </c>
      <c r="J247" s="154">
        <v>2</v>
      </c>
      <c r="K247" s="156">
        <v>36.75</v>
      </c>
      <c r="L247" s="156">
        <f>K247*J247</f>
        <v>73.5</v>
      </c>
      <c r="M247" s="143">
        <v>0</v>
      </c>
      <c r="N247" s="139">
        <v>45702</v>
      </c>
      <c r="O247" s="157">
        <f>WEEKNUM(N247)</f>
        <v>7</v>
      </c>
      <c r="P247" s="140"/>
      <c r="Q247" s="140" t="s">
        <v>29</v>
      </c>
      <c r="R247" s="156">
        <f>J247*0.25</f>
        <v>0.5</v>
      </c>
      <c r="S247" s="156">
        <f>R247*1.5</f>
        <v>0.75</v>
      </c>
      <c r="T247" s="156">
        <f>J247*1.5</f>
        <v>3</v>
      </c>
      <c r="U247" s="156">
        <f>J247*0.5</f>
        <v>1</v>
      </c>
      <c r="V247" s="156">
        <f>R247+S247+T247+U247</f>
        <v>5.25</v>
      </c>
    </row>
    <row r="248" spans="1:23" s="127" customFormat="1" ht="15.6" hidden="1" x14ac:dyDescent="0.3">
      <c r="A248" s="140" t="s">
        <v>509</v>
      </c>
      <c r="B248" s="140">
        <v>1117</v>
      </c>
      <c r="C248" s="139">
        <v>45690</v>
      </c>
      <c r="D248" s="140">
        <f>WEEKNUM(C248)</f>
        <v>6</v>
      </c>
      <c r="E248" s="140" t="s">
        <v>68</v>
      </c>
      <c r="F248" s="195" t="s">
        <v>306</v>
      </c>
      <c r="G248" s="142" t="s">
        <v>505</v>
      </c>
      <c r="H248" s="140" t="s">
        <v>78</v>
      </c>
      <c r="I248" s="142" t="s">
        <v>61</v>
      </c>
      <c r="J248" s="154">
        <v>2</v>
      </c>
      <c r="K248" s="156">
        <v>75</v>
      </c>
      <c r="L248" s="156">
        <f>K248*J248</f>
        <v>150</v>
      </c>
      <c r="M248" s="143">
        <v>0</v>
      </c>
      <c r="N248" s="139">
        <v>45702</v>
      </c>
      <c r="O248" s="157">
        <f>WEEKNUM(N248)</f>
        <v>7</v>
      </c>
      <c r="P248" s="140"/>
      <c r="Q248" s="140" t="s">
        <v>29</v>
      </c>
      <c r="R248" s="156">
        <f>J248*50</f>
        <v>100</v>
      </c>
      <c r="S248" s="156"/>
      <c r="T248" s="156">
        <f>J248*3</f>
        <v>6</v>
      </c>
      <c r="U248" s="156">
        <f>J248*0.5</f>
        <v>1</v>
      </c>
      <c r="V248" s="156">
        <f>R248+S248+T248+U248</f>
        <v>107</v>
      </c>
    </row>
    <row r="249" spans="1:23" s="127" customFormat="1" ht="15.6" hidden="1" x14ac:dyDescent="0.3">
      <c r="A249" s="140" t="s">
        <v>477</v>
      </c>
      <c r="B249" s="140">
        <v>1125</v>
      </c>
      <c r="C249" s="139">
        <v>45691</v>
      </c>
      <c r="D249" s="140">
        <f>WEEKNUM(C249)</f>
        <v>6</v>
      </c>
      <c r="E249" s="140" t="s">
        <v>475</v>
      </c>
      <c r="F249" s="140" t="s">
        <v>568</v>
      </c>
      <c r="G249" s="140" t="s">
        <v>569</v>
      </c>
      <c r="H249" s="140" t="s">
        <v>494</v>
      </c>
      <c r="I249" s="140" t="s">
        <v>46</v>
      </c>
      <c r="J249" s="154">
        <v>290</v>
      </c>
      <c r="K249" s="156">
        <v>25.5</v>
      </c>
      <c r="L249" s="156">
        <f>J249*K249</f>
        <v>7395</v>
      </c>
      <c r="M249" s="143">
        <v>0</v>
      </c>
      <c r="N249" s="139">
        <v>45719</v>
      </c>
      <c r="O249" s="157">
        <f>WEEKNUM(N249)</f>
        <v>10</v>
      </c>
      <c r="P249" s="140"/>
      <c r="Q249" s="140" t="s">
        <v>29</v>
      </c>
      <c r="R249" s="156">
        <f>J249*0.25</f>
        <v>72.5</v>
      </c>
      <c r="S249" s="156">
        <f>J249*1</f>
        <v>290</v>
      </c>
      <c r="T249" s="156">
        <f>J249*0.7</f>
        <v>203</v>
      </c>
      <c r="U249" s="156">
        <f>J249*0.5</f>
        <v>145</v>
      </c>
      <c r="V249" s="156">
        <f>R249+S249+T249+U249</f>
        <v>710.5</v>
      </c>
    </row>
    <row r="250" spans="1:23" s="128" customFormat="1" ht="15.6" hidden="1" x14ac:dyDescent="0.3">
      <c r="A250" s="140" t="s">
        <v>477</v>
      </c>
      <c r="B250" s="140">
        <v>1125</v>
      </c>
      <c r="C250" s="139">
        <v>45691</v>
      </c>
      <c r="D250" s="140">
        <f>WEEKNUM(C250)</f>
        <v>6</v>
      </c>
      <c r="E250" s="140" t="s">
        <v>475</v>
      </c>
      <c r="F250" s="140" t="s">
        <v>568</v>
      </c>
      <c r="G250" s="140" t="s">
        <v>570</v>
      </c>
      <c r="H250" s="140" t="s">
        <v>51</v>
      </c>
      <c r="I250" s="140" t="s">
        <v>46</v>
      </c>
      <c r="J250" s="154">
        <v>1080</v>
      </c>
      <c r="K250" s="156">
        <v>19.5</v>
      </c>
      <c r="L250" s="156">
        <f>J250*K250</f>
        <v>21060</v>
      </c>
      <c r="M250" s="143">
        <v>0</v>
      </c>
      <c r="N250" s="139">
        <v>45719</v>
      </c>
      <c r="O250" s="157">
        <f>WEEKNUM(N250)</f>
        <v>10</v>
      </c>
      <c r="P250" s="140"/>
      <c r="Q250" s="140" t="s">
        <v>29</v>
      </c>
      <c r="R250" s="156">
        <f>J250*0.25</f>
        <v>270</v>
      </c>
      <c r="S250" s="156">
        <f>J250*1.3</f>
        <v>1404</v>
      </c>
      <c r="T250" s="156">
        <f>J250*0.5</f>
        <v>540</v>
      </c>
      <c r="U250" s="156">
        <f>J250*0.5</f>
        <v>540</v>
      </c>
      <c r="V250" s="156">
        <f>R250+S250+T250+U250</f>
        <v>2754</v>
      </c>
      <c r="W250" s="127"/>
    </row>
    <row r="251" spans="1:23" s="127" customFormat="1" ht="15.6" hidden="1" x14ac:dyDescent="0.3">
      <c r="A251" s="140" t="s">
        <v>477</v>
      </c>
      <c r="B251" s="140">
        <v>1126</v>
      </c>
      <c r="C251" s="139">
        <v>45691</v>
      </c>
      <c r="D251" s="140">
        <f>WEEKNUM(C251)</f>
        <v>6</v>
      </c>
      <c r="E251" s="140" t="s">
        <v>68</v>
      </c>
      <c r="F251" s="195" t="s">
        <v>324</v>
      </c>
      <c r="G251" s="142" t="s">
        <v>311</v>
      </c>
      <c r="H251" s="140" t="s">
        <v>51</v>
      </c>
      <c r="I251" s="140" t="s">
        <v>46</v>
      </c>
      <c r="J251" s="154">
        <v>4</v>
      </c>
      <c r="K251" s="156">
        <v>25</v>
      </c>
      <c r="L251" s="156">
        <f>J251*K251</f>
        <v>100</v>
      </c>
      <c r="M251" s="143">
        <v>0</v>
      </c>
      <c r="N251" s="139">
        <v>45721</v>
      </c>
      <c r="O251" s="157">
        <f>WEEKNUM(N251)</f>
        <v>10</v>
      </c>
      <c r="P251" s="140"/>
      <c r="Q251" s="140" t="s">
        <v>29</v>
      </c>
      <c r="R251" s="156">
        <f>J251*0.25</f>
        <v>1</v>
      </c>
      <c r="S251" s="156">
        <f>J251*0.7</f>
        <v>2.8</v>
      </c>
      <c r="T251" s="156">
        <f>J251*1.84</f>
        <v>7.36</v>
      </c>
      <c r="U251" s="156">
        <f>J251*0.5</f>
        <v>2</v>
      </c>
      <c r="V251" s="156">
        <f>R251+S251+T251+U251</f>
        <v>13.16</v>
      </c>
    </row>
    <row r="252" spans="1:23" s="127" customFormat="1" ht="15.6" hidden="1" x14ac:dyDescent="0.3">
      <c r="A252" s="140" t="s">
        <v>477</v>
      </c>
      <c r="B252" s="140">
        <v>1126</v>
      </c>
      <c r="C252" s="139">
        <v>45691</v>
      </c>
      <c r="D252" s="140">
        <f>WEEKNUM(C252)</f>
        <v>6</v>
      </c>
      <c r="E252" s="140" t="s">
        <v>68</v>
      </c>
      <c r="F252" s="195" t="s">
        <v>324</v>
      </c>
      <c r="G252" s="140" t="s">
        <v>507</v>
      </c>
      <c r="H252" s="140" t="s">
        <v>74</v>
      </c>
      <c r="I252" s="140" t="s">
        <v>26</v>
      </c>
      <c r="J252" s="154">
        <v>14</v>
      </c>
      <c r="K252" s="156">
        <v>36.75</v>
      </c>
      <c r="L252" s="156">
        <f>J252*K252</f>
        <v>514.5</v>
      </c>
      <c r="M252" s="143">
        <v>0</v>
      </c>
      <c r="N252" s="139">
        <v>45721</v>
      </c>
      <c r="O252" s="157">
        <f>WEEKNUM(N252)</f>
        <v>10</v>
      </c>
      <c r="P252" s="140"/>
      <c r="Q252" s="140" t="s">
        <v>29</v>
      </c>
      <c r="R252" s="156">
        <f>J252*0.25</f>
        <v>3.5</v>
      </c>
      <c r="S252" s="156">
        <f>J252*1.5</f>
        <v>21</v>
      </c>
      <c r="T252" s="156">
        <f>J247*1.5</f>
        <v>3</v>
      </c>
      <c r="U252" s="156">
        <f>J252*0.5</f>
        <v>7</v>
      </c>
      <c r="V252" s="156">
        <f>R252+S252+T252+U252</f>
        <v>34.5</v>
      </c>
      <c r="W252" s="128"/>
    </row>
    <row r="253" spans="1:23" s="127" customFormat="1" ht="15.6" hidden="1" x14ac:dyDescent="0.3">
      <c r="A253" s="142" t="s">
        <v>477</v>
      </c>
      <c r="B253" s="142">
        <v>706</v>
      </c>
      <c r="C253" s="141">
        <v>45691</v>
      </c>
      <c r="D253" s="140">
        <f>WEEKNUM(C253)</f>
        <v>6</v>
      </c>
      <c r="E253" s="140" t="s">
        <v>475</v>
      </c>
      <c r="F253" s="142" t="s">
        <v>678</v>
      </c>
      <c r="G253" s="142" t="s">
        <v>511</v>
      </c>
      <c r="H253" s="140" t="s">
        <v>494</v>
      </c>
      <c r="I253" s="142" t="s">
        <v>46</v>
      </c>
      <c r="J253" s="157">
        <v>100</v>
      </c>
      <c r="K253" s="143">
        <v>28</v>
      </c>
      <c r="L253" s="143">
        <f>J253*K253</f>
        <v>2800</v>
      </c>
      <c r="M253" s="143">
        <v>0</v>
      </c>
      <c r="N253" s="141">
        <v>45731</v>
      </c>
      <c r="O253" s="157">
        <f>WEEKNUM(N253)</f>
        <v>11</v>
      </c>
      <c r="P253" s="140"/>
      <c r="Q253" s="140" t="s">
        <v>29</v>
      </c>
      <c r="R253" s="143">
        <f>J253*0.25</f>
        <v>25</v>
      </c>
      <c r="S253" s="143">
        <f>J253*1</f>
        <v>100</v>
      </c>
      <c r="T253" s="143">
        <f>J253*1.5</f>
        <v>150</v>
      </c>
      <c r="U253" s="143">
        <f>J253*0.5</f>
        <v>50</v>
      </c>
      <c r="V253" s="143">
        <f>R253+S253+T253+U253</f>
        <v>325</v>
      </c>
    </row>
    <row r="254" spans="1:23" s="127" customFormat="1" ht="15.6" hidden="1" x14ac:dyDescent="0.3">
      <c r="A254" s="142" t="s">
        <v>477</v>
      </c>
      <c r="B254" s="142">
        <v>706</v>
      </c>
      <c r="C254" s="141">
        <v>45691</v>
      </c>
      <c r="D254" s="140">
        <f>WEEKNUM(C254)</f>
        <v>6</v>
      </c>
      <c r="E254" s="140" t="s">
        <v>475</v>
      </c>
      <c r="F254" s="142" t="s">
        <v>678</v>
      </c>
      <c r="G254" s="142" t="s">
        <v>511</v>
      </c>
      <c r="H254" s="140" t="s">
        <v>494</v>
      </c>
      <c r="I254" s="142" t="s">
        <v>46</v>
      </c>
      <c r="J254" s="157">
        <v>100</v>
      </c>
      <c r="K254" s="143">
        <v>28</v>
      </c>
      <c r="L254" s="143">
        <f>J254*K254</f>
        <v>2800</v>
      </c>
      <c r="M254" s="143">
        <v>0</v>
      </c>
      <c r="N254" s="141">
        <v>45731</v>
      </c>
      <c r="O254" s="157">
        <f>WEEKNUM(N254)</f>
        <v>11</v>
      </c>
      <c r="P254" s="140"/>
      <c r="Q254" s="140" t="s">
        <v>29</v>
      </c>
      <c r="R254" s="143">
        <f>J254*0.25</f>
        <v>25</v>
      </c>
      <c r="S254" s="143">
        <f>J254*1</f>
        <v>100</v>
      </c>
      <c r="T254" s="143">
        <f>J254*1.5</f>
        <v>150</v>
      </c>
      <c r="U254" s="143">
        <f>J254*0.5</f>
        <v>50</v>
      </c>
      <c r="V254" s="143">
        <f>R254+S254+T254+U254</f>
        <v>325</v>
      </c>
    </row>
    <row r="255" spans="1:23" s="127" customFormat="1" ht="15.6" hidden="1" x14ac:dyDescent="0.3">
      <c r="A255" s="142" t="s">
        <v>477</v>
      </c>
      <c r="B255" s="142">
        <v>706</v>
      </c>
      <c r="C255" s="141">
        <v>45691</v>
      </c>
      <c r="D255" s="140">
        <f>WEEKNUM(C255)</f>
        <v>6</v>
      </c>
      <c r="E255" s="140" t="s">
        <v>475</v>
      </c>
      <c r="F255" s="142" t="s">
        <v>678</v>
      </c>
      <c r="G255" s="142" t="s">
        <v>487</v>
      </c>
      <c r="H255" s="140" t="s">
        <v>51</v>
      </c>
      <c r="I255" s="142" t="s">
        <v>46</v>
      </c>
      <c r="J255" s="157">
        <v>100</v>
      </c>
      <c r="K255" s="143">
        <v>25</v>
      </c>
      <c r="L255" s="143">
        <f>J255*K255</f>
        <v>2500</v>
      </c>
      <c r="M255" s="143">
        <v>0</v>
      </c>
      <c r="N255" s="141">
        <v>45731</v>
      </c>
      <c r="O255" s="157">
        <f>WEEKNUM(N255)</f>
        <v>11</v>
      </c>
      <c r="P255" s="140"/>
      <c r="Q255" s="140" t="s">
        <v>29</v>
      </c>
      <c r="R255" s="143">
        <f>J255*0.25</f>
        <v>25</v>
      </c>
      <c r="S255" s="143">
        <f>J255*1</f>
        <v>100</v>
      </c>
      <c r="T255" s="143">
        <f>J255*1.6</f>
        <v>160</v>
      </c>
      <c r="U255" s="143">
        <f>J255*0.5</f>
        <v>50</v>
      </c>
      <c r="V255" s="143">
        <f>R255+S255+T255+U255</f>
        <v>335</v>
      </c>
    </row>
    <row r="256" spans="1:23" s="127" customFormat="1" ht="15.6" hidden="1" x14ac:dyDescent="0.3">
      <c r="A256" s="140" t="s">
        <v>491</v>
      </c>
      <c r="B256" s="140">
        <v>1133</v>
      </c>
      <c r="C256" s="139">
        <v>45692</v>
      </c>
      <c r="D256" s="140">
        <f>WEEKNUM(C256)</f>
        <v>6</v>
      </c>
      <c r="E256" s="140" t="s">
        <v>498</v>
      </c>
      <c r="F256" s="140" t="s">
        <v>806</v>
      </c>
      <c r="G256" s="142" t="s">
        <v>487</v>
      </c>
      <c r="H256" s="140" t="s">
        <v>51</v>
      </c>
      <c r="I256" s="140" t="s">
        <v>26</v>
      </c>
      <c r="J256" s="154">
        <v>100</v>
      </c>
      <c r="K256" s="156">
        <v>25</v>
      </c>
      <c r="L256" s="156">
        <f>J256*K256</f>
        <v>2500</v>
      </c>
      <c r="M256" s="143">
        <v>0</v>
      </c>
      <c r="N256" s="139">
        <v>45720</v>
      </c>
      <c r="O256" s="157">
        <f>WEEKNUM(N256)</f>
        <v>10</v>
      </c>
      <c r="P256" s="140"/>
      <c r="Q256" s="140" t="s">
        <v>29</v>
      </c>
      <c r="R256" s="156">
        <f>J256*0.25</f>
        <v>25</v>
      </c>
      <c r="S256" s="156">
        <f>J256*0.7</f>
        <v>70</v>
      </c>
      <c r="T256" s="156">
        <f>J256*1.84</f>
        <v>184</v>
      </c>
      <c r="U256" s="156">
        <f>J256*0.5</f>
        <v>50</v>
      </c>
      <c r="V256" s="156">
        <f>R256+S256+T256+U256</f>
        <v>329</v>
      </c>
    </row>
    <row r="257" spans="1:23" s="127" customFormat="1" ht="15.6" hidden="1" x14ac:dyDescent="0.3">
      <c r="A257" s="140" t="s">
        <v>477</v>
      </c>
      <c r="B257" s="140">
        <v>684</v>
      </c>
      <c r="C257" s="139">
        <v>45693</v>
      </c>
      <c r="D257" s="140">
        <f>WEEKNUM(C257)</f>
        <v>6</v>
      </c>
      <c r="E257" s="140" t="s">
        <v>478</v>
      </c>
      <c r="F257" s="140" t="s">
        <v>479</v>
      </c>
      <c r="G257" s="140" t="s">
        <v>480</v>
      </c>
      <c r="H257" s="140" t="s">
        <v>51</v>
      </c>
      <c r="I257" s="140" t="s">
        <v>26</v>
      </c>
      <c r="J257" s="154">
        <v>50</v>
      </c>
      <c r="K257" s="156">
        <v>25</v>
      </c>
      <c r="L257" s="156">
        <f>J257*K257</f>
        <v>1250</v>
      </c>
      <c r="M257" s="143">
        <v>0</v>
      </c>
      <c r="N257" s="139">
        <v>45721</v>
      </c>
      <c r="O257" s="157">
        <f>WEEKNUM(N257)</f>
        <v>10</v>
      </c>
      <c r="P257" s="140"/>
      <c r="Q257" s="140" t="s">
        <v>29</v>
      </c>
      <c r="R257" s="156">
        <f>J257*0.25</f>
        <v>12.5</v>
      </c>
      <c r="S257" s="156">
        <f>J257*0.7</f>
        <v>35</v>
      </c>
      <c r="T257" s="156">
        <f>J257*1.84</f>
        <v>92</v>
      </c>
      <c r="U257" s="156">
        <f>J257*0.5</f>
        <v>25</v>
      </c>
      <c r="V257" s="156">
        <f>R257+S257+T257+U257</f>
        <v>164.5</v>
      </c>
    </row>
    <row r="258" spans="1:23" s="127" customFormat="1" ht="15.6" hidden="1" x14ac:dyDescent="0.3">
      <c r="A258" s="140" t="s">
        <v>477</v>
      </c>
      <c r="B258" s="140">
        <v>1132</v>
      </c>
      <c r="C258" s="139">
        <v>45695</v>
      </c>
      <c r="D258" s="140">
        <f>WEEKNUM(C258)</f>
        <v>6</v>
      </c>
      <c r="E258" s="140" t="s">
        <v>68</v>
      </c>
      <c r="F258" s="140" t="s">
        <v>334</v>
      </c>
      <c r="G258" s="142" t="s">
        <v>339</v>
      </c>
      <c r="H258" s="140" t="s">
        <v>340</v>
      </c>
      <c r="I258" s="140" t="s">
        <v>46</v>
      </c>
      <c r="J258" s="154">
        <v>19</v>
      </c>
      <c r="K258" s="156">
        <v>65</v>
      </c>
      <c r="L258" s="156">
        <f>J258*K258</f>
        <v>1235</v>
      </c>
      <c r="M258" s="143">
        <v>0</v>
      </c>
      <c r="N258" s="139">
        <v>45725</v>
      </c>
      <c r="O258" s="157">
        <f>WEEKNUM(N258)</f>
        <v>11</v>
      </c>
      <c r="P258" s="140"/>
      <c r="Q258" s="140" t="s">
        <v>29</v>
      </c>
      <c r="R258" s="156">
        <f>J258*0.25</f>
        <v>4.75</v>
      </c>
      <c r="S258" s="156"/>
      <c r="T258" s="156">
        <f>J258*3</f>
        <v>57</v>
      </c>
      <c r="U258" s="156">
        <f>J258*0.5</f>
        <v>9.5</v>
      </c>
      <c r="V258" s="156">
        <f>R258+S258+T258+U258</f>
        <v>71.25</v>
      </c>
    </row>
    <row r="259" spans="1:23" s="127" customFormat="1" ht="15.6" hidden="1" x14ac:dyDescent="0.3">
      <c r="A259" s="140" t="s">
        <v>477</v>
      </c>
      <c r="B259" s="140">
        <v>687</v>
      </c>
      <c r="C259" s="139">
        <v>45695</v>
      </c>
      <c r="D259" s="140">
        <f>WEEKNUM(C259)</f>
        <v>6</v>
      </c>
      <c r="E259" s="140" t="s">
        <v>498</v>
      </c>
      <c r="F259" s="140" t="s">
        <v>805</v>
      </c>
      <c r="G259" s="142" t="s">
        <v>487</v>
      </c>
      <c r="H259" s="140" t="s">
        <v>51</v>
      </c>
      <c r="I259" s="140" t="s">
        <v>26</v>
      </c>
      <c r="J259" s="154">
        <v>100</v>
      </c>
      <c r="K259" s="156">
        <v>27.5</v>
      </c>
      <c r="L259" s="156">
        <f>J259*K259</f>
        <v>2750</v>
      </c>
      <c r="M259" s="143">
        <v>0</v>
      </c>
      <c r="N259" s="139">
        <v>45725</v>
      </c>
      <c r="O259" s="157">
        <f>WEEKNUM(N259)</f>
        <v>11</v>
      </c>
      <c r="P259" s="140"/>
      <c r="Q259" s="140" t="s">
        <v>29</v>
      </c>
      <c r="R259" s="156">
        <f>J259*0.25</f>
        <v>25</v>
      </c>
      <c r="S259" s="156">
        <f>J259*0.7</f>
        <v>70</v>
      </c>
      <c r="T259" s="156">
        <f>J259*1.84</f>
        <v>184</v>
      </c>
      <c r="U259" s="156">
        <f>J259*0.5</f>
        <v>50</v>
      </c>
      <c r="V259" s="156">
        <f>R259+S259+T259+U259</f>
        <v>329</v>
      </c>
    </row>
    <row r="260" spans="1:23" s="127" customFormat="1" ht="15.6" hidden="1" x14ac:dyDescent="0.3">
      <c r="A260" s="140" t="s">
        <v>477</v>
      </c>
      <c r="B260" s="140">
        <v>1135</v>
      </c>
      <c r="C260" s="139">
        <v>45698</v>
      </c>
      <c r="D260" s="140">
        <f>WEEKNUM(C260)</f>
        <v>7</v>
      </c>
      <c r="E260" s="140" t="s">
        <v>475</v>
      </c>
      <c r="F260" s="140" t="s">
        <v>724</v>
      </c>
      <c r="G260" s="142" t="s">
        <v>311</v>
      </c>
      <c r="H260" s="140" t="s">
        <v>51</v>
      </c>
      <c r="I260" s="140" t="s">
        <v>46</v>
      </c>
      <c r="J260" s="154">
        <v>80</v>
      </c>
      <c r="K260" s="156">
        <v>17</v>
      </c>
      <c r="L260" s="156">
        <f>J260*K260</f>
        <v>1360</v>
      </c>
      <c r="M260" s="143">
        <v>0</v>
      </c>
      <c r="N260" s="139">
        <v>45728</v>
      </c>
      <c r="O260" s="157">
        <f>WEEKNUM(N260)</f>
        <v>11</v>
      </c>
      <c r="P260" s="140"/>
      <c r="Q260" s="140" t="s">
        <v>29</v>
      </c>
      <c r="R260" s="156">
        <f>J260*0.25</f>
        <v>20</v>
      </c>
      <c r="S260" s="156">
        <f>J260*0.7</f>
        <v>56</v>
      </c>
      <c r="T260" s="156">
        <f>J260*1.84</f>
        <v>147.20000000000002</v>
      </c>
      <c r="U260" s="156">
        <f>J260*0.5</f>
        <v>40</v>
      </c>
      <c r="V260" s="156">
        <f>R260+S260+T260+U260</f>
        <v>263.20000000000005</v>
      </c>
    </row>
    <row r="261" spans="1:23" s="127" customFormat="1" ht="15.6" hidden="1" x14ac:dyDescent="0.3">
      <c r="A261" s="140" t="s">
        <v>477</v>
      </c>
      <c r="B261" s="140">
        <v>1135</v>
      </c>
      <c r="C261" s="139">
        <v>45698</v>
      </c>
      <c r="D261" s="140">
        <f>WEEKNUM(C261)</f>
        <v>7</v>
      </c>
      <c r="E261" s="140" t="s">
        <v>475</v>
      </c>
      <c r="F261" s="140" t="s">
        <v>724</v>
      </c>
      <c r="G261" s="140" t="s">
        <v>480</v>
      </c>
      <c r="H261" s="140" t="s">
        <v>51</v>
      </c>
      <c r="I261" s="140" t="s">
        <v>46</v>
      </c>
      <c r="J261" s="154">
        <v>20</v>
      </c>
      <c r="K261" s="156">
        <v>19.5</v>
      </c>
      <c r="L261" s="156">
        <f>J261*K261</f>
        <v>390</v>
      </c>
      <c r="M261" s="143">
        <v>0</v>
      </c>
      <c r="N261" s="139">
        <v>45728</v>
      </c>
      <c r="O261" s="157">
        <f>WEEKNUM(N261)</f>
        <v>11</v>
      </c>
      <c r="P261" s="140"/>
      <c r="Q261" s="140" t="s">
        <v>29</v>
      </c>
      <c r="R261" s="156">
        <f>J261*0.25</f>
        <v>5</v>
      </c>
      <c r="S261" s="156">
        <f>J261*0.7</f>
        <v>14</v>
      </c>
      <c r="T261" s="156">
        <f>J261*1.84</f>
        <v>36.800000000000004</v>
      </c>
      <c r="U261" s="156">
        <f>J261*0.5</f>
        <v>10</v>
      </c>
      <c r="V261" s="156">
        <f>R261+S261+T261+U261</f>
        <v>65.800000000000011</v>
      </c>
    </row>
    <row r="262" spans="1:23" s="127" customFormat="1" ht="15.6" hidden="1" x14ac:dyDescent="0.3">
      <c r="A262" s="132" t="s">
        <v>509</v>
      </c>
      <c r="B262" s="132">
        <v>32</v>
      </c>
      <c r="C262" s="131">
        <v>45698</v>
      </c>
      <c r="D262" s="140">
        <f>WEEKNUM(C262)</f>
        <v>7</v>
      </c>
      <c r="E262" s="132" t="s">
        <v>68</v>
      </c>
      <c r="F262" s="130" t="s">
        <v>300</v>
      </c>
      <c r="G262" s="142" t="s">
        <v>505</v>
      </c>
      <c r="H262" s="132" t="s">
        <v>190</v>
      </c>
      <c r="I262" s="142" t="s">
        <v>61</v>
      </c>
      <c r="J262" s="168">
        <v>1</v>
      </c>
      <c r="K262" s="133">
        <v>75</v>
      </c>
      <c r="L262" s="133">
        <f>K262*J262</f>
        <v>75</v>
      </c>
      <c r="M262" s="143">
        <v>0</v>
      </c>
      <c r="N262" s="131">
        <v>45728</v>
      </c>
      <c r="O262" s="157">
        <f>WEEKNUM(N262)</f>
        <v>11</v>
      </c>
      <c r="P262" s="130"/>
      <c r="Q262" s="140" t="s">
        <v>29</v>
      </c>
      <c r="R262" s="133">
        <f>PRODUCT(0.25*J262)</f>
        <v>0.25</v>
      </c>
      <c r="S262" s="133">
        <f>PRODUCT(0.25*J262)</f>
        <v>0.25</v>
      </c>
      <c r="T262" s="133">
        <f>J262*1.5</f>
        <v>1.5</v>
      </c>
      <c r="U262" s="133">
        <f>J262*1.5</f>
        <v>1.5</v>
      </c>
      <c r="V262" s="133">
        <f>J262*0.5</f>
        <v>0.5</v>
      </c>
    </row>
    <row r="263" spans="1:23" s="127" customFormat="1" ht="15.6" hidden="1" x14ac:dyDescent="0.3">
      <c r="A263" s="132" t="s">
        <v>509</v>
      </c>
      <c r="B263" s="132">
        <v>32</v>
      </c>
      <c r="C263" s="131">
        <v>45698</v>
      </c>
      <c r="D263" s="140">
        <f>WEEKNUM(C263)</f>
        <v>7</v>
      </c>
      <c r="E263" s="132" t="s">
        <v>68</v>
      </c>
      <c r="F263" s="130" t="s">
        <v>300</v>
      </c>
      <c r="G263" s="142" t="s">
        <v>311</v>
      </c>
      <c r="H263" s="132" t="s">
        <v>51</v>
      </c>
      <c r="I263" s="132" t="s">
        <v>46</v>
      </c>
      <c r="J263" s="168">
        <v>4</v>
      </c>
      <c r="K263" s="133">
        <v>25</v>
      </c>
      <c r="L263" s="133">
        <f>K263*J263</f>
        <v>100</v>
      </c>
      <c r="M263" s="143">
        <v>0</v>
      </c>
      <c r="N263" s="131">
        <v>45728</v>
      </c>
      <c r="O263" s="157">
        <f>WEEKNUM(N263)</f>
        <v>11</v>
      </c>
      <c r="P263" s="130"/>
      <c r="Q263" s="140" t="s">
        <v>29</v>
      </c>
      <c r="R263" s="133">
        <f>PRODUCT(0.25*J263)</f>
        <v>1</v>
      </c>
      <c r="S263" s="133">
        <f>PRODUCT(0.25*J263)</f>
        <v>1</v>
      </c>
      <c r="T263" s="133">
        <f>J263*1.5</f>
        <v>6</v>
      </c>
      <c r="U263" s="133">
        <f>J263*1.5</f>
        <v>6</v>
      </c>
      <c r="V263" s="133">
        <f>J263*0.5</f>
        <v>2</v>
      </c>
    </row>
    <row r="264" spans="1:23" s="127" customFormat="1" ht="15.6" hidden="1" x14ac:dyDescent="0.3">
      <c r="A264" s="132" t="s">
        <v>509</v>
      </c>
      <c r="B264" s="132">
        <v>32</v>
      </c>
      <c r="C264" s="131">
        <v>45698</v>
      </c>
      <c r="D264" s="140">
        <f>WEEKNUM(C264)</f>
        <v>7</v>
      </c>
      <c r="E264" s="132" t="s">
        <v>68</v>
      </c>
      <c r="F264" s="130" t="s">
        <v>300</v>
      </c>
      <c r="G264" s="132" t="s">
        <v>301</v>
      </c>
      <c r="H264" s="132" t="s">
        <v>74</v>
      </c>
      <c r="I264" s="132" t="s">
        <v>46</v>
      </c>
      <c r="J264" s="168">
        <v>3</v>
      </c>
      <c r="K264" s="133">
        <v>36.75</v>
      </c>
      <c r="L264" s="133">
        <f>K264*J264</f>
        <v>110.25</v>
      </c>
      <c r="M264" s="143">
        <v>0</v>
      </c>
      <c r="N264" s="131">
        <v>45728</v>
      </c>
      <c r="O264" s="157">
        <f>WEEKNUM(N264)</f>
        <v>11</v>
      </c>
      <c r="P264" s="130"/>
      <c r="Q264" s="140" t="s">
        <v>29</v>
      </c>
      <c r="R264" s="133">
        <f>PRODUCT(0.25*J264)</f>
        <v>0.75</v>
      </c>
      <c r="S264" s="133">
        <f>PRODUCT(0.25*J264)</f>
        <v>0.75</v>
      </c>
      <c r="T264" s="133">
        <f>J264*1.5</f>
        <v>4.5</v>
      </c>
      <c r="U264" s="133">
        <f>J264*1.5</f>
        <v>4.5</v>
      </c>
      <c r="V264" s="133">
        <f>J264*0.5</f>
        <v>1.5</v>
      </c>
    </row>
    <row r="265" spans="1:23" s="127" customFormat="1" ht="15.6" hidden="1" x14ac:dyDescent="0.3">
      <c r="A265" s="132" t="s">
        <v>509</v>
      </c>
      <c r="B265" s="132">
        <v>32</v>
      </c>
      <c r="C265" s="131">
        <v>45698</v>
      </c>
      <c r="D265" s="140">
        <f>WEEKNUM(C265)</f>
        <v>7</v>
      </c>
      <c r="E265" s="132" t="s">
        <v>68</v>
      </c>
      <c r="F265" s="130" t="s">
        <v>300</v>
      </c>
      <c r="G265" s="132" t="s">
        <v>301</v>
      </c>
      <c r="H265" s="132" t="s">
        <v>74</v>
      </c>
      <c r="I265" s="132" t="s">
        <v>46</v>
      </c>
      <c r="J265" s="168">
        <v>3</v>
      </c>
      <c r="K265" s="133">
        <v>28</v>
      </c>
      <c r="L265" s="133">
        <f>K265*J265</f>
        <v>84</v>
      </c>
      <c r="M265" s="143">
        <v>0</v>
      </c>
      <c r="N265" s="131">
        <v>45728</v>
      </c>
      <c r="O265" s="157">
        <f>WEEKNUM(N265)</f>
        <v>11</v>
      </c>
      <c r="P265" s="130"/>
      <c r="Q265" s="140" t="s">
        <v>29</v>
      </c>
      <c r="R265" s="133">
        <f>PRODUCT(0.25*J265)</f>
        <v>0.75</v>
      </c>
      <c r="S265" s="133">
        <f>PRODUCT(0.25*J265)</f>
        <v>0.75</v>
      </c>
      <c r="T265" s="133">
        <f>J265*1.5</f>
        <v>4.5</v>
      </c>
      <c r="U265" s="133">
        <f>J265*1.5</f>
        <v>4.5</v>
      </c>
      <c r="V265" s="133">
        <f>J265*0.5</f>
        <v>1.5</v>
      </c>
    </row>
    <row r="266" spans="1:23" s="128" customFormat="1" ht="15.6" hidden="1" x14ac:dyDescent="0.3">
      <c r="A266" s="132" t="s">
        <v>509</v>
      </c>
      <c r="B266" s="132">
        <v>32</v>
      </c>
      <c r="C266" s="131">
        <v>45698</v>
      </c>
      <c r="D266" s="140">
        <f>WEEKNUM(C266)</f>
        <v>7</v>
      </c>
      <c r="E266" s="132" t="s">
        <v>68</v>
      </c>
      <c r="F266" s="130" t="s">
        <v>300</v>
      </c>
      <c r="G266" s="142" t="s">
        <v>408</v>
      </c>
      <c r="H266" s="132" t="s">
        <v>80</v>
      </c>
      <c r="I266" s="132" t="s">
        <v>46</v>
      </c>
      <c r="J266" s="168">
        <v>1</v>
      </c>
      <c r="K266" s="133">
        <v>16</v>
      </c>
      <c r="L266" s="133">
        <f>K266*J266</f>
        <v>16</v>
      </c>
      <c r="M266" s="143">
        <v>0</v>
      </c>
      <c r="N266" s="131">
        <v>45728</v>
      </c>
      <c r="O266" s="157">
        <f>WEEKNUM(N266)</f>
        <v>11</v>
      </c>
      <c r="P266" s="130"/>
      <c r="Q266" s="140" t="s">
        <v>29</v>
      </c>
      <c r="R266" s="133">
        <f>PRODUCT(0.25*J266)</f>
        <v>0.25</v>
      </c>
      <c r="S266" s="133">
        <f>PRODUCT(0.25*J266)</f>
        <v>0.25</v>
      </c>
      <c r="T266" s="133">
        <f>J266*1.5</f>
        <v>1.5</v>
      </c>
      <c r="U266" s="133">
        <f>J266*1.5</f>
        <v>1.5</v>
      </c>
      <c r="V266" s="133">
        <f>J266*0.5</f>
        <v>0.5</v>
      </c>
      <c r="W266" s="127"/>
    </row>
    <row r="267" spans="1:23" s="127" customFormat="1" ht="15.6" hidden="1" x14ac:dyDescent="0.3">
      <c r="A267" s="132" t="s">
        <v>509</v>
      </c>
      <c r="B267" s="132">
        <v>32</v>
      </c>
      <c r="C267" s="131">
        <v>45698</v>
      </c>
      <c r="D267" s="140">
        <f>WEEKNUM(C267)</f>
        <v>7</v>
      </c>
      <c r="E267" s="132" t="s">
        <v>68</v>
      </c>
      <c r="F267" s="130" t="s">
        <v>300</v>
      </c>
      <c r="G267" s="142" t="s">
        <v>505</v>
      </c>
      <c r="H267" s="132" t="s">
        <v>190</v>
      </c>
      <c r="I267" s="142" t="s">
        <v>61</v>
      </c>
      <c r="J267" s="168">
        <v>1</v>
      </c>
      <c r="K267" s="133">
        <v>65</v>
      </c>
      <c r="L267" s="133">
        <f>K267*J267</f>
        <v>65</v>
      </c>
      <c r="M267" s="143">
        <v>0</v>
      </c>
      <c r="N267" s="131">
        <v>45728</v>
      </c>
      <c r="O267" s="157">
        <f>WEEKNUM(N267)</f>
        <v>11</v>
      </c>
      <c r="P267" s="130"/>
      <c r="Q267" s="140" t="s">
        <v>29</v>
      </c>
      <c r="R267" s="133">
        <f>PRODUCT(0.25*J267)</f>
        <v>0.25</v>
      </c>
      <c r="S267" s="133">
        <f>PRODUCT(0.25*J267)</f>
        <v>0.25</v>
      </c>
      <c r="T267" s="133">
        <f>J267*1.5</f>
        <v>1.5</v>
      </c>
      <c r="U267" s="133">
        <f>J267*1.5</f>
        <v>1.5</v>
      </c>
      <c r="V267" s="133">
        <f>J267*0.5</f>
        <v>0.5</v>
      </c>
    </row>
    <row r="268" spans="1:23" s="127" customFormat="1" ht="15.6" hidden="1" x14ac:dyDescent="0.3">
      <c r="A268" s="142" t="s">
        <v>477</v>
      </c>
      <c r="B268" s="142">
        <v>735</v>
      </c>
      <c r="C268" s="141">
        <v>45700</v>
      </c>
      <c r="D268" s="140">
        <f>WEEKNUM(C268)</f>
        <v>7</v>
      </c>
      <c r="E268" s="140" t="s">
        <v>475</v>
      </c>
      <c r="F268" s="142" t="s">
        <v>773</v>
      </c>
      <c r="G268" s="142" t="s">
        <v>598</v>
      </c>
      <c r="H268" s="140" t="s">
        <v>74</v>
      </c>
      <c r="I268" s="142" t="s">
        <v>26</v>
      </c>
      <c r="J268" s="157">
        <v>123</v>
      </c>
      <c r="K268" s="143">
        <v>22.5</v>
      </c>
      <c r="L268" s="143">
        <f>J268*K268</f>
        <v>2767.5</v>
      </c>
      <c r="M268" s="143">
        <v>0</v>
      </c>
      <c r="N268" s="141">
        <v>45736</v>
      </c>
      <c r="O268" s="157">
        <f>WEEKNUM(N268)</f>
        <v>12</v>
      </c>
      <c r="P268" s="140"/>
      <c r="Q268" s="140" t="s">
        <v>29</v>
      </c>
      <c r="R268" s="143">
        <f>J268*0.25</f>
        <v>30.75</v>
      </c>
      <c r="S268" s="143">
        <f>J268*1.5</f>
        <v>184.5</v>
      </c>
      <c r="T268" s="143">
        <f>J268*1.5</f>
        <v>184.5</v>
      </c>
      <c r="U268" s="143">
        <f>J268*0.5</f>
        <v>61.5</v>
      </c>
      <c r="V268" s="143">
        <f>R268+S268+T268+U268</f>
        <v>461.25</v>
      </c>
      <c r="W268" s="128"/>
    </row>
    <row r="269" spans="1:23" s="127" customFormat="1" ht="15.6" hidden="1" x14ac:dyDescent="0.3">
      <c r="A269" s="140" t="s">
        <v>509</v>
      </c>
      <c r="B269" s="140">
        <v>690</v>
      </c>
      <c r="C269" s="139">
        <v>45701</v>
      </c>
      <c r="D269" s="140">
        <f>WEEKNUM(C269)</f>
        <v>7</v>
      </c>
      <c r="E269" s="140" t="s">
        <v>478</v>
      </c>
      <c r="F269" s="140" t="s">
        <v>939</v>
      </c>
      <c r="G269" s="140" t="s">
        <v>631</v>
      </c>
      <c r="H269" s="140" t="s">
        <v>74</v>
      </c>
      <c r="I269" s="140" t="s">
        <v>26</v>
      </c>
      <c r="J269" s="154">
        <v>134</v>
      </c>
      <c r="K269" s="156">
        <v>27.5</v>
      </c>
      <c r="L269" s="156">
        <f>J269*K269</f>
        <v>3685</v>
      </c>
      <c r="M269" s="143">
        <v>0</v>
      </c>
      <c r="N269" s="139">
        <v>45712</v>
      </c>
      <c r="O269" s="157">
        <f>WEEKNUM(N269)</f>
        <v>9</v>
      </c>
      <c r="P269" s="140"/>
      <c r="Q269" s="140" t="s">
        <v>29</v>
      </c>
      <c r="R269" s="156">
        <f>J269*0.25</f>
        <v>33.5</v>
      </c>
      <c r="S269" s="156">
        <f>J269*1.5</f>
        <v>201</v>
      </c>
      <c r="T269" s="156">
        <f>J269*1.5</f>
        <v>201</v>
      </c>
      <c r="U269" s="156">
        <f>J269*0.5</f>
        <v>67</v>
      </c>
      <c r="V269" s="156">
        <f>R269+S269+T269+U269</f>
        <v>502.5</v>
      </c>
    </row>
    <row r="270" spans="1:23" s="127" customFormat="1" ht="15.6" hidden="1" x14ac:dyDescent="0.3">
      <c r="A270" s="140" t="s">
        <v>477</v>
      </c>
      <c r="B270" s="140">
        <v>695</v>
      </c>
      <c r="C270" s="141">
        <v>45702</v>
      </c>
      <c r="D270" s="140">
        <f>WEEKNUM(C270)</f>
        <v>7</v>
      </c>
      <c r="E270" s="140" t="s">
        <v>498</v>
      </c>
      <c r="F270" s="140" t="s">
        <v>563</v>
      </c>
      <c r="G270" s="142" t="s">
        <v>487</v>
      </c>
      <c r="H270" s="140" t="s">
        <v>51</v>
      </c>
      <c r="I270" s="140" t="s">
        <v>26</v>
      </c>
      <c r="J270" s="154">
        <v>250</v>
      </c>
      <c r="K270" s="156">
        <v>24.5</v>
      </c>
      <c r="L270" s="156">
        <f>J270*K270</f>
        <v>6125</v>
      </c>
      <c r="M270" s="143">
        <v>0</v>
      </c>
      <c r="N270" s="139">
        <v>45730</v>
      </c>
      <c r="O270" s="157">
        <f>WEEKNUM(N270)</f>
        <v>11</v>
      </c>
      <c r="P270" s="140"/>
      <c r="Q270" s="140" t="s">
        <v>29</v>
      </c>
      <c r="R270" s="156">
        <f>J270*0.25</f>
        <v>62.5</v>
      </c>
      <c r="S270" s="156">
        <f>J270*0.7</f>
        <v>175</v>
      </c>
      <c r="T270" s="156">
        <f>J270*1.84</f>
        <v>460</v>
      </c>
      <c r="U270" s="156">
        <f>J270*0.5</f>
        <v>125</v>
      </c>
      <c r="V270" s="156">
        <f>R270+S270+T270+U270</f>
        <v>822.5</v>
      </c>
    </row>
    <row r="271" spans="1:23" s="128" customFormat="1" ht="15.6" hidden="1" x14ac:dyDescent="0.3">
      <c r="A271" s="142" t="s">
        <v>477</v>
      </c>
      <c r="B271" s="142">
        <v>692</v>
      </c>
      <c r="C271" s="141">
        <v>45702</v>
      </c>
      <c r="D271" s="140">
        <f>WEEKNUM(C271)</f>
        <v>7</v>
      </c>
      <c r="E271" s="142" t="s">
        <v>498</v>
      </c>
      <c r="F271" s="140" t="s">
        <v>637</v>
      </c>
      <c r="G271" s="142" t="s">
        <v>487</v>
      </c>
      <c r="H271" s="140" t="s">
        <v>51</v>
      </c>
      <c r="I271" s="142" t="s">
        <v>26</v>
      </c>
      <c r="J271" s="157">
        <v>250</v>
      </c>
      <c r="K271" s="143">
        <v>23.5</v>
      </c>
      <c r="L271" s="143">
        <f>J271*K271</f>
        <v>5875</v>
      </c>
      <c r="M271" s="143">
        <v>0</v>
      </c>
      <c r="N271" s="141">
        <v>45723</v>
      </c>
      <c r="O271" s="157">
        <f>WEEKNUM(N271)</f>
        <v>10</v>
      </c>
      <c r="P271" s="140"/>
      <c r="Q271" s="140" t="s">
        <v>29</v>
      </c>
      <c r="R271" s="143">
        <f>J271*0.25</f>
        <v>62.5</v>
      </c>
      <c r="S271" s="143">
        <f>J271*1</f>
        <v>250</v>
      </c>
      <c r="T271" s="143">
        <f>J271*1.84</f>
        <v>460</v>
      </c>
      <c r="U271" s="143">
        <f>J271*0.5</f>
        <v>125</v>
      </c>
      <c r="V271" s="143">
        <f>R271+S271+T271+U271</f>
        <v>897.5</v>
      </c>
      <c r="W271" s="127"/>
    </row>
    <row r="272" spans="1:23" s="128" customFormat="1" ht="15.6" hidden="1" x14ac:dyDescent="0.3">
      <c r="A272" s="142" t="s">
        <v>477</v>
      </c>
      <c r="B272" s="142">
        <v>744</v>
      </c>
      <c r="C272" s="141">
        <v>45702</v>
      </c>
      <c r="D272" s="140">
        <f>WEEKNUM(C272)</f>
        <v>7</v>
      </c>
      <c r="E272" s="140" t="s">
        <v>475</v>
      </c>
      <c r="F272" s="142" t="s">
        <v>451</v>
      </c>
      <c r="G272" s="142" t="s">
        <v>513</v>
      </c>
      <c r="H272" s="140" t="s">
        <v>74</v>
      </c>
      <c r="I272" s="142" t="s">
        <v>46</v>
      </c>
      <c r="J272" s="157">
        <v>180</v>
      </c>
      <c r="K272" s="143">
        <v>24.5</v>
      </c>
      <c r="L272" s="143">
        <f>J272*K272</f>
        <v>4410</v>
      </c>
      <c r="M272" s="143">
        <v>0</v>
      </c>
      <c r="N272" s="141">
        <v>45729</v>
      </c>
      <c r="O272" s="157">
        <f>WEEKNUM(N272)</f>
        <v>11</v>
      </c>
      <c r="P272" s="140"/>
      <c r="Q272" s="140" t="s">
        <v>29</v>
      </c>
      <c r="R272" s="143">
        <f>J272*0.25</f>
        <v>45</v>
      </c>
      <c r="S272" s="143">
        <f>J272*1.5</f>
        <v>270</v>
      </c>
      <c r="T272" s="143">
        <f>J271*1.5</f>
        <v>375</v>
      </c>
      <c r="U272" s="143">
        <f>J272*0.5</f>
        <v>90</v>
      </c>
      <c r="V272" s="143">
        <f>R272+S272+T272+U272</f>
        <v>780</v>
      </c>
      <c r="W272" s="127"/>
    </row>
    <row r="273" spans="1:23" s="127" customFormat="1" ht="15.6" hidden="1" x14ac:dyDescent="0.3">
      <c r="A273" s="142" t="s">
        <v>477</v>
      </c>
      <c r="B273" s="142">
        <v>694</v>
      </c>
      <c r="C273" s="141">
        <v>45702</v>
      </c>
      <c r="D273" s="140">
        <f>WEEKNUM(C273)</f>
        <v>7</v>
      </c>
      <c r="E273" s="140" t="s">
        <v>475</v>
      </c>
      <c r="F273" s="140" t="s">
        <v>940</v>
      </c>
      <c r="G273" s="140" t="s">
        <v>480</v>
      </c>
      <c r="H273" s="140" t="s">
        <v>51</v>
      </c>
      <c r="I273" s="142" t="s">
        <v>26</v>
      </c>
      <c r="J273" s="157">
        <v>100</v>
      </c>
      <c r="K273" s="143">
        <v>17.600000000000001</v>
      </c>
      <c r="L273" s="143">
        <f>J273*K273</f>
        <v>1760.0000000000002</v>
      </c>
      <c r="M273" s="143">
        <v>0</v>
      </c>
      <c r="N273" s="141">
        <v>45730</v>
      </c>
      <c r="O273" s="157">
        <f>WEEKNUM(N273)</f>
        <v>11</v>
      </c>
      <c r="P273" s="140"/>
      <c r="Q273" s="140" t="s">
        <v>29</v>
      </c>
      <c r="R273" s="143">
        <f>J273*0.25</f>
        <v>25</v>
      </c>
      <c r="S273" s="143">
        <f>J273*0.7</f>
        <v>70</v>
      </c>
      <c r="T273" s="143">
        <f>J273*1.84</f>
        <v>184</v>
      </c>
      <c r="U273" s="143">
        <f>J273*0.5</f>
        <v>50</v>
      </c>
      <c r="V273" s="143">
        <f>R273+S273+T273+U273</f>
        <v>329</v>
      </c>
      <c r="W273" s="128"/>
    </row>
    <row r="274" spans="1:23" s="128" customFormat="1" ht="15.6" hidden="1" x14ac:dyDescent="0.3">
      <c r="A274" s="142" t="s">
        <v>477</v>
      </c>
      <c r="B274" s="142">
        <v>694</v>
      </c>
      <c r="C274" s="141">
        <v>45702</v>
      </c>
      <c r="D274" s="140">
        <f>WEEKNUM(C274)</f>
        <v>7</v>
      </c>
      <c r="E274" s="140" t="s">
        <v>475</v>
      </c>
      <c r="F274" s="140" t="s">
        <v>940</v>
      </c>
      <c r="G274" s="142" t="s">
        <v>941</v>
      </c>
      <c r="H274" s="140" t="s">
        <v>494</v>
      </c>
      <c r="I274" s="142" t="s">
        <v>26</v>
      </c>
      <c r="J274" s="157">
        <v>100</v>
      </c>
      <c r="K274" s="143">
        <v>17.600000000000001</v>
      </c>
      <c r="L274" s="143">
        <f>J274*K274</f>
        <v>1760.0000000000002</v>
      </c>
      <c r="M274" s="143">
        <v>0</v>
      </c>
      <c r="N274" s="141">
        <v>45730</v>
      </c>
      <c r="O274" s="157">
        <f>WEEKNUM(N274)</f>
        <v>11</v>
      </c>
      <c r="P274" s="140"/>
      <c r="Q274" s="140" t="s">
        <v>29</v>
      </c>
      <c r="R274" s="143">
        <f>J274*0.25</f>
        <v>25</v>
      </c>
      <c r="S274" s="143">
        <f>J274*1</f>
        <v>100</v>
      </c>
      <c r="T274" s="143">
        <f>J274*1</f>
        <v>100</v>
      </c>
      <c r="U274" s="143">
        <f>J274*0.5</f>
        <v>50</v>
      </c>
      <c r="V274" s="143">
        <f>R274+S274+T274+U274</f>
        <v>275</v>
      </c>
    </row>
    <row r="275" spans="1:23" s="128" customFormat="1" ht="15.6" hidden="1" x14ac:dyDescent="0.3">
      <c r="A275" s="142" t="s">
        <v>477</v>
      </c>
      <c r="B275" s="142">
        <v>694</v>
      </c>
      <c r="C275" s="141">
        <v>45702</v>
      </c>
      <c r="D275" s="140">
        <f>WEEKNUM(C275)</f>
        <v>7</v>
      </c>
      <c r="E275" s="140" t="s">
        <v>475</v>
      </c>
      <c r="F275" s="140" t="s">
        <v>940</v>
      </c>
      <c r="G275" s="142" t="s">
        <v>942</v>
      </c>
      <c r="H275" s="140" t="s">
        <v>494</v>
      </c>
      <c r="I275" s="142" t="s">
        <v>26</v>
      </c>
      <c r="J275" s="157">
        <v>200</v>
      </c>
      <c r="K275" s="143">
        <v>17.600000000000001</v>
      </c>
      <c r="L275" s="143">
        <f>J275*K275</f>
        <v>3520.0000000000005</v>
      </c>
      <c r="M275" s="143">
        <v>0</v>
      </c>
      <c r="N275" s="141">
        <v>45730</v>
      </c>
      <c r="O275" s="157">
        <f>WEEKNUM(N275)</f>
        <v>11</v>
      </c>
      <c r="P275" s="140"/>
      <c r="Q275" s="140" t="s">
        <v>29</v>
      </c>
      <c r="R275" s="143">
        <f>J275*0.25</f>
        <v>50</v>
      </c>
      <c r="S275" s="143">
        <f>J275*1</f>
        <v>200</v>
      </c>
      <c r="T275" s="143">
        <f>J275*1</f>
        <v>200</v>
      </c>
      <c r="U275" s="143">
        <f>J275*0.5</f>
        <v>100</v>
      </c>
      <c r="V275" s="143">
        <f>R275+S275+T275+U275</f>
        <v>550</v>
      </c>
      <c r="W275" s="127"/>
    </row>
    <row r="276" spans="1:23" s="128" customFormat="1" ht="15.6" hidden="1" x14ac:dyDescent="0.3">
      <c r="A276" s="142" t="s">
        <v>477</v>
      </c>
      <c r="B276" s="142">
        <v>694</v>
      </c>
      <c r="C276" s="141">
        <v>45702</v>
      </c>
      <c r="D276" s="140">
        <f>WEEKNUM(C276)</f>
        <v>7</v>
      </c>
      <c r="E276" s="140" t="s">
        <v>475</v>
      </c>
      <c r="F276" s="140" t="s">
        <v>940</v>
      </c>
      <c r="G276" s="142" t="s">
        <v>943</v>
      </c>
      <c r="H276" s="140" t="s">
        <v>494</v>
      </c>
      <c r="I276" s="142" t="s">
        <v>26</v>
      </c>
      <c r="J276" s="157">
        <v>100</v>
      </c>
      <c r="K276" s="143">
        <v>17.600000000000001</v>
      </c>
      <c r="L276" s="143">
        <f>J276*K276</f>
        <v>1760.0000000000002</v>
      </c>
      <c r="M276" s="143">
        <v>0</v>
      </c>
      <c r="N276" s="141">
        <v>45730</v>
      </c>
      <c r="O276" s="157">
        <f>WEEKNUM(N276)</f>
        <v>11</v>
      </c>
      <c r="P276" s="140"/>
      <c r="Q276" s="140" t="s">
        <v>29</v>
      </c>
      <c r="R276" s="143">
        <f>J276*0.25</f>
        <v>25</v>
      </c>
      <c r="S276" s="143">
        <f>J276*1</f>
        <v>100</v>
      </c>
      <c r="T276" s="143">
        <f>J276*1</f>
        <v>100</v>
      </c>
      <c r="U276" s="143">
        <f>J276*0.5</f>
        <v>50</v>
      </c>
      <c r="V276" s="143">
        <f>R276+S276+T276+U276</f>
        <v>275</v>
      </c>
    </row>
    <row r="277" spans="1:23" s="128" customFormat="1" ht="15.6" hidden="1" x14ac:dyDescent="0.3">
      <c r="A277" s="142" t="s">
        <v>477</v>
      </c>
      <c r="B277" s="142">
        <v>737</v>
      </c>
      <c r="C277" s="141">
        <v>45702</v>
      </c>
      <c r="D277" s="140">
        <f>WEEKNUM(C277)</f>
        <v>7</v>
      </c>
      <c r="E277" s="140" t="s">
        <v>475</v>
      </c>
      <c r="F277" s="140" t="s">
        <v>940</v>
      </c>
      <c r="G277" s="140" t="s">
        <v>480</v>
      </c>
      <c r="H277" s="140" t="s">
        <v>51</v>
      </c>
      <c r="I277" s="142" t="s">
        <v>26</v>
      </c>
      <c r="J277" s="157">
        <v>100</v>
      </c>
      <c r="K277" s="143">
        <v>17.600000000000001</v>
      </c>
      <c r="L277" s="143">
        <f>J277*K277</f>
        <v>1760.0000000000002</v>
      </c>
      <c r="M277" s="143">
        <v>0</v>
      </c>
      <c r="N277" s="141">
        <v>45730</v>
      </c>
      <c r="O277" s="157">
        <f>WEEKNUM(N277)</f>
        <v>11</v>
      </c>
      <c r="P277" s="140"/>
      <c r="Q277" s="140" t="s">
        <v>29</v>
      </c>
      <c r="R277" s="143">
        <f>J277*0.25</f>
        <v>25</v>
      </c>
      <c r="S277" s="143">
        <f>J277*0.7</f>
        <v>70</v>
      </c>
      <c r="T277" s="143">
        <f>J277*1.84</f>
        <v>184</v>
      </c>
      <c r="U277" s="143">
        <f>J277*0.5</f>
        <v>50</v>
      </c>
      <c r="V277" s="143">
        <f>R277+S277+T277+U277</f>
        <v>329</v>
      </c>
    </row>
    <row r="278" spans="1:23" s="128" customFormat="1" ht="15.6" hidden="1" x14ac:dyDescent="0.3">
      <c r="A278" s="142" t="s">
        <v>477</v>
      </c>
      <c r="B278" s="142">
        <v>759</v>
      </c>
      <c r="C278" s="141">
        <v>45705</v>
      </c>
      <c r="D278" s="140">
        <f>WEEKNUM(C278)</f>
        <v>8</v>
      </c>
      <c r="E278" s="140" t="s">
        <v>475</v>
      </c>
      <c r="F278" s="140" t="s">
        <v>568</v>
      </c>
      <c r="G278" s="142" t="s">
        <v>569</v>
      </c>
      <c r="H278" s="140" t="s">
        <v>494</v>
      </c>
      <c r="I278" s="142" t="s">
        <v>46</v>
      </c>
      <c r="J278" s="157">
        <v>1686</v>
      </c>
      <c r="K278" s="143">
        <v>25</v>
      </c>
      <c r="L278" s="143">
        <f>J278*K278</f>
        <v>42150</v>
      </c>
      <c r="M278" s="143">
        <v>0</v>
      </c>
      <c r="N278" s="141">
        <v>45707</v>
      </c>
      <c r="O278" s="157">
        <f>WEEKNUM(N278)</f>
        <v>8</v>
      </c>
      <c r="P278" s="140"/>
      <c r="Q278" s="140" t="s">
        <v>29</v>
      </c>
      <c r="R278" s="143">
        <f>J278*0.25</f>
        <v>421.5</v>
      </c>
      <c r="S278" s="143">
        <f>J278*1</f>
        <v>1686</v>
      </c>
      <c r="T278" s="143">
        <f>J278*1</f>
        <v>1686</v>
      </c>
      <c r="U278" s="143">
        <f>J278*0.5</f>
        <v>843</v>
      </c>
      <c r="V278" s="143">
        <f>R278+S278+T278+U278</f>
        <v>4636.5</v>
      </c>
    </row>
    <row r="279" spans="1:23" s="127" customFormat="1" ht="15.6" hidden="1" x14ac:dyDescent="0.3">
      <c r="A279" s="142" t="s">
        <v>477</v>
      </c>
      <c r="B279" s="142">
        <v>697</v>
      </c>
      <c r="C279" s="141">
        <v>45705</v>
      </c>
      <c r="D279" s="140">
        <f>WEEKNUM(C279)</f>
        <v>8</v>
      </c>
      <c r="E279" s="140" t="s">
        <v>475</v>
      </c>
      <c r="F279" s="142" t="s">
        <v>451</v>
      </c>
      <c r="G279" s="142" t="s">
        <v>618</v>
      </c>
      <c r="H279" s="142" t="s">
        <v>555</v>
      </c>
      <c r="I279" s="142" t="s">
        <v>61</v>
      </c>
      <c r="J279" s="157">
        <v>100</v>
      </c>
      <c r="K279" s="143">
        <v>26.5</v>
      </c>
      <c r="L279" s="143">
        <f>J279*K279</f>
        <v>2650</v>
      </c>
      <c r="M279" s="143">
        <v>0</v>
      </c>
      <c r="N279" s="141">
        <v>45729</v>
      </c>
      <c r="O279" s="157">
        <f>WEEKNUM(N279)</f>
        <v>11</v>
      </c>
      <c r="P279" s="140"/>
      <c r="Q279" s="140" t="s">
        <v>29</v>
      </c>
      <c r="R279" s="143">
        <f>J279*0.25</f>
        <v>25</v>
      </c>
      <c r="S279" s="143">
        <f>J279*1.5</f>
        <v>150</v>
      </c>
      <c r="T279" s="143">
        <f>J279*10</f>
        <v>1000</v>
      </c>
      <c r="U279" s="143">
        <f>J279*0.5</f>
        <v>50</v>
      </c>
      <c r="V279" s="143">
        <f>R279+S279+T279+U279</f>
        <v>1225</v>
      </c>
      <c r="W279" s="128"/>
    </row>
    <row r="280" spans="1:23" s="128" customFormat="1" ht="15.6" hidden="1" x14ac:dyDescent="0.3">
      <c r="A280" s="142" t="s">
        <v>477</v>
      </c>
      <c r="B280" s="142">
        <v>699</v>
      </c>
      <c r="C280" s="141">
        <v>45706</v>
      </c>
      <c r="D280" s="140">
        <f>WEEKNUM(C280)</f>
        <v>8</v>
      </c>
      <c r="E280" s="140" t="s">
        <v>475</v>
      </c>
      <c r="F280" s="142" t="s">
        <v>97</v>
      </c>
      <c r="G280" s="142" t="s">
        <v>506</v>
      </c>
      <c r="H280" s="140" t="s">
        <v>74</v>
      </c>
      <c r="I280" s="142" t="s">
        <v>46</v>
      </c>
      <c r="J280" s="157">
        <v>80</v>
      </c>
      <c r="K280" s="143">
        <v>26.5</v>
      </c>
      <c r="L280" s="143">
        <f>J280*K280</f>
        <v>2120</v>
      </c>
      <c r="M280" s="143">
        <v>0</v>
      </c>
      <c r="N280" s="141">
        <v>45733</v>
      </c>
      <c r="O280" s="157">
        <f>WEEKNUM(N280)</f>
        <v>12</v>
      </c>
      <c r="P280" s="140"/>
      <c r="Q280" s="140" t="s">
        <v>29</v>
      </c>
      <c r="R280" s="143">
        <f>J280*0.25</f>
        <v>20</v>
      </c>
      <c r="S280" s="143">
        <f>J280*1.5</f>
        <v>120</v>
      </c>
      <c r="T280" s="143">
        <f>J280*1.5</f>
        <v>120</v>
      </c>
      <c r="U280" s="143">
        <f>J280*0.5</f>
        <v>40</v>
      </c>
      <c r="V280" s="143">
        <f>R280+S280+T280+U280</f>
        <v>300</v>
      </c>
    </row>
    <row r="281" spans="1:23" s="128" customFormat="1" ht="15.6" hidden="1" x14ac:dyDescent="0.3">
      <c r="A281" s="142" t="s">
        <v>477</v>
      </c>
      <c r="B281" s="142">
        <v>699</v>
      </c>
      <c r="C281" s="141">
        <v>45706</v>
      </c>
      <c r="D281" s="140">
        <f>WEEKNUM(C281)</f>
        <v>8</v>
      </c>
      <c r="E281" s="140" t="s">
        <v>475</v>
      </c>
      <c r="F281" s="142" t="s">
        <v>97</v>
      </c>
      <c r="G281" s="142" t="s">
        <v>53</v>
      </c>
      <c r="H281" s="140" t="s">
        <v>74</v>
      </c>
      <c r="I281" s="142" t="s">
        <v>46</v>
      </c>
      <c r="J281" s="157">
        <v>30</v>
      </c>
      <c r="K281" s="143">
        <v>26.5</v>
      </c>
      <c r="L281" s="143">
        <f>J281*K281</f>
        <v>795</v>
      </c>
      <c r="M281" s="143">
        <v>0</v>
      </c>
      <c r="N281" s="141">
        <v>45733</v>
      </c>
      <c r="O281" s="157">
        <f>WEEKNUM(N281)</f>
        <v>12</v>
      </c>
      <c r="P281" s="140"/>
      <c r="Q281" s="140" t="s">
        <v>29</v>
      </c>
      <c r="R281" s="143">
        <f>J281*0.25</f>
        <v>7.5</v>
      </c>
      <c r="S281" s="143">
        <f>J281*1</f>
        <v>30</v>
      </c>
      <c r="T281" s="143">
        <f>J281*1.5</f>
        <v>45</v>
      </c>
      <c r="U281" s="143">
        <f>J281*0.5</f>
        <v>15</v>
      </c>
      <c r="V281" s="143">
        <f>R281+S281+T281+U281</f>
        <v>97.5</v>
      </c>
      <c r="W281" s="127"/>
    </row>
    <row r="282" spans="1:23" s="128" customFormat="1" ht="15.6" hidden="1" x14ac:dyDescent="0.3">
      <c r="A282" s="142" t="s">
        <v>477</v>
      </c>
      <c r="B282" s="142">
        <v>700</v>
      </c>
      <c r="C282" s="141">
        <v>45707</v>
      </c>
      <c r="D282" s="140">
        <f>WEEKNUM(C282)</f>
        <v>8</v>
      </c>
      <c r="E282" s="140" t="s">
        <v>478</v>
      </c>
      <c r="F282" s="142" t="s">
        <v>821</v>
      </c>
      <c r="G282" s="142" t="s">
        <v>822</v>
      </c>
      <c r="H282" s="142" t="s">
        <v>95</v>
      </c>
      <c r="I282" s="142" t="s">
        <v>46</v>
      </c>
      <c r="J282" s="157">
        <v>1000</v>
      </c>
      <c r="K282" s="143">
        <v>3.15</v>
      </c>
      <c r="L282" s="143">
        <f>J282*K282</f>
        <v>3150</v>
      </c>
      <c r="M282" s="143">
        <v>0</v>
      </c>
      <c r="N282" s="141">
        <v>45723</v>
      </c>
      <c r="O282" s="157">
        <f>WEEKNUM(N282)</f>
        <v>10</v>
      </c>
      <c r="P282" s="140"/>
      <c r="Q282" s="140" t="s">
        <v>29</v>
      </c>
      <c r="R282" s="143">
        <f>J282*0.25</f>
        <v>250</v>
      </c>
      <c r="S282" s="143">
        <f>J282*0.7</f>
        <v>700</v>
      </c>
      <c r="T282" s="143">
        <f>J282*0.5</f>
        <v>500</v>
      </c>
      <c r="U282" s="143">
        <f>J282*0.5</f>
        <v>500</v>
      </c>
      <c r="V282" s="143">
        <f>R282+S282+T282+U282</f>
        <v>1950</v>
      </c>
    </row>
    <row r="283" spans="1:23" s="128" customFormat="1" ht="15.6" hidden="1" x14ac:dyDescent="0.3">
      <c r="A283" s="142" t="s">
        <v>477</v>
      </c>
      <c r="B283" s="142">
        <v>1141</v>
      </c>
      <c r="C283" s="141">
        <v>45707</v>
      </c>
      <c r="D283" s="140">
        <f>WEEKNUM(C283)</f>
        <v>8</v>
      </c>
      <c r="E283" s="142" t="s">
        <v>498</v>
      </c>
      <c r="F283" s="142" t="s">
        <v>952</v>
      </c>
      <c r="G283" s="142" t="s">
        <v>487</v>
      </c>
      <c r="H283" s="140" t="s">
        <v>51</v>
      </c>
      <c r="I283" s="142" t="s">
        <v>46</v>
      </c>
      <c r="J283" s="157">
        <v>150</v>
      </c>
      <c r="K283" s="143">
        <v>22.5</v>
      </c>
      <c r="L283" s="143">
        <f>J283*K283</f>
        <v>3375</v>
      </c>
      <c r="M283" s="143">
        <v>0</v>
      </c>
      <c r="N283" s="141">
        <v>45736</v>
      </c>
      <c r="O283" s="157">
        <f>WEEKNUM(N283)</f>
        <v>12</v>
      </c>
      <c r="P283" s="140"/>
      <c r="Q283" s="140" t="s">
        <v>29</v>
      </c>
      <c r="R283" s="143">
        <f>J283*0.25</f>
        <v>37.5</v>
      </c>
      <c r="S283" s="143">
        <f>J283*1</f>
        <v>150</v>
      </c>
      <c r="T283" s="143">
        <f>J283*1.84</f>
        <v>276</v>
      </c>
      <c r="U283" s="143">
        <f>J283*0.5</f>
        <v>75</v>
      </c>
      <c r="V283" s="143">
        <f>R283+S283+T283+U283</f>
        <v>538.5</v>
      </c>
    </row>
    <row r="284" spans="1:23" s="128" customFormat="1" ht="15.6" hidden="1" x14ac:dyDescent="0.3">
      <c r="A284" s="142" t="s">
        <v>477</v>
      </c>
      <c r="B284" s="142">
        <v>712</v>
      </c>
      <c r="C284" s="141">
        <v>45708</v>
      </c>
      <c r="D284" s="140">
        <f>WEEKNUM(C284)</f>
        <v>8</v>
      </c>
      <c r="E284" s="140" t="s">
        <v>475</v>
      </c>
      <c r="F284" s="142" t="s">
        <v>551</v>
      </c>
      <c r="G284" s="142" t="s">
        <v>127</v>
      </c>
      <c r="H284" s="140" t="s">
        <v>494</v>
      </c>
      <c r="I284" s="142" t="s">
        <v>46</v>
      </c>
      <c r="J284" s="157">
        <v>97</v>
      </c>
      <c r="K284" s="143">
        <v>17.5</v>
      </c>
      <c r="L284" s="143">
        <f>J284*K284</f>
        <v>1697.5</v>
      </c>
      <c r="M284" s="143">
        <v>0</v>
      </c>
      <c r="N284" s="141">
        <v>45734</v>
      </c>
      <c r="O284" s="157">
        <f>WEEKNUM(N284)</f>
        <v>12</v>
      </c>
      <c r="P284" s="140"/>
      <c r="Q284" s="140" t="s">
        <v>29</v>
      </c>
      <c r="R284" s="143">
        <f>J284*0.25</f>
        <v>24.25</v>
      </c>
      <c r="S284" s="143">
        <f>J284*1</f>
        <v>97</v>
      </c>
      <c r="T284" s="143">
        <f>J284*1</f>
        <v>97</v>
      </c>
      <c r="U284" s="143">
        <f>J284*0.5</f>
        <v>48.5</v>
      </c>
      <c r="V284" s="143">
        <f>R284+S284+T284+U284</f>
        <v>266.75</v>
      </c>
    </row>
    <row r="285" spans="1:23" s="128" customFormat="1" ht="15.6" hidden="1" x14ac:dyDescent="0.3">
      <c r="A285" s="142" t="s">
        <v>477</v>
      </c>
      <c r="B285" s="142">
        <v>712</v>
      </c>
      <c r="C285" s="141">
        <v>45708</v>
      </c>
      <c r="D285" s="140">
        <f>WEEKNUM(C285)</f>
        <v>8</v>
      </c>
      <c r="E285" s="140" t="s">
        <v>475</v>
      </c>
      <c r="F285" s="142" t="s">
        <v>551</v>
      </c>
      <c r="G285" s="142" t="s">
        <v>311</v>
      </c>
      <c r="H285" s="140" t="s">
        <v>51</v>
      </c>
      <c r="I285" s="142" t="s">
        <v>46</v>
      </c>
      <c r="J285" s="157">
        <v>96</v>
      </c>
      <c r="K285" s="143">
        <v>18</v>
      </c>
      <c r="L285" s="143">
        <f>J285*K285</f>
        <v>1728</v>
      </c>
      <c r="M285" s="143">
        <v>0</v>
      </c>
      <c r="N285" s="141">
        <v>45734</v>
      </c>
      <c r="O285" s="157">
        <f>WEEKNUM(N285)</f>
        <v>12</v>
      </c>
      <c r="P285" s="140"/>
      <c r="Q285" s="140" t="s">
        <v>29</v>
      </c>
      <c r="R285" s="143">
        <f>J285*0.25</f>
        <v>24</v>
      </c>
      <c r="S285" s="143">
        <f>J285*1</f>
        <v>96</v>
      </c>
      <c r="T285" s="143">
        <f>J285*1.5</f>
        <v>144</v>
      </c>
      <c r="U285" s="143">
        <f>J285*0.5</f>
        <v>48</v>
      </c>
      <c r="V285" s="143">
        <f>R285+S285+T285+U285</f>
        <v>312</v>
      </c>
    </row>
    <row r="286" spans="1:23" s="128" customFormat="1" ht="15.6" hidden="1" x14ac:dyDescent="0.3">
      <c r="A286" s="140" t="s">
        <v>509</v>
      </c>
      <c r="B286" s="140">
        <v>702</v>
      </c>
      <c r="C286" s="139">
        <v>45709</v>
      </c>
      <c r="D286" s="140">
        <f>WEEKNUM(C286)</f>
        <v>8</v>
      </c>
      <c r="E286" s="140" t="s">
        <v>475</v>
      </c>
      <c r="F286" s="140" t="s">
        <v>761</v>
      </c>
      <c r="G286" s="140" t="s">
        <v>763</v>
      </c>
      <c r="H286" s="140" t="s">
        <v>60</v>
      </c>
      <c r="I286" s="140" t="s">
        <v>61</v>
      </c>
      <c r="J286" s="154">
        <v>20</v>
      </c>
      <c r="K286" s="154"/>
      <c r="L286" s="154"/>
      <c r="M286" s="143">
        <v>0</v>
      </c>
      <c r="N286" s="139">
        <v>45701</v>
      </c>
      <c r="O286" s="157">
        <f>WEEKNUM(N286)</f>
        <v>7</v>
      </c>
      <c r="P286" s="140"/>
      <c r="Q286" s="140" t="s">
        <v>29</v>
      </c>
      <c r="R286" s="156">
        <f>J286*0.25</f>
        <v>5</v>
      </c>
      <c r="S286" s="156"/>
      <c r="T286" s="156"/>
      <c r="U286" s="156">
        <f>J286*0.5</f>
        <v>10</v>
      </c>
      <c r="V286" s="156">
        <f>R286+S286+T286+U286</f>
        <v>15</v>
      </c>
    </row>
    <row r="287" spans="1:23" s="128" customFormat="1" ht="15.6" hidden="1" x14ac:dyDescent="0.3">
      <c r="A287" s="140" t="s">
        <v>509</v>
      </c>
      <c r="B287" s="140">
        <v>702</v>
      </c>
      <c r="C287" s="139">
        <v>45709</v>
      </c>
      <c r="D287" s="140">
        <f>WEEKNUM(C287)</f>
        <v>8</v>
      </c>
      <c r="E287" s="140" t="s">
        <v>475</v>
      </c>
      <c r="F287" s="140" t="s">
        <v>761</v>
      </c>
      <c r="G287" s="140" t="s">
        <v>763</v>
      </c>
      <c r="H287" s="140" t="s">
        <v>60</v>
      </c>
      <c r="I287" s="140" t="s">
        <v>61</v>
      </c>
      <c r="J287" s="154">
        <v>20</v>
      </c>
      <c r="K287" s="154"/>
      <c r="L287" s="154"/>
      <c r="M287" s="143">
        <v>0</v>
      </c>
      <c r="N287" s="139">
        <v>45701</v>
      </c>
      <c r="O287" s="157">
        <f>WEEKNUM(N287)</f>
        <v>7</v>
      </c>
      <c r="P287" s="140"/>
      <c r="Q287" s="140" t="s">
        <v>29</v>
      </c>
      <c r="R287" s="156">
        <f>J287*0.25</f>
        <v>5</v>
      </c>
      <c r="S287" s="156"/>
      <c r="T287" s="156"/>
      <c r="U287" s="156">
        <f>J287*0.5</f>
        <v>10</v>
      </c>
      <c r="V287" s="156">
        <f>R287+S287+T287+U287</f>
        <v>15</v>
      </c>
    </row>
    <row r="288" spans="1:23" s="128" customFormat="1" ht="15.6" hidden="1" x14ac:dyDescent="0.3">
      <c r="A288" s="140" t="s">
        <v>477</v>
      </c>
      <c r="B288" s="140">
        <v>707</v>
      </c>
      <c r="C288" s="139">
        <v>45712</v>
      </c>
      <c r="D288" s="140">
        <f>WEEKNUM(C288)</f>
        <v>9</v>
      </c>
      <c r="E288" s="140" t="s">
        <v>672</v>
      </c>
      <c r="F288" s="140" t="s">
        <v>813</v>
      </c>
      <c r="G288" s="140" t="s">
        <v>658</v>
      </c>
      <c r="H288" s="140" t="s">
        <v>42</v>
      </c>
      <c r="I288" s="140" t="s">
        <v>26</v>
      </c>
      <c r="J288" s="154">
        <v>350</v>
      </c>
      <c r="K288" s="156">
        <v>15.35</v>
      </c>
      <c r="L288" s="156">
        <f>J288*K288</f>
        <v>5372.5</v>
      </c>
      <c r="M288" s="143">
        <v>0</v>
      </c>
      <c r="N288" s="139">
        <v>45731</v>
      </c>
      <c r="O288" s="157">
        <f>WEEKNUM(N288)</f>
        <v>11</v>
      </c>
      <c r="P288" s="140"/>
      <c r="Q288" s="140" t="s">
        <v>29</v>
      </c>
      <c r="R288" s="156">
        <f>J288*0.25</f>
        <v>87.5</v>
      </c>
      <c r="S288" s="156">
        <f>J288*1</f>
        <v>350</v>
      </c>
      <c r="T288" s="156">
        <f>J288*1</f>
        <v>350</v>
      </c>
      <c r="U288" s="156">
        <f>J288*0.5</f>
        <v>175</v>
      </c>
      <c r="V288" s="156">
        <f>R288+S288+T288+U288</f>
        <v>962.5</v>
      </c>
    </row>
    <row r="289" spans="1:23" s="128" customFormat="1" ht="15.6" hidden="1" x14ac:dyDescent="0.3">
      <c r="A289" s="142" t="s">
        <v>477</v>
      </c>
      <c r="B289" s="142">
        <v>704</v>
      </c>
      <c r="C289" s="141">
        <v>45712</v>
      </c>
      <c r="D289" s="140">
        <f>WEEKNUM(C289)</f>
        <v>9</v>
      </c>
      <c r="E289" s="140" t="s">
        <v>478</v>
      </c>
      <c r="F289" s="140" t="s">
        <v>444</v>
      </c>
      <c r="G289" s="130" t="s">
        <v>638</v>
      </c>
      <c r="H289" s="140" t="s">
        <v>60</v>
      </c>
      <c r="I289" s="142" t="s">
        <v>61</v>
      </c>
      <c r="J289" s="157">
        <v>300</v>
      </c>
      <c r="K289" s="143">
        <v>23</v>
      </c>
      <c r="L289" s="143">
        <f>J289*K289</f>
        <v>6900</v>
      </c>
      <c r="M289" s="143">
        <v>0</v>
      </c>
      <c r="N289" s="141">
        <v>45740</v>
      </c>
      <c r="O289" s="157">
        <f>WEEKNUM(N289)</f>
        <v>13</v>
      </c>
      <c r="P289" s="140"/>
      <c r="Q289" s="140" t="s">
        <v>29</v>
      </c>
      <c r="R289" s="143">
        <f>J289*0.25</f>
        <v>75</v>
      </c>
      <c r="S289" s="143">
        <f>J289*0.6</f>
        <v>180</v>
      </c>
      <c r="T289" s="143">
        <f>J289*5</f>
        <v>1500</v>
      </c>
      <c r="U289" s="143">
        <f>J289*0.5</f>
        <v>150</v>
      </c>
      <c r="V289" s="143">
        <f>R289+S289+T289+U289</f>
        <v>1905</v>
      </c>
    </row>
    <row r="290" spans="1:23" s="127" customFormat="1" ht="15.6" hidden="1" x14ac:dyDescent="0.3">
      <c r="A290" s="142" t="s">
        <v>474</v>
      </c>
      <c r="B290" s="142">
        <v>713</v>
      </c>
      <c r="C290" s="141">
        <v>45714</v>
      </c>
      <c r="D290" s="140">
        <f>WEEKNUM(C290)</f>
        <v>9</v>
      </c>
      <c r="E290" s="140" t="s">
        <v>475</v>
      </c>
      <c r="F290" s="142" t="s">
        <v>704</v>
      </c>
      <c r="G290" s="140" t="s">
        <v>480</v>
      </c>
      <c r="H290" s="140" t="s">
        <v>51</v>
      </c>
      <c r="I290" s="142" t="s">
        <v>46</v>
      </c>
      <c r="J290" s="157">
        <v>100</v>
      </c>
      <c r="K290" s="143">
        <v>19.899999999999999</v>
      </c>
      <c r="L290" s="143">
        <f>J290*K290</f>
        <v>1989.9999999999998</v>
      </c>
      <c r="M290" s="143">
        <v>0</v>
      </c>
      <c r="N290" s="141">
        <v>45743</v>
      </c>
      <c r="O290" s="157">
        <f>WEEKNUM(N290)</f>
        <v>13</v>
      </c>
      <c r="P290" s="140"/>
      <c r="Q290" s="140" t="s">
        <v>29</v>
      </c>
      <c r="R290" s="143">
        <f>J290*0.25</f>
        <v>25</v>
      </c>
      <c r="S290" s="143">
        <f>J290*1</f>
        <v>100</v>
      </c>
      <c r="T290" s="143">
        <f>J290*1.84</f>
        <v>184</v>
      </c>
      <c r="U290" s="143">
        <f>J290*0.5</f>
        <v>50</v>
      </c>
      <c r="V290" s="143">
        <f>R290+S290+T290+U290</f>
        <v>359</v>
      </c>
      <c r="W290" s="128"/>
    </row>
    <row r="291" spans="1:23" s="128" customFormat="1" ht="15.6" hidden="1" x14ac:dyDescent="0.3">
      <c r="A291" s="142" t="s">
        <v>474</v>
      </c>
      <c r="B291" s="142">
        <v>1143</v>
      </c>
      <c r="C291" s="141">
        <v>45715</v>
      </c>
      <c r="D291" s="140">
        <f>WEEKNUM(C291)</f>
        <v>9</v>
      </c>
      <c r="E291" s="140" t="s">
        <v>475</v>
      </c>
      <c r="F291" s="142" t="s">
        <v>592</v>
      </c>
      <c r="G291" s="142" t="s">
        <v>593</v>
      </c>
      <c r="H291" s="140" t="s">
        <v>51</v>
      </c>
      <c r="I291" s="142" t="s">
        <v>46</v>
      </c>
      <c r="J291" s="157">
        <v>50</v>
      </c>
      <c r="K291" s="143">
        <v>20</v>
      </c>
      <c r="L291" s="143">
        <f>J291*K291</f>
        <v>1000</v>
      </c>
      <c r="M291" s="143">
        <v>0</v>
      </c>
      <c r="N291" s="141">
        <v>45745</v>
      </c>
      <c r="O291" s="157">
        <f>WEEKNUM(N291)</f>
        <v>13</v>
      </c>
      <c r="P291" s="140"/>
      <c r="Q291" s="140" t="s">
        <v>29</v>
      </c>
      <c r="R291" s="143">
        <f>J291*0.25</f>
        <v>12.5</v>
      </c>
      <c r="S291" s="143">
        <f>J291*1</f>
        <v>50</v>
      </c>
      <c r="T291" s="143">
        <f>J291*2</f>
        <v>100</v>
      </c>
      <c r="U291" s="143">
        <f>J291*0.5</f>
        <v>25</v>
      </c>
      <c r="V291" s="143">
        <f>R291+S291+T291+U291</f>
        <v>187.5</v>
      </c>
    </row>
    <row r="292" spans="1:23" s="128" customFormat="1" ht="15.6" hidden="1" x14ac:dyDescent="0.3">
      <c r="A292" s="142" t="s">
        <v>474</v>
      </c>
      <c r="B292" s="142">
        <v>1143</v>
      </c>
      <c r="C292" s="141">
        <v>45715</v>
      </c>
      <c r="D292" s="140">
        <f>WEEKNUM(C292)</f>
        <v>9</v>
      </c>
      <c r="E292" s="140" t="s">
        <v>475</v>
      </c>
      <c r="F292" s="142" t="s">
        <v>592</v>
      </c>
      <c r="G292" s="142" t="s">
        <v>114</v>
      </c>
      <c r="H292" s="140" t="s">
        <v>51</v>
      </c>
      <c r="I292" s="142" t="s">
        <v>61</v>
      </c>
      <c r="J292" s="157">
        <v>5</v>
      </c>
      <c r="K292" s="143">
        <v>90</v>
      </c>
      <c r="L292" s="143">
        <f>J292*K292</f>
        <v>450</v>
      </c>
      <c r="M292" s="143">
        <v>0</v>
      </c>
      <c r="N292" s="141">
        <v>45745</v>
      </c>
      <c r="O292" s="157">
        <f>WEEKNUM(N292)</f>
        <v>13</v>
      </c>
      <c r="P292" s="140"/>
      <c r="Q292" s="140" t="s">
        <v>29</v>
      </c>
      <c r="R292" s="143">
        <f>J292*0.25</f>
        <v>1.25</v>
      </c>
      <c r="S292" s="143">
        <f>J292*1</f>
        <v>5</v>
      </c>
      <c r="T292" s="143">
        <f>J292*5</f>
        <v>25</v>
      </c>
      <c r="U292" s="143">
        <f>J292*0.5</f>
        <v>2.5</v>
      </c>
      <c r="V292" s="143">
        <f>R292+S292+T292+U292</f>
        <v>33.75</v>
      </c>
      <c r="W292" s="127"/>
    </row>
    <row r="293" spans="1:23" s="128" customFormat="1" ht="15.6" hidden="1" x14ac:dyDescent="0.3">
      <c r="A293" s="142" t="s">
        <v>474</v>
      </c>
      <c r="B293" s="142">
        <v>717</v>
      </c>
      <c r="C293" s="141">
        <v>45722</v>
      </c>
      <c r="D293" s="140">
        <f>WEEKNUM(C293)</f>
        <v>10</v>
      </c>
      <c r="E293" s="140" t="s">
        <v>475</v>
      </c>
      <c r="F293" s="142" t="s">
        <v>476</v>
      </c>
      <c r="G293" s="142" t="s">
        <v>311</v>
      </c>
      <c r="H293" s="140" t="s">
        <v>51</v>
      </c>
      <c r="I293" s="142" t="s">
        <v>46</v>
      </c>
      <c r="J293" s="157">
        <v>100</v>
      </c>
      <c r="K293" s="143">
        <v>16.5</v>
      </c>
      <c r="L293" s="143">
        <f>J293*K293</f>
        <v>1650</v>
      </c>
      <c r="M293" s="143">
        <v>0</v>
      </c>
      <c r="N293" s="141">
        <v>45758</v>
      </c>
      <c r="O293" s="157">
        <f>WEEKNUM(N293)</f>
        <v>15</v>
      </c>
      <c r="P293" s="140"/>
      <c r="Q293" s="140" t="s">
        <v>29</v>
      </c>
      <c r="R293" s="143">
        <f>J293*0.25</f>
        <v>25</v>
      </c>
      <c r="S293" s="143">
        <f>J293*1</f>
        <v>100</v>
      </c>
      <c r="T293" s="143">
        <f>J293*1.5</f>
        <v>150</v>
      </c>
      <c r="U293" s="143">
        <f>J293*0.5</f>
        <v>50</v>
      </c>
      <c r="V293" s="143">
        <f>R293+S293+T293+U293</f>
        <v>325</v>
      </c>
    </row>
    <row r="294" spans="1:23" s="128" customFormat="1" ht="15.6" hidden="1" x14ac:dyDescent="0.3">
      <c r="A294" s="142" t="s">
        <v>477</v>
      </c>
      <c r="B294" s="142">
        <v>1145</v>
      </c>
      <c r="C294" s="141">
        <v>45722</v>
      </c>
      <c r="D294" s="140">
        <f>WEEKNUM(C294)</f>
        <v>10</v>
      </c>
      <c r="E294" s="142" t="s">
        <v>498</v>
      </c>
      <c r="F294" s="140" t="s">
        <v>446</v>
      </c>
      <c r="G294" s="142" t="s">
        <v>595</v>
      </c>
      <c r="H294" s="140" t="s">
        <v>51</v>
      </c>
      <c r="I294" s="142" t="s">
        <v>46</v>
      </c>
      <c r="J294" s="157">
        <v>2500</v>
      </c>
      <c r="K294" s="143">
        <v>23.5</v>
      </c>
      <c r="L294" s="143">
        <f>J294*K294</f>
        <v>58750</v>
      </c>
      <c r="M294" s="143">
        <v>0</v>
      </c>
      <c r="N294" s="141">
        <v>45762</v>
      </c>
      <c r="O294" s="157">
        <f>WEEKNUM(N294)</f>
        <v>16</v>
      </c>
      <c r="P294" s="140"/>
      <c r="Q294" s="140" t="s">
        <v>29</v>
      </c>
      <c r="R294" s="143">
        <f>J294*0.25</f>
        <v>625</v>
      </c>
      <c r="S294" s="143">
        <f>J294*1</f>
        <v>2500</v>
      </c>
      <c r="T294" s="143">
        <f>J294*1.65</f>
        <v>4125</v>
      </c>
      <c r="U294" s="143">
        <f>J294*0.5</f>
        <v>1250</v>
      </c>
      <c r="V294" s="143">
        <f>R294+S294+T294+U294</f>
        <v>8500</v>
      </c>
    </row>
    <row r="295" spans="1:23" s="128" customFormat="1" ht="15.6" hidden="1" x14ac:dyDescent="0.3">
      <c r="A295" s="132" t="s">
        <v>509</v>
      </c>
      <c r="B295" s="132">
        <v>51</v>
      </c>
      <c r="C295" s="131">
        <v>45722</v>
      </c>
      <c r="D295" s="140">
        <f>WEEKNUM(C295)</f>
        <v>10</v>
      </c>
      <c r="E295" s="132" t="s">
        <v>68</v>
      </c>
      <c r="F295" s="130" t="s">
        <v>334</v>
      </c>
      <c r="G295" s="142" t="s">
        <v>408</v>
      </c>
      <c r="H295" s="132" t="s">
        <v>80</v>
      </c>
      <c r="I295" s="132" t="s">
        <v>46</v>
      </c>
      <c r="J295" s="132">
        <v>10</v>
      </c>
      <c r="K295" s="133">
        <v>21</v>
      </c>
      <c r="L295" s="133">
        <f>K295*J295</f>
        <v>210</v>
      </c>
      <c r="M295" s="143">
        <v>0</v>
      </c>
      <c r="N295" s="131">
        <v>45726</v>
      </c>
      <c r="O295" s="157">
        <f>WEEKNUM(N295)</f>
        <v>11</v>
      </c>
      <c r="P295" s="130"/>
      <c r="Q295" s="140" t="s">
        <v>29</v>
      </c>
      <c r="R295" s="133"/>
      <c r="S295" s="133"/>
      <c r="T295" s="133"/>
      <c r="U295" s="133"/>
      <c r="V295" s="133"/>
    </row>
    <row r="296" spans="1:23" s="128" customFormat="1" ht="15.6" hidden="1" x14ac:dyDescent="0.3">
      <c r="A296" s="132" t="s">
        <v>509</v>
      </c>
      <c r="B296" s="132">
        <v>51</v>
      </c>
      <c r="C296" s="131">
        <v>45722</v>
      </c>
      <c r="D296" s="140">
        <f>WEEKNUM(C296)</f>
        <v>10</v>
      </c>
      <c r="E296" s="132" t="s">
        <v>68</v>
      </c>
      <c r="F296" s="130" t="s">
        <v>334</v>
      </c>
      <c r="G296" s="142" t="s">
        <v>311</v>
      </c>
      <c r="H296" s="132" t="s">
        <v>51</v>
      </c>
      <c r="I296" s="132" t="s">
        <v>46</v>
      </c>
      <c r="J296" s="132">
        <v>15</v>
      </c>
      <c r="K296" s="133">
        <v>25</v>
      </c>
      <c r="L296" s="133">
        <f>K296*J296</f>
        <v>375</v>
      </c>
      <c r="M296" s="143">
        <v>0</v>
      </c>
      <c r="N296" s="131">
        <v>45726</v>
      </c>
      <c r="O296" s="157">
        <f>WEEKNUM(N296)</f>
        <v>11</v>
      </c>
      <c r="P296" s="130"/>
      <c r="Q296" s="140" t="s">
        <v>29</v>
      </c>
      <c r="R296" s="133"/>
      <c r="S296" s="133"/>
      <c r="T296" s="133"/>
      <c r="U296" s="133"/>
      <c r="V296" s="133"/>
    </row>
    <row r="297" spans="1:23" s="128" customFormat="1" ht="15.6" hidden="1" x14ac:dyDescent="0.3">
      <c r="A297" s="132" t="s">
        <v>509</v>
      </c>
      <c r="B297" s="132">
        <v>51</v>
      </c>
      <c r="C297" s="131">
        <v>45722</v>
      </c>
      <c r="D297" s="140">
        <f>WEEKNUM(C297)</f>
        <v>10</v>
      </c>
      <c r="E297" s="132" t="s">
        <v>68</v>
      </c>
      <c r="F297" s="130" t="s">
        <v>334</v>
      </c>
      <c r="G297" s="132" t="s">
        <v>301</v>
      </c>
      <c r="H297" s="132" t="s">
        <v>74</v>
      </c>
      <c r="I297" s="132" t="s">
        <v>46</v>
      </c>
      <c r="J297" s="132">
        <v>25</v>
      </c>
      <c r="K297" s="133">
        <v>36.75</v>
      </c>
      <c r="L297" s="133">
        <f>K297*J297</f>
        <v>918.75</v>
      </c>
      <c r="M297" s="143">
        <v>0</v>
      </c>
      <c r="N297" s="131">
        <v>45726</v>
      </c>
      <c r="O297" s="157">
        <f>WEEKNUM(N297)</f>
        <v>11</v>
      </c>
      <c r="P297" s="130"/>
      <c r="Q297" s="140" t="s">
        <v>29</v>
      </c>
      <c r="R297" s="133"/>
      <c r="S297" s="133"/>
      <c r="T297" s="133"/>
      <c r="U297" s="133"/>
      <c r="V297" s="133"/>
    </row>
    <row r="298" spans="1:23" s="128" customFormat="1" ht="15.6" hidden="1" x14ac:dyDescent="0.3">
      <c r="A298" s="142" t="s">
        <v>477</v>
      </c>
      <c r="B298" s="142">
        <v>710</v>
      </c>
      <c r="C298" s="141">
        <v>45722</v>
      </c>
      <c r="D298" s="140">
        <f>WEEKNUM(C298)</f>
        <v>10</v>
      </c>
      <c r="E298" s="142" t="s">
        <v>55</v>
      </c>
      <c r="F298" s="142" t="s">
        <v>652</v>
      </c>
      <c r="G298" s="142" t="s">
        <v>653</v>
      </c>
      <c r="H298" s="142" t="s">
        <v>304</v>
      </c>
      <c r="I298" s="142" t="s">
        <v>46</v>
      </c>
      <c r="J298" s="157">
        <v>1000</v>
      </c>
      <c r="K298" s="143">
        <v>11</v>
      </c>
      <c r="L298" s="143">
        <v>0</v>
      </c>
      <c r="M298" s="143">
        <v>0</v>
      </c>
      <c r="N298" s="141">
        <v>45747</v>
      </c>
      <c r="O298" s="157">
        <f>WEEKNUM(N298)</f>
        <v>14</v>
      </c>
      <c r="P298" s="140"/>
      <c r="Q298" s="140" t="s">
        <v>29</v>
      </c>
      <c r="R298" s="143">
        <f>J298*0.25</f>
        <v>250</v>
      </c>
      <c r="S298" s="143">
        <f>J298*2.6</f>
        <v>2600</v>
      </c>
      <c r="T298" s="143">
        <f>J298*1.2</f>
        <v>1200</v>
      </c>
      <c r="U298" s="143">
        <f>J298*0.5</f>
        <v>500</v>
      </c>
      <c r="V298" s="143">
        <f>R298+S298+T298+U298</f>
        <v>4550</v>
      </c>
    </row>
    <row r="299" spans="1:23" s="128" customFormat="1" ht="15.6" hidden="1" x14ac:dyDescent="0.3">
      <c r="A299" s="142" t="s">
        <v>477</v>
      </c>
      <c r="B299" s="142">
        <v>718</v>
      </c>
      <c r="C299" s="141">
        <v>45722</v>
      </c>
      <c r="D299" s="140">
        <f>WEEKNUM(C299)</f>
        <v>10</v>
      </c>
      <c r="E299" s="140" t="s">
        <v>475</v>
      </c>
      <c r="F299" s="140" t="s">
        <v>809</v>
      </c>
      <c r="G299" s="142" t="s">
        <v>311</v>
      </c>
      <c r="H299" s="140" t="s">
        <v>51</v>
      </c>
      <c r="I299" s="142" t="s">
        <v>46</v>
      </c>
      <c r="J299" s="157">
        <v>300</v>
      </c>
      <c r="K299" s="143">
        <v>14</v>
      </c>
      <c r="L299" s="143">
        <f>J299*K299</f>
        <v>4200</v>
      </c>
      <c r="M299" s="143">
        <v>0</v>
      </c>
      <c r="N299" s="141">
        <v>45750</v>
      </c>
      <c r="O299" s="157">
        <f>WEEKNUM(N299)</f>
        <v>14</v>
      </c>
      <c r="P299" s="140"/>
      <c r="Q299" s="140" t="s">
        <v>29</v>
      </c>
      <c r="R299" s="143">
        <f>J299*0.25</f>
        <v>75</v>
      </c>
      <c r="S299" s="143">
        <f>J299*1</f>
        <v>300</v>
      </c>
      <c r="T299" s="143">
        <f>J299*1.5</f>
        <v>450</v>
      </c>
      <c r="U299" s="143">
        <f>J299*0.5</f>
        <v>150</v>
      </c>
      <c r="V299" s="143">
        <f>R299+S299+T299+U299</f>
        <v>975</v>
      </c>
    </row>
    <row r="300" spans="1:23" s="128" customFormat="1" ht="15.6" hidden="1" x14ac:dyDescent="0.3">
      <c r="A300" s="142" t="s">
        <v>477</v>
      </c>
      <c r="B300" s="142">
        <v>718</v>
      </c>
      <c r="C300" s="141">
        <v>45722</v>
      </c>
      <c r="D300" s="140">
        <f>WEEKNUM(C300)</f>
        <v>10</v>
      </c>
      <c r="E300" s="140" t="s">
        <v>475</v>
      </c>
      <c r="F300" s="140" t="s">
        <v>809</v>
      </c>
      <c r="G300" s="142" t="s">
        <v>630</v>
      </c>
      <c r="H300" s="142" t="s">
        <v>555</v>
      </c>
      <c r="I300" s="142" t="s">
        <v>46</v>
      </c>
      <c r="J300" s="157">
        <v>300</v>
      </c>
      <c r="K300" s="143">
        <v>24.5</v>
      </c>
      <c r="L300" s="143">
        <f>J300*K300</f>
        <v>7350</v>
      </c>
      <c r="M300" s="143">
        <v>0</v>
      </c>
      <c r="N300" s="141">
        <v>45750</v>
      </c>
      <c r="O300" s="157">
        <f>WEEKNUM(N300)</f>
        <v>14</v>
      </c>
      <c r="P300" s="140"/>
      <c r="Q300" s="140" t="s">
        <v>29</v>
      </c>
      <c r="R300" s="143">
        <f>J300*0.25</f>
        <v>75</v>
      </c>
      <c r="S300" s="143">
        <f>J300*1</f>
        <v>300</v>
      </c>
      <c r="T300" s="143">
        <f>J300*5.27</f>
        <v>1580.9999999999998</v>
      </c>
      <c r="U300" s="143">
        <f>J300*0.5</f>
        <v>150</v>
      </c>
      <c r="V300" s="143">
        <f>R300+S300+T300+U300</f>
        <v>2106</v>
      </c>
    </row>
    <row r="301" spans="1:23" s="128" customFormat="1" ht="15.6" hidden="1" x14ac:dyDescent="0.3">
      <c r="A301" s="142" t="s">
        <v>491</v>
      </c>
      <c r="B301" s="142">
        <v>1153</v>
      </c>
      <c r="C301" s="141">
        <v>45726</v>
      </c>
      <c r="D301" s="140">
        <f>WEEKNUM(C301)</f>
        <v>11</v>
      </c>
      <c r="E301" s="158" t="s">
        <v>68</v>
      </c>
      <c r="F301" s="142" t="s">
        <v>776</v>
      </c>
      <c r="G301" s="140" t="s">
        <v>503</v>
      </c>
      <c r="H301" s="140" t="s">
        <v>354</v>
      </c>
      <c r="I301" s="142" t="s">
        <v>46</v>
      </c>
      <c r="J301" s="157">
        <v>18</v>
      </c>
      <c r="K301" s="143">
        <v>36.75</v>
      </c>
      <c r="L301" s="143">
        <f>J301*K301</f>
        <v>661.5</v>
      </c>
      <c r="M301" s="143">
        <v>0</v>
      </c>
      <c r="N301" s="141">
        <v>45756</v>
      </c>
      <c r="O301" s="157">
        <f>WEEKNUM(N301)</f>
        <v>15</v>
      </c>
      <c r="P301" s="140"/>
      <c r="Q301" s="140" t="s">
        <v>29</v>
      </c>
      <c r="R301" s="143">
        <f>J301*0.25</f>
        <v>4.5</v>
      </c>
      <c r="S301" s="143">
        <f>J301*1</f>
        <v>18</v>
      </c>
      <c r="T301" s="143">
        <f>J301*1.5</f>
        <v>27</v>
      </c>
      <c r="U301" s="143">
        <f>J301*0.5</f>
        <v>9</v>
      </c>
      <c r="V301" s="143">
        <f>R301+S301+T301+U301</f>
        <v>58.5</v>
      </c>
    </row>
    <row r="302" spans="1:23" s="128" customFormat="1" ht="15.6" hidden="1" x14ac:dyDescent="0.3">
      <c r="A302" s="142" t="s">
        <v>491</v>
      </c>
      <c r="B302" s="142">
        <v>1153</v>
      </c>
      <c r="C302" s="141">
        <v>45726</v>
      </c>
      <c r="D302" s="140">
        <f>WEEKNUM(C302)</f>
        <v>11</v>
      </c>
      <c r="E302" s="158" t="s">
        <v>68</v>
      </c>
      <c r="F302" s="142" t="s">
        <v>776</v>
      </c>
      <c r="G302" s="142" t="s">
        <v>301</v>
      </c>
      <c r="H302" s="140" t="s">
        <v>74</v>
      </c>
      <c r="I302" s="142" t="s">
        <v>46</v>
      </c>
      <c r="J302" s="157">
        <v>12</v>
      </c>
      <c r="K302" s="143">
        <v>36.75</v>
      </c>
      <c r="L302" s="143">
        <f>J302*K302</f>
        <v>441</v>
      </c>
      <c r="M302" s="143">
        <v>0</v>
      </c>
      <c r="N302" s="141">
        <v>45756</v>
      </c>
      <c r="O302" s="157">
        <f>WEEKNUM(N302)</f>
        <v>15</v>
      </c>
      <c r="P302" s="140"/>
      <c r="Q302" s="140" t="s">
        <v>29</v>
      </c>
      <c r="R302" s="143">
        <f>J302*1</f>
        <v>12</v>
      </c>
      <c r="S302" s="143">
        <f>J302*1.5</f>
        <v>18</v>
      </c>
      <c r="T302" s="143">
        <f>J302*1.5</f>
        <v>18</v>
      </c>
      <c r="U302" s="143">
        <f>J302*1</f>
        <v>12</v>
      </c>
      <c r="V302" s="143">
        <f>R302+S302+T302+U302</f>
        <v>60</v>
      </c>
    </row>
    <row r="303" spans="1:23" s="128" customFormat="1" ht="15.6" hidden="1" x14ac:dyDescent="0.3">
      <c r="A303" s="142" t="s">
        <v>491</v>
      </c>
      <c r="B303" s="142">
        <v>1152</v>
      </c>
      <c r="C303" s="141">
        <v>45726</v>
      </c>
      <c r="D303" s="140">
        <f>WEEKNUM(C303)</f>
        <v>11</v>
      </c>
      <c r="E303" s="158" t="s">
        <v>68</v>
      </c>
      <c r="F303" s="142" t="s">
        <v>776</v>
      </c>
      <c r="G303" s="140" t="s">
        <v>503</v>
      </c>
      <c r="H303" s="140" t="s">
        <v>354</v>
      </c>
      <c r="I303" s="142" t="s">
        <v>46</v>
      </c>
      <c r="J303" s="157">
        <v>10</v>
      </c>
      <c r="K303" s="143">
        <v>36.75</v>
      </c>
      <c r="L303" s="143">
        <f>J303*K303</f>
        <v>367.5</v>
      </c>
      <c r="M303" s="143">
        <v>0</v>
      </c>
      <c r="N303" s="141">
        <v>45756</v>
      </c>
      <c r="O303" s="157">
        <f>WEEKNUM(N303)</f>
        <v>15</v>
      </c>
      <c r="P303" s="140"/>
      <c r="Q303" s="140" t="s">
        <v>29</v>
      </c>
      <c r="R303" s="143">
        <f>J303*0.25</f>
        <v>2.5</v>
      </c>
      <c r="S303" s="143">
        <f>J303*1</f>
        <v>10</v>
      </c>
      <c r="T303" s="143">
        <f>J303*1.5</f>
        <v>15</v>
      </c>
      <c r="U303" s="143">
        <f>J303*0.5</f>
        <v>5</v>
      </c>
      <c r="V303" s="143">
        <f>R303+S303+T303+U303</f>
        <v>32.5</v>
      </c>
    </row>
    <row r="304" spans="1:23" s="128" customFormat="1" ht="15.6" hidden="1" x14ac:dyDescent="0.3">
      <c r="A304" s="142" t="s">
        <v>491</v>
      </c>
      <c r="B304" s="142">
        <v>1152</v>
      </c>
      <c r="C304" s="141">
        <v>45726</v>
      </c>
      <c r="D304" s="140">
        <f>WEEKNUM(C304)</f>
        <v>11</v>
      </c>
      <c r="E304" s="158" t="s">
        <v>68</v>
      </c>
      <c r="F304" s="142" t="s">
        <v>776</v>
      </c>
      <c r="G304" s="142" t="s">
        <v>301</v>
      </c>
      <c r="H304" s="140" t="s">
        <v>74</v>
      </c>
      <c r="I304" s="142" t="s">
        <v>46</v>
      </c>
      <c r="J304" s="157">
        <v>4</v>
      </c>
      <c r="K304" s="143">
        <v>36.75</v>
      </c>
      <c r="L304" s="143">
        <f>J304*K304</f>
        <v>147</v>
      </c>
      <c r="M304" s="143">
        <v>0</v>
      </c>
      <c r="N304" s="141">
        <v>45756</v>
      </c>
      <c r="O304" s="157">
        <f>WEEKNUM(N304)</f>
        <v>15</v>
      </c>
      <c r="P304" s="140"/>
      <c r="Q304" s="140" t="s">
        <v>29</v>
      </c>
      <c r="R304" s="143">
        <f>J304*1</f>
        <v>4</v>
      </c>
      <c r="S304" s="143">
        <f>J304*1.5</f>
        <v>6</v>
      </c>
      <c r="T304" s="143">
        <f>J304*1.5</f>
        <v>6</v>
      </c>
      <c r="U304" s="143">
        <f>J304*1</f>
        <v>4</v>
      </c>
      <c r="V304" s="143">
        <f>R304+S304+T304+U304</f>
        <v>20</v>
      </c>
    </row>
    <row r="305" spans="1:22" s="128" customFormat="1" ht="15.6" hidden="1" x14ac:dyDescent="0.3">
      <c r="A305" s="142" t="s">
        <v>491</v>
      </c>
      <c r="B305" s="142">
        <v>1151</v>
      </c>
      <c r="C305" s="141">
        <v>45726</v>
      </c>
      <c r="D305" s="140">
        <f>WEEKNUM(C305)</f>
        <v>11</v>
      </c>
      <c r="E305" s="142" t="s">
        <v>68</v>
      </c>
      <c r="F305" s="142" t="s">
        <v>359</v>
      </c>
      <c r="G305" s="142" t="s">
        <v>311</v>
      </c>
      <c r="H305" s="140" t="s">
        <v>51</v>
      </c>
      <c r="I305" s="142" t="s">
        <v>46</v>
      </c>
      <c r="J305" s="157">
        <v>5</v>
      </c>
      <c r="K305" s="143">
        <v>25</v>
      </c>
      <c r="L305" s="143">
        <f>J305*K305</f>
        <v>125</v>
      </c>
      <c r="M305" s="143">
        <v>0</v>
      </c>
      <c r="N305" s="141">
        <v>45756</v>
      </c>
      <c r="O305" s="157">
        <f>WEEKNUM(N305)</f>
        <v>15</v>
      </c>
      <c r="P305" s="140"/>
      <c r="Q305" s="140" t="s">
        <v>29</v>
      </c>
      <c r="R305" s="143">
        <f>J305*0.25</f>
        <v>1.25</v>
      </c>
      <c r="S305" s="143">
        <f>J305*1</f>
        <v>5</v>
      </c>
      <c r="T305" s="143">
        <f>J305*1.5</f>
        <v>7.5</v>
      </c>
      <c r="U305" s="143">
        <f>J305*0.5</f>
        <v>2.5</v>
      </c>
      <c r="V305" s="143">
        <f>R305+S305+T305+U305</f>
        <v>16.25</v>
      </c>
    </row>
    <row r="306" spans="1:22" s="128" customFormat="1" ht="15.6" hidden="1" x14ac:dyDescent="0.3">
      <c r="A306" s="142" t="s">
        <v>491</v>
      </c>
      <c r="B306" s="142">
        <v>1151</v>
      </c>
      <c r="C306" s="141">
        <v>45726</v>
      </c>
      <c r="D306" s="140">
        <f>WEEKNUM(C306)</f>
        <v>11</v>
      </c>
      <c r="E306" s="142" t="s">
        <v>68</v>
      </c>
      <c r="F306" s="142" t="s">
        <v>359</v>
      </c>
      <c r="G306" s="142" t="s">
        <v>408</v>
      </c>
      <c r="H306" s="140" t="s">
        <v>80</v>
      </c>
      <c r="I306" s="142" t="s">
        <v>46</v>
      </c>
      <c r="J306" s="157">
        <v>5</v>
      </c>
      <c r="K306" s="143">
        <v>21</v>
      </c>
      <c r="L306" s="143">
        <f>J306*K306</f>
        <v>105</v>
      </c>
      <c r="M306" s="143">
        <v>0</v>
      </c>
      <c r="N306" s="141">
        <v>45756</v>
      </c>
      <c r="O306" s="157">
        <f>WEEKNUM(N306)</f>
        <v>15</v>
      </c>
      <c r="P306" s="140"/>
      <c r="Q306" s="140" t="s">
        <v>29</v>
      </c>
      <c r="R306" s="156">
        <f>J306*0.25</f>
        <v>1.25</v>
      </c>
      <c r="S306" s="156">
        <f>J306*1</f>
        <v>5</v>
      </c>
      <c r="T306" s="156">
        <f>J306*1.2</f>
        <v>6</v>
      </c>
      <c r="U306" s="156">
        <f>J306*0.5</f>
        <v>2.5</v>
      </c>
      <c r="V306" s="156">
        <f>R306+S306+T306+U306</f>
        <v>14.75</v>
      </c>
    </row>
    <row r="307" spans="1:22" s="128" customFormat="1" ht="15.6" hidden="1" x14ac:dyDescent="0.3">
      <c r="A307" s="142" t="s">
        <v>491</v>
      </c>
      <c r="B307" s="142">
        <v>1151</v>
      </c>
      <c r="C307" s="141">
        <v>45726</v>
      </c>
      <c r="D307" s="140">
        <f>WEEKNUM(C307)</f>
        <v>11</v>
      </c>
      <c r="E307" s="142" t="s">
        <v>68</v>
      </c>
      <c r="F307" s="142" t="s">
        <v>359</v>
      </c>
      <c r="G307" s="140" t="s">
        <v>503</v>
      </c>
      <c r="H307" s="140" t="s">
        <v>354</v>
      </c>
      <c r="I307" s="142" t="s">
        <v>46</v>
      </c>
      <c r="J307" s="157">
        <v>5</v>
      </c>
      <c r="K307" s="143">
        <v>36.75</v>
      </c>
      <c r="L307" s="143">
        <f>J307*K307</f>
        <v>183.75</v>
      </c>
      <c r="M307" s="143">
        <v>0</v>
      </c>
      <c r="N307" s="141">
        <v>45756</v>
      </c>
      <c r="O307" s="157">
        <f>WEEKNUM(N307)</f>
        <v>15</v>
      </c>
      <c r="P307" s="140"/>
      <c r="Q307" s="140" t="s">
        <v>29</v>
      </c>
      <c r="R307" s="143">
        <f>J307*0.25</f>
        <v>1.25</v>
      </c>
      <c r="S307" s="143">
        <f>J307*1</f>
        <v>5</v>
      </c>
      <c r="T307" s="143">
        <f>J307*1.5</f>
        <v>7.5</v>
      </c>
      <c r="U307" s="143">
        <f>J307*0.5</f>
        <v>2.5</v>
      </c>
      <c r="V307" s="143">
        <f>R307+S307+T307+U307</f>
        <v>16.25</v>
      </c>
    </row>
    <row r="308" spans="1:22" s="128" customFormat="1" ht="15.6" hidden="1" x14ac:dyDescent="0.3">
      <c r="A308" s="142" t="s">
        <v>491</v>
      </c>
      <c r="B308" s="142">
        <v>1151</v>
      </c>
      <c r="C308" s="141">
        <v>45726</v>
      </c>
      <c r="D308" s="140">
        <f>WEEKNUM(C308)</f>
        <v>11</v>
      </c>
      <c r="E308" s="142" t="s">
        <v>68</v>
      </c>
      <c r="F308" s="142" t="s">
        <v>359</v>
      </c>
      <c r="G308" s="142" t="s">
        <v>301</v>
      </c>
      <c r="H308" s="140" t="s">
        <v>74</v>
      </c>
      <c r="I308" s="142" t="s">
        <v>46</v>
      </c>
      <c r="J308" s="157">
        <v>2</v>
      </c>
      <c r="K308" s="143">
        <v>36.75</v>
      </c>
      <c r="L308" s="143">
        <f>J308*K308</f>
        <v>73.5</v>
      </c>
      <c r="M308" s="143">
        <v>0</v>
      </c>
      <c r="N308" s="141">
        <v>45756</v>
      </c>
      <c r="O308" s="157">
        <f>WEEKNUM(N308)</f>
        <v>15</v>
      </c>
      <c r="P308" s="140"/>
      <c r="Q308" s="140" t="s">
        <v>29</v>
      </c>
      <c r="R308" s="143">
        <f>J308*0.25</f>
        <v>0.5</v>
      </c>
      <c r="S308" s="143">
        <f>J308*1</f>
        <v>2</v>
      </c>
      <c r="T308" s="143">
        <f>J308*1.5</f>
        <v>3</v>
      </c>
      <c r="U308" s="143">
        <f>J308*0.5</f>
        <v>1</v>
      </c>
      <c r="V308" s="143">
        <f>R308+S308+T308+U308</f>
        <v>6.5</v>
      </c>
    </row>
    <row r="309" spans="1:22" s="128" customFormat="1" ht="15.6" hidden="1" x14ac:dyDescent="0.3">
      <c r="A309" s="142" t="s">
        <v>491</v>
      </c>
      <c r="B309" s="142">
        <v>1151</v>
      </c>
      <c r="C309" s="141">
        <v>45726</v>
      </c>
      <c r="D309" s="140">
        <f>WEEKNUM(C309)</f>
        <v>11</v>
      </c>
      <c r="E309" s="142" t="s">
        <v>68</v>
      </c>
      <c r="F309" s="142" t="s">
        <v>359</v>
      </c>
      <c r="G309" s="142" t="s">
        <v>301</v>
      </c>
      <c r="H309" s="140" t="s">
        <v>74</v>
      </c>
      <c r="I309" s="142" t="s">
        <v>46</v>
      </c>
      <c r="J309" s="157">
        <v>5</v>
      </c>
      <c r="K309" s="143">
        <v>36.75</v>
      </c>
      <c r="L309" s="143">
        <f>J309*K309</f>
        <v>183.75</v>
      </c>
      <c r="M309" s="143">
        <v>0</v>
      </c>
      <c r="N309" s="141">
        <v>45756</v>
      </c>
      <c r="O309" s="157">
        <f>WEEKNUM(N309)</f>
        <v>15</v>
      </c>
      <c r="P309" s="140"/>
      <c r="Q309" s="140" t="s">
        <v>29</v>
      </c>
      <c r="R309" s="143">
        <f>J309*0.25</f>
        <v>1.25</v>
      </c>
      <c r="S309" s="143">
        <f>J309*1</f>
        <v>5</v>
      </c>
      <c r="T309" s="143">
        <f>J309*1.5</f>
        <v>7.5</v>
      </c>
      <c r="U309" s="143">
        <f>J309*0.5</f>
        <v>2.5</v>
      </c>
      <c r="V309" s="143">
        <f>R309+S309+T309+U309</f>
        <v>16.25</v>
      </c>
    </row>
    <row r="310" spans="1:22" s="128" customFormat="1" ht="15.6" hidden="1" x14ac:dyDescent="0.3">
      <c r="A310" s="142" t="s">
        <v>491</v>
      </c>
      <c r="B310" s="142">
        <v>1151</v>
      </c>
      <c r="C310" s="141">
        <v>45726</v>
      </c>
      <c r="D310" s="140">
        <f>WEEKNUM(C310)</f>
        <v>11</v>
      </c>
      <c r="E310" s="142" t="s">
        <v>68</v>
      </c>
      <c r="F310" s="142" t="s">
        <v>359</v>
      </c>
      <c r="G310" s="142" t="s">
        <v>301</v>
      </c>
      <c r="H310" s="140" t="s">
        <v>74</v>
      </c>
      <c r="I310" s="142" t="s">
        <v>46</v>
      </c>
      <c r="J310" s="157">
        <v>2</v>
      </c>
      <c r="K310" s="143">
        <v>36.75</v>
      </c>
      <c r="L310" s="143">
        <f>J310*K310</f>
        <v>73.5</v>
      </c>
      <c r="M310" s="143">
        <v>0</v>
      </c>
      <c r="N310" s="141">
        <v>45756</v>
      </c>
      <c r="O310" s="157">
        <f>WEEKNUM(N310)</f>
        <v>15</v>
      </c>
      <c r="P310" s="140"/>
      <c r="Q310" s="140" t="s">
        <v>29</v>
      </c>
      <c r="R310" s="143">
        <f>J310*0.25</f>
        <v>0.5</v>
      </c>
      <c r="S310" s="143">
        <f>J310*1</f>
        <v>2</v>
      </c>
      <c r="T310" s="143">
        <f>J310*1.5</f>
        <v>3</v>
      </c>
      <c r="U310" s="143">
        <f>J310*0.5</f>
        <v>1</v>
      </c>
      <c r="V310" s="143">
        <f>R310+S310+T310+U310</f>
        <v>6.5</v>
      </c>
    </row>
    <row r="311" spans="1:22" s="128" customFormat="1" ht="15.6" hidden="1" x14ac:dyDescent="0.3">
      <c r="A311" s="142" t="s">
        <v>491</v>
      </c>
      <c r="B311" s="142">
        <v>1151</v>
      </c>
      <c r="C311" s="141">
        <v>45726</v>
      </c>
      <c r="D311" s="140">
        <f>WEEKNUM(C311)</f>
        <v>11</v>
      </c>
      <c r="E311" s="142" t="s">
        <v>68</v>
      </c>
      <c r="F311" s="142" t="s">
        <v>359</v>
      </c>
      <c r="G311" s="140" t="s">
        <v>356</v>
      </c>
      <c r="H311" s="140" t="s">
        <v>321</v>
      </c>
      <c r="I311" s="142" t="s">
        <v>46</v>
      </c>
      <c r="J311" s="157">
        <v>1</v>
      </c>
      <c r="K311" s="143">
        <v>85</v>
      </c>
      <c r="L311" s="143">
        <f>J311*K311</f>
        <v>85</v>
      </c>
      <c r="M311" s="143">
        <v>0</v>
      </c>
      <c r="N311" s="141">
        <v>45756</v>
      </c>
      <c r="O311" s="157">
        <f>WEEKNUM(N311)</f>
        <v>15</v>
      </c>
      <c r="P311" s="140"/>
      <c r="Q311" s="140" t="s">
        <v>29</v>
      </c>
      <c r="R311" s="156">
        <f>J311*0.25</f>
        <v>0.25</v>
      </c>
      <c r="S311" s="156">
        <f>PRODUCT(1.5,J311)</f>
        <v>1.5</v>
      </c>
      <c r="T311" s="156">
        <f>PRODUCT(1.5,J311)</f>
        <v>1.5</v>
      </c>
      <c r="U311" s="156">
        <f>J311*0.5</f>
        <v>0.5</v>
      </c>
      <c r="V311" s="156">
        <f>R311+S311+T311+U311</f>
        <v>3.75</v>
      </c>
    </row>
    <row r="312" spans="1:22" s="128" customFormat="1" ht="15.6" hidden="1" x14ac:dyDescent="0.3">
      <c r="A312" s="142" t="s">
        <v>477</v>
      </c>
      <c r="B312" s="142">
        <v>721</v>
      </c>
      <c r="C312" s="141">
        <v>45726</v>
      </c>
      <c r="D312" s="140">
        <f>WEEKNUM(C312)</f>
        <v>11</v>
      </c>
      <c r="E312" s="140" t="s">
        <v>475</v>
      </c>
      <c r="F312" s="142" t="s">
        <v>939</v>
      </c>
      <c r="G312" s="142" t="s">
        <v>631</v>
      </c>
      <c r="H312" s="140" t="s">
        <v>74</v>
      </c>
      <c r="I312" s="142" t="s">
        <v>46</v>
      </c>
      <c r="J312" s="157">
        <v>5</v>
      </c>
      <c r="K312" s="143">
        <v>45</v>
      </c>
      <c r="L312" s="143">
        <f>J312*K312</f>
        <v>225</v>
      </c>
      <c r="M312" s="143">
        <v>0</v>
      </c>
      <c r="N312" s="141">
        <v>45747</v>
      </c>
      <c r="O312" s="157">
        <f>WEEKNUM(N312)</f>
        <v>14</v>
      </c>
      <c r="P312" s="140"/>
      <c r="Q312" s="140" t="s">
        <v>29</v>
      </c>
      <c r="R312" s="143">
        <f>J312*0.25</f>
        <v>1.25</v>
      </c>
      <c r="S312" s="143">
        <f>J312*0.7</f>
        <v>3.5</v>
      </c>
      <c r="T312" s="143">
        <f>J312*1.5</f>
        <v>7.5</v>
      </c>
      <c r="U312" s="143">
        <f>J312*0.5</f>
        <v>2.5</v>
      </c>
      <c r="V312" s="143">
        <f>R312+S312+T312+U312</f>
        <v>14.75</v>
      </c>
    </row>
    <row r="313" spans="1:22" s="128" customFormat="1" ht="15.6" hidden="1" x14ac:dyDescent="0.3">
      <c r="A313" s="142" t="s">
        <v>474</v>
      </c>
      <c r="B313" s="142">
        <v>1146</v>
      </c>
      <c r="C313" s="141">
        <v>45727</v>
      </c>
      <c r="D313" s="140">
        <f>WEEKNUM(C313)</f>
        <v>11</v>
      </c>
      <c r="E313" s="140" t="s">
        <v>475</v>
      </c>
      <c r="F313" s="142" t="s">
        <v>665</v>
      </c>
      <c r="G313" s="140" t="s">
        <v>480</v>
      </c>
      <c r="H313" s="140" t="s">
        <v>51</v>
      </c>
      <c r="I313" s="142" t="s">
        <v>46</v>
      </c>
      <c r="J313" s="157">
        <v>100</v>
      </c>
      <c r="K313" s="143">
        <v>19.899999999999999</v>
      </c>
      <c r="L313" s="143">
        <f>J313*K313</f>
        <v>1989.9999999999998</v>
      </c>
      <c r="M313" s="143">
        <v>0</v>
      </c>
      <c r="N313" s="141">
        <v>45757</v>
      </c>
      <c r="O313" s="157">
        <f>WEEKNUM(N313)</f>
        <v>15</v>
      </c>
      <c r="P313" s="140"/>
      <c r="Q313" s="140" t="s">
        <v>29</v>
      </c>
      <c r="R313" s="143">
        <f>J313*0.25</f>
        <v>25</v>
      </c>
      <c r="S313" s="143">
        <f>J313*1</f>
        <v>100</v>
      </c>
      <c r="T313" s="143">
        <f>J313*1.84</f>
        <v>184</v>
      </c>
      <c r="U313" s="143">
        <f>J313*0.5</f>
        <v>50</v>
      </c>
      <c r="V313" s="143">
        <f>R313+S313+T313+U313</f>
        <v>359</v>
      </c>
    </row>
    <row r="314" spans="1:22" s="128" customFormat="1" ht="15.6" hidden="1" x14ac:dyDescent="0.3">
      <c r="A314" s="142" t="s">
        <v>474</v>
      </c>
      <c r="B314" s="142">
        <v>1146</v>
      </c>
      <c r="C314" s="141">
        <v>45727</v>
      </c>
      <c r="D314" s="140">
        <f>WEEKNUM(C314)</f>
        <v>11</v>
      </c>
      <c r="E314" s="140" t="s">
        <v>475</v>
      </c>
      <c r="F314" s="142" t="s">
        <v>665</v>
      </c>
      <c r="G314" s="142" t="s">
        <v>666</v>
      </c>
      <c r="H314" s="140" t="s">
        <v>494</v>
      </c>
      <c r="I314" s="142" t="s">
        <v>46</v>
      </c>
      <c r="J314" s="157">
        <v>100</v>
      </c>
      <c r="K314" s="143">
        <v>18.5</v>
      </c>
      <c r="L314" s="143">
        <f>J314*K314</f>
        <v>1850</v>
      </c>
      <c r="M314" s="143">
        <v>0</v>
      </c>
      <c r="N314" s="141">
        <v>45757</v>
      </c>
      <c r="O314" s="157">
        <f>WEEKNUM(N314)</f>
        <v>15</v>
      </c>
      <c r="P314" s="140"/>
      <c r="Q314" s="140" t="s">
        <v>29</v>
      </c>
      <c r="R314" s="143">
        <f>J314*0.25</f>
        <v>25</v>
      </c>
      <c r="S314" s="143">
        <f>J314*1</f>
        <v>100</v>
      </c>
      <c r="T314" s="143">
        <f>J314*1.2</f>
        <v>120</v>
      </c>
      <c r="U314" s="143">
        <f>J314*0.5</f>
        <v>50</v>
      </c>
      <c r="V314" s="143">
        <f>R314+S314+T314+U314</f>
        <v>295</v>
      </c>
    </row>
    <row r="315" spans="1:22" s="128" customFormat="1" ht="15.6" hidden="1" x14ac:dyDescent="0.3">
      <c r="A315" s="142" t="s">
        <v>474</v>
      </c>
      <c r="B315" s="142">
        <v>1146</v>
      </c>
      <c r="C315" s="141">
        <v>45727</v>
      </c>
      <c r="D315" s="140">
        <f>WEEKNUM(C315)</f>
        <v>11</v>
      </c>
      <c r="E315" s="140" t="s">
        <v>475</v>
      </c>
      <c r="F315" s="142" t="s">
        <v>665</v>
      </c>
      <c r="G315" s="142" t="s">
        <v>53</v>
      </c>
      <c r="H315" s="140" t="s">
        <v>74</v>
      </c>
      <c r="I315" s="142" t="s">
        <v>46</v>
      </c>
      <c r="J315" s="157">
        <v>100</v>
      </c>
      <c r="K315" s="143">
        <v>34</v>
      </c>
      <c r="L315" s="143">
        <f>J315*K315</f>
        <v>3400</v>
      </c>
      <c r="M315" s="143">
        <v>0</v>
      </c>
      <c r="N315" s="141">
        <v>45757</v>
      </c>
      <c r="O315" s="157">
        <f>WEEKNUM(N315)</f>
        <v>15</v>
      </c>
      <c r="P315" s="140"/>
      <c r="Q315" s="140" t="s">
        <v>29</v>
      </c>
      <c r="R315" s="143">
        <f>J315*0.25</f>
        <v>25</v>
      </c>
      <c r="S315" s="143">
        <f>J315*1</f>
        <v>100</v>
      </c>
      <c r="T315" s="143">
        <f>J315*1.5</f>
        <v>150</v>
      </c>
      <c r="U315" s="143">
        <f>J315*0.5</f>
        <v>50</v>
      </c>
      <c r="V315" s="143">
        <f>R315+S315+T315+U315</f>
        <v>325</v>
      </c>
    </row>
    <row r="316" spans="1:22" s="128" customFormat="1" ht="15.6" hidden="1" x14ac:dyDescent="0.3">
      <c r="A316" s="142" t="s">
        <v>474</v>
      </c>
      <c r="B316" s="142">
        <v>1146</v>
      </c>
      <c r="C316" s="141">
        <v>45727</v>
      </c>
      <c r="D316" s="140">
        <f>WEEKNUM(C316)</f>
        <v>11</v>
      </c>
      <c r="E316" s="140" t="s">
        <v>475</v>
      </c>
      <c r="F316" s="142" t="s">
        <v>665</v>
      </c>
      <c r="G316" s="142" t="s">
        <v>489</v>
      </c>
      <c r="H316" s="140" t="s">
        <v>51</v>
      </c>
      <c r="I316" s="142" t="s">
        <v>61</v>
      </c>
      <c r="J316" s="157">
        <v>30</v>
      </c>
      <c r="K316" s="143">
        <v>85</v>
      </c>
      <c r="L316" s="143">
        <f>J316*K316</f>
        <v>2550</v>
      </c>
      <c r="M316" s="143">
        <v>0</v>
      </c>
      <c r="N316" s="141">
        <v>45757</v>
      </c>
      <c r="O316" s="157">
        <f>WEEKNUM(N316)</f>
        <v>15</v>
      </c>
      <c r="P316" s="140"/>
      <c r="Q316" s="140" t="s">
        <v>29</v>
      </c>
      <c r="R316" s="143">
        <f>J316*0.25</f>
        <v>7.5</v>
      </c>
      <c r="S316" s="143">
        <f>J316*1</f>
        <v>30</v>
      </c>
      <c r="T316" s="143">
        <f>J316*3</f>
        <v>90</v>
      </c>
      <c r="U316" s="143">
        <f>J316*0.5</f>
        <v>15</v>
      </c>
      <c r="V316" s="143">
        <f>R316+S316+T316+U316</f>
        <v>142.5</v>
      </c>
    </row>
    <row r="317" spans="1:22" s="128" customFormat="1" ht="15.6" hidden="1" x14ac:dyDescent="0.3">
      <c r="A317" s="142" t="s">
        <v>474</v>
      </c>
      <c r="B317" s="142">
        <v>1146</v>
      </c>
      <c r="C317" s="141">
        <v>45727</v>
      </c>
      <c r="D317" s="140">
        <f>WEEKNUM(C317)</f>
        <v>11</v>
      </c>
      <c r="E317" s="140" t="s">
        <v>475</v>
      </c>
      <c r="F317" s="142" t="s">
        <v>665</v>
      </c>
      <c r="G317" s="142" t="s">
        <v>339</v>
      </c>
      <c r="H317" s="142" t="s">
        <v>340</v>
      </c>
      <c r="I317" s="142" t="s">
        <v>46</v>
      </c>
      <c r="J317" s="157">
        <v>27</v>
      </c>
      <c r="K317" s="143">
        <v>80</v>
      </c>
      <c r="L317" s="143">
        <f>J317*K317</f>
        <v>2160</v>
      </c>
      <c r="M317" s="143">
        <v>0</v>
      </c>
      <c r="N317" s="141">
        <v>45757</v>
      </c>
      <c r="O317" s="157">
        <f>WEEKNUM(N317)</f>
        <v>15</v>
      </c>
      <c r="P317" s="140"/>
      <c r="Q317" s="140" t="s">
        <v>29</v>
      </c>
      <c r="R317" s="143">
        <f>J317*0.25</f>
        <v>6.75</v>
      </c>
      <c r="S317" s="143">
        <f>J317*1</f>
        <v>27</v>
      </c>
      <c r="T317" s="143">
        <f>J317*1.5</f>
        <v>40.5</v>
      </c>
      <c r="U317" s="143">
        <f>J317*0.5</f>
        <v>13.5</v>
      </c>
      <c r="V317" s="143">
        <f>R317+S317+T317+U317</f>
        <v>87.75</v>
      </c>
    </row>
    <row r="318" spans="1:22" s="128" customFormat="1" ht="15.6" hidden="1" x14ac:dyDescent="0.3">
      <c r="A318" s="142" t="s">
        <v>477</v>
      </c>
      <c r="B318" s="142">
        <v>725</v>
      </c>
      <c r="C318" s="141">
        <v>45727</v>
      </c>
      <c r="D318" s="140">
        <f>WEEKNUM(C318)</f>
        <v>11</v>
      </c>
      <c r="E318" s="140" t="s">
        <v>475</v>
      </c>
      <c r="F318" s="142" t="s">
        <v>997</v>
      </c>
      <c r="G318" s="142" t="s">
        <v>311</v>
      </c>
      <c r="H318" s="140" t="s">
        <v>51</v>
      </c>
      <c r="I318" s="142" t="s">
        <v>46</v>
      </c>
      <c r="J318" s="157">
        <v>50</v>
      </c>
      <c r="K318" s="143">
        <v>20</v>
      </c>
      <c r="L318" s="143">
        <f>J318*K318</f>
        <v>1000</v>
      </c>
      <c r="M318" s="143">
        <v>0</v>
      </c>
      <c r="N318" s="141">
        <v>45755</v>
      </c>
      <c r="O318" s="157">
        <f>WEEKNUM(N318)</f>
        <v>15</v>
      </c>
      <c r="P318" s="140"/>
      <c r="Q318" s="140" t="s">
        <v>29</v>
      </c>
      <c r="R318" s="143">
        <f>J318*0.25</f>
        <v>12.5</v>
      </c>
      <c r="S318" s="143">
        <f>J318*0.7</f>
        <v>35</v>
      </c>
      <c r="T318" s="143">
        <f>J318*1.5</f>
        <v>75</v>
      </c>
      <c r="U318" s="143">
        <f>J318*0.5</f>
        <v>25</v>
      </c>
      <c r="V318" s="143">
        <f>R318+S318+T318+U318</f>
        <v>147.5</v>
      </c>
    </row>
    <row r="319" spans="1:22" s="128" customFormat="1" ht="15.6" hidden="1" x14ac:dyDescent="0.3">
      <c r="A319" s="142" t="s">
        <v>477</v>
      </c>
      <c r="B319" s="142">
        <v>725</v>
      </c>
      <c r="C319" s="141">
        <v>45727</v>
      </c>
      <c r="D319" s="140">
        <f>WEEKNUM(C319)</f>
        <v>11</v>
      </c>
      <c r="E319" s="140" t="s">
        <v>475</v>
      </c>
      <c r="F319" s="142" t="s">
        <v>997</v>
      </c>
      <c r="G319" s="142" t="s">
        <v>998</v>
      </c>
      <c r="H319" s="140" t="s">
        <v>494</v>
      </c>
      <c r="I319" s="142" t="s">
        <v>26</v>
      </c>
      <c r="J319" s="157">
        <v>50</v>
      </c>
      <c r="K319" s="143">
        <v>20</v>
      </c>
      <c r="L319" s="143">
        <f>J319*K319</f>
        <v>1000</v>
      </c>
      <c r="M319" s="143">
        <v>0</v>
      </c>
      <c r="N319" s="141">
        <v>45755</v>
      </c>
      <c r="O319" s="157">
        <f>WEEKNUM(N319)</f>
        <v>15</v>
      </c>
      <c r="P319" s="140"/>
      <c r="Q319" s="140" t="s">
        <v>29</v>
      </c>
      <c r="R319" s="143">
        <f>J319*0.25</f>
        <v>12.5</v>
      </c>
      <c r="S319" s="143">
        <f>J319*0.7</f>
        <v>35</v>
      </c>
      <c r="T319" s="143">
        <f>J319*1</f>
        <v>50</v>
      </c>
      <c r="U319" s="143">
        <f>J319*0.5</f>
        <v>25</v>
      </c>
      <c r="V319" s="143">
        <f>R319+S319+T319+U319</f>
        <v>122.5</v>
      </c>
    </row>
    <row r="320" spans="1:22" s="128" customFormat="1" ht="15.6" hidden="1" x14ac:dyDescent="0.3">
      <c r="A320" s="142" t="s">
        <v>474</v>
      </c>
      <c r="B320" s="142">
        <v>1156</v>
      </c>
      <c r="C320" s="141">
        <v>45728</v>
      </c>
      <c r="D320" s="140">
        <f>WEEKNUM(C320)</f>
        <v>11</v>
      </c>
      <c r="E320" s="142" t="s">
        <v>498</v>
      </c>
      <c r="F320" s="142" t="s">
        <v>530</v>
      </c>
      <c r="G320" s="142" t="s">
        <v>531</v>
      </c>
      <c r="H320" s="142" t="s">
        <v>38</v>
      </c>
      <c r="I320" s="142" t="s">
        <v>46</v>
      </c>
      <c r="J320" s="157">
        <v>100</v>
      </c>
      <c r="K320" s="143">
        <v>67</v>
      </c>
      <c r="L320" s="143">
        <f>J320*K320</f>
        <v>6700</v>
      </c>
      <c r="M320" s="143">
        <v>0</v>
      </c>
      <c r="N320" s="141">
        <v>45758</v>
      </c>
      <c r="O320" s="157">
        <f>WEEKNUM(N320)</f>
        <v>15</v>
      </c>
      <c r="P320" s="140"/>
      <c r="Q320" s="140" t="s">
        <v>29</v>
      </c>
      <c r="R320" s="143">
        <f>J320*0.25</f>
        <v>25</v>
      </c>
      <c r="S320" s="143">
        <f>J320*1</f>
        <v>100</v>
      </c>
      <c r="T320" s="143">
        <f>J320*10</f>
        <v>1000</v>
      </c>
      <c r="U320" s="143">
        <f>J320*0.5</f>
        <v>50</v>
      </c>
      <c r="V320" s="143">
        <f>R320+S320+T320+U320</f>
        <v>1175</v>
      </c>
    </row>
    <row r="321" spans="1:22" s="128" customFormat="1" ht="15.6" hidden="1" x14ac:dyDescent="0.3">
      <c r="A321" s="142" t="s">
        <v>474</v>
      </c>
      <c r="B321" s="142">
        <v>1162</v>
      </c>
      <c r="C321" s="141">
        <v>45728</v>
      </c>
      <c r="D321" s="140">
        <f>WEEKNUM(C321)</f>
        <v>11</v>
      </c>
      <c r="E321" s="140" t="s">
        <v>475</v>
      </c>
      <c r="F321" s="142" t="s">
        <v>725</v>
      </c>
      <c r="G321" s="142" t="s">
        <v>726</v>
      </c>
      <c r="H321" s="140" t="s">
        <v>494</v>
      </c>
      <c r="I321" s="142" t="s">
        <v>46</v>
      </c>
      <c r="J321" s="157">
        <v>50</v>
      </c>
      <c r="K321" s="143">
        <v>21</v>
      </c>
      <c r="L321" s="143">
        <f>J321*K321</f>
        <v>1050</v>
      </c>
      <c r="M321" s="143">
        <v>0</v>
      </c>
      <c r="N321" s="141">
        <v>45762</v>
      </c>
      <c r="O321" s="157">
        <f>WEEKNUM(N321)</f>
        <v>16</v>
      </c>
      <c r="P321" s="140"/>
      <c r="Q321" s="140" t="s">
        <v>29</v>
      </c>
      <c r="R321" s="143">
        <f>J321*0.25</f>
        <v>12.5</v>
      </c>
      <c r="S321" s="143">
        <f>J321*1</f>
        <v>50</v>
      </c>
      <c r="T321" s="143">
        <f>J321*1.5</f>
        <v>75</v>
      </c>
      <c r="U321" s="143">
        <f>J321*0.5</f>
        <v>25</v>
      </c>
      <c r="V321" s="143">
        <f>R321+S321+T321+U321</f>
        <v>162.5</v>
      </c>
    </row>
    <row r="322" spans="1:22" s="128" customFormat="1" ht="15.6" hidden="1" x14ac:dyDescent="0.3">
      <c r="A322" s="142" t="s">
        <v>474</v>
      </c>
      <c r="B322" s="142">
        <v>1162</v>
      </c>
      <c r="C322" s="141">
        <v>45728</v>
      </c>
      <c r="D322" s="140">
        <f>WEEKNUM(C323)</f>
        <v>11</v>
      </c>
      <c r="E322" s="140" t="s">
        <v>475</v>
      </c>
      <c r="F322" s="142" t="s">
        <v>725</v>
      </c>
      <c r="G322" s="142" t="s">
        <v>727</v>
      </c>
      <c r="H322" s="142" t="s">
        <v>555</v>
      </c>
      <c r="I322" s="142" t="s">
        <v>61</v>
      </c>
      <c r="J322" s="157">
        <v>20</v>
      </c>
      <c r="K322" s="143">
        <v>45</v>
      </c>
      <c r="L322" s="143">
        <f>J322*K322</f>
        <v>900</v>
      </c>
      <c r="M322" s="143">
        <v>0</v>
      </c>
      <c r="N322" s="141">
        <v>45762</v>
      </c>
      <c r="O322" s="157">
        <f>WEEKNUM(N322)</f>
        <v>16</v>
      </c>
      <c r="P322" s="140"/>
      <c r="Q322" s="140" t="s">
        <v>29</v>
      </c>
      <c r="R322" s="143">
        <f>J322*0.25</f>
        <v>5</v>
      </c>
      <c r="S322" s="143">
        <f>J322*1.5</f>
        <v>30</v>
      </c>
      <c r="T322" s="143">
        <f>J322*5.27</f>
        <v>105.39999999999999</v>
      </c>
      <c r="U322" s="143">
        <f>J322*0.5</f>
        <v>10</v>
      </c>
      <c r="V322" s="143">
        <f>R322+S322+T322+U322</f>
        <v>150.39999999999998</v>
      </c>
    </row>
    <row r="323" spans="1:22" s="128" customFormat="1" ht="15.6" hidden="1" x14ac:dyDescent="0.3">
      <c r="A323" s="142" t="s">
        <v>474</v>
      </c>
      <c r="B323" s="142">
        <v>1162</v>
      </c>
      <c r="C323" s="141">
        <v>45728</v>
      </c>
      <c r="D323" s="140">
        <f>WEEKNUM(C323)</f>
        <v>11</v>
      </c>
      <c r="E323" s="140" t="s">
        <v>475</v>
      </c>
      <c r="F323" s="142" t="s">
        <v>725</v>
      </c>
      <c r="G323" s="142" t="s">
        <v>506</v>
      </c>
      <c r="H323" s="140" t="s">
        <v>74</v>
      </c>
      <c r="I323" s="142" t="s">
        <v>46</v>
      </c>
      <c r="J323" s="157">
        <v>50</v>
      </c>
      <c r="K323" s="143">
        <v>35</v>
      </c>
      <c r="L323" s="143">
        <f>J323*K323</f>
        <v>1750</v>
      </c>
      <c r="M323" s="143">
        <v>0</v>
      </c>
      <c r="N323" s="141">
        <v>45762</v>
      </c>
      <c r="O323" s="157">
        <f>WEEKNUM(N323)</f>
        <v>16</v>
      </c>
      <c r="P323" s="140"/>
      <c r="Q323" s="140" t="s">
        <v>29</v>
      </c>
      <c r="R323" s="143">
        <f>J323*0.25</f>
        <v>12.5</v>
      </c>
      <c r="S323" s="143">
        <f>J323*1</f>
        <v>50</v>
      </c>
      <c r="T323" s="143">
        <f>J323*1.5</f>
        <v>75</v>
      </c>
      <c r="U323" s="143">
        <f>J323*0.5</f>
        <v>25</v>
      </c>
      <c r="V323" s="143">
        <f>R323+S323+T323+U323</f>
        <v>162.5</v>
      </c>
    </row>
    <row r="324" spans="1:22" s="128" customFormat="1" ht="15.6" hidden="1" x14ac:dyDescent="0.3">
      <c r="A324" s="142" t="s">
        <v>477</v>
      </c>
      <c r="B324" s="142">
        <v>1159</v>
      </c>
      <c r="C324" s="141">
        <v>45728</v>
      </c>
      <c r="D324" s="140">
        <f>WEEKNUM(C324)</f>
        <v>11</v>
      </c>
      <c r="E324" s="142" t="s">
        <v>68</v>
      </c>
      <c r="F324" s="142" t="s">
        <v>360</v>
      </c>
      <c r="G324" s="142" t="s">
        <v>507</v>
      </c>
      <c r="H324" s="140" t="s">
        <v>74</v>
      </c>
      <c r="I324" s="142" t="s">
        <v>46</v>
      </c>
      <c r="J324" s="157">
        <v>6</v>
      </c>
      <c r="K324" s="143">
        <v>36.75</v>
      </c>
      <c r="L324" s="143">
        <f>J324*K324</f>
        <v>220.5</v>
      </c>
      <c r="M324" s="143">
        <v>0</v>
      </c>
      <c r="N324" s="141">
        <v>45759</v>
      </c>
      <c r="O324" s="157">
        <f>WEEKNUM(N324)</f>
        <v>15</v>
      </c>
      <c r="P324" s="140"/>
      <c r="Q324" s="140" t="s">
        <v>29</v>
      </c>
      <c r="R324" s="143">
        <f>J324*0.25</f>
        <v>1.5</v>
      </c>
      <c r="S324" s="143">
        <f>J324*1</f>
        <v>6</v>
      </c>
      <c r="T324" s="143">
        <f>J324*1.5</f>
        <v>9</v>
      </c>
      <c r="U324" s="143">
        <f>J324*0.5</f>
        <v>3</v>
      </c>
      <c r="V324" s="143">
        <f>R324+S324+T324+U324</f>
        <v>19.5</v>
      </c>
    </row>
    <row r="325" spans="1:22" s="128" customFormat="1" ht="15.6" hidden="1" x14ac:dyDescent="0.3">
      <c r="A325" s="142" t="s">
        <v>477</v>
      </c>
      <c r="B325" s="142">
        <v>1159</v>
      </c>
      <c r="C325" s="141">
        <v>45728</v>
      </c>
      <c r="D325" s="140">
        <f>WEEKNUM(C325)</f>
        <v>11</v>
      </c>
      <c r="E325" s="142" t="s">
        <v>68</v>
      </c>
      <c r="F325" s="142" t="s">
        <v>360</v>
      </c>
      <c r="G325" s="142" t="s">
        <v>311</v>
      </c>
      <c r="H325" s="140" t="s">
        <v>51</v>
      </c>
      <c r="I325" s="142" t="s">
        <v>46</v>
      </c>
      <c r="J325" s="157">
        <v>4</v>
      </c>
      <c r="K325" s="143">
        <v>25</v>
      </c>
      <c r="L325" s="143">
        <f>J325*K325</f>
        <v>100</v>
      </c>
      <c r="M325" s="143">
        <v>0</v>
      </c>
      <c r="N325" s="141">
        <v>45759</v>
      </c>
      <c r="O325" s="157">
        <f>WEEKNUM(N325)</f>
        <v>15</v>
      </c>
      <c r="P325" s="140"/>
      <c r="Q325" s="140" t="s">
        <v>29</v>
      </c>
      <c r="R325" s="143">
        <f>J325*0.25</f>
        <v>1</v>
      </c>
      <c r="S325" s="143">
        <f>J325*1</f>
        <v>4</v>
      </c>
      <c r="T325" s="143">
        <f>J325*1.5</f>
        <v>6</v>
      </c>
      <c r="U325" s="143">
        <f>J325*0.5</f>
        <v>2</v>
      </c>
      <c r="V325" s="143">
        <f>R325+S325+T325+U325</f>
        <v>13</v>
      </c>
    </row>
    <row r="326" spans="1:22" s="128" customFormat="1" ht="15.6" hidden="1" x14ac:dyDescent="0.3">
      <c r="A326" s="142" t="s">
        <v>477</v>
      </c>
      <c r="B326" s="142">
        <v>1159</v>
      </c>
      <c r="C326" s="141">
        <v>45728</v>
      </c>
      <c r="D326" s="140">
        <f>WEEKNUM(C326)</f>
        <v>11</v>
      </c>
      <c r="E326" s="142" t="s">
        <v>68</v>
      </c>
      <c r="F326" s="142" t="s">
        <v>360</v>
      </c>
      <c r="G326" s="142" t="s">
        <v>408</v>
      </c>
      <c r="H326" s="140" t="s">
        <v>80</v>
      </c>
      <c r="I326" s="142" t="s">
        <v>46</v>
      </c>
      <c r="J326" s="157">
        <v>4</v>
      </c>
      <c r="K326" s="143">
        <v>21</v>
      </c>
      <c r="L326" s="143">
        <f>J326*K326</f>
        <v>84</v>
      </c>
      <c r="M326" s="143">
        <v>0</v>
      </c>
      <c r="N326" s="141">
        <v>45759</v>
      </c>
      <c r="O326" s="157">
        <f>WEEKNUM(N326)</f>
        <v>15</v>
      </c>
      <c r="P326" s="140"/>
      <c r="Q326" s="140" t="s">
        <v>29</v>
      </c>
      <c r="R326" s="156">
        <f>J326*0.25</f>
        <v>1</v>
      </c>
      <c r="S326" s="156">
        <f>J326*1</f>
        <v>4</v>
      </c>
      <c r="T326" s="156">
        <f>J326*1.2</f>
        <v>4.8</v>
      </c>
      <c r="U326" s="156">
        <f>J326*0.5</f>
        <v>2</v>
      </c>
      <c r="V326" s="156">
        <f>R326+S326+T326+U326</f>
        <v>11.8</v>
      </c>
    </row>
    <row r="327" spans="1:22" s="128" customFormat="1" ht="15.6" hidden="1" x14ac:dyDescent="0.3">
      <c r="A327" s="140" t="s">
        <v>509</v>
      </c>
      <c r="B327" s="140">
        <v>4</v>
      </c>
      <c r="C327" s="139">
        <v>45728</v>
      </c>
      <c r="D327" s="140">
        <f>WEEKNUM(C327)</f>
        <v>11</v>
      </c>
      <c r="E327" s="140" t="s">
        <v>475</v>
      </c>
      <c r="F327" s="140" t="s">
        <v>869</v>
      </c>
      <c r="G327" s="140" t="s">
        <v>114</v>
      </c>
      <c r="H327" s="140" t="s">
        <v>51</v>
      </c>
      <c r="I327" s="140" t="s">
        <v>61</v>
      </c>
      <c r="J327" s="154">
        <v>3</v>
      </c>
      <c r="K327" s="154"/>
      <c r="L327" s="154"/>
      <c r="M327" s="143">
        <v>0</v>
      </c>
      <c r="N327" s="139">
        <v>45702</v>
      </c>
      <c r="O327" s="157">
        <f>WEEKNUM(N327)</f>
        <v>7</v>
      </c>
      <c r="P327" s="140" t="s">
        <v>28</v>
      </c>
      <c r="Q327" s="140" t="s">
        <v>29</v>
      </c>
      <c r="R327" s="156">
        <f>J327*0.25</f>
        <v>0.75</v>
      </c>
      <c r="S327" s="156">
        <f>J327*1</f>
        <v>3</v>
      </c>
      <c r="T327" s="156">
        <f>J327*3</f>
        <v>9</v>
      </c>
      <c r="U327" s="156">
        <f>J327*0.5</f>
        <v>1.5</v>
      </c>
      <c r="V327" s="156">
        <f>R327+S327+T327+U327</f>
        <v>14.25</v>
      </c>
    </row>
    <row r="328" spans="1:22" s="128" customFormat="1" ht="15.6" hidden="1" x14ac:dyDescent="0.3">
      <c r="A328" s="140" t="s">
        <v>509</v>
      </c>
      <c r="B328" s="140">
        <v>4</v>
      </c>
      <c r="C328" s="139">
        <v>45728</v>
      </c>
      <c r="D328" s="140">
        <f>WEEKNUM(C328)</f>
        <v>11</v>
      </c>
      <c r="E328" s="140" t="s">
        <v>475</v>
      </c>
      <c r="F328" s="140" t="s">
        <v>869</v>
      </c>
      <c r="G328" s="142" t="s">
        <v>311</v>
      </c>
      <c r="H328" s="140" t="s">
        <v>51</v>
      </c>
      <c r="I328" s="140" t="s">
        <v>46</v>
      </c>
      <c r="J328" s="154">
        <v>100</v>
      </c>
      <c r="K328" s="154"/>
      <c r="L328" s="154"/>
      <c r="M328" s="143">
        <v>0</v>
      </c>
      <c r="N328" s="139">
        <v>45702</v>
      </c>
      <c r="O328" s="157">
        <f>WEEKNUM(N328)</f>
        <v>7</v>
      </c>
      <c r="P328" s="140" t="s">
        <v>28</v>
      </c>
      <c r="Q328" s="140" t="s">
        <v>29</v>
      </c>
      <c r="R328" s="156">
        <f>J328*0.25</f>
        <v>25</v>
      </c>
      <c r="S328" s="156">
        <f>J328*0.7</f>
        <v>70</v>
      </c>
      <c r="T328" s="156">
        <f>J328*1.5</f>
        <v>150</v>
      </c>
      <c r="U328" s="156">
        <f>J328*0.5</f>
        <v>50</v>
      </c>
      <c r="V328" s="156">
        <f>R328+S328+T328+U328</f>
        <v>295</v>
      </c>
    </row>
    <row r="329" spans="1:22" s="128" customFormat="1" ht="15.6" hidden="1" x14ac:dyDescent="0.3">
      <c r="A329" s="142" t="s">
        <v>477</v>
      </c>
      <c r="B329" s="142">
        <v>1161</v>
      </c>
      <c r="C329" s="141">
        <v>45728</v>
      </c>
      <c r="D329" s="140">
        <f>WEEKNUM(C329)</f>
        <v>11</v>
      </c>
      <c r="E329" s="140" t="s">
        <v>475</v>
      </c>
      <c r="F329" s="142" t="s">
        <v>960</v>
      </c>
      <c r="G329" s="142" t="s">
        <v>489</v>
      </c>
      <c r="H329" s="140" t="s">
        <v>51</v>
      </c>
      <c r="I329" s="142" t="s">
        <v>61</v>
      </c>
      <c r="J329" s="157">
        <v>600</v>
      </c>
      <c r="K329" s="143">
        <v>65</v>
      </c>
      <c r="L329" s="143">
        <f>J329*K329</f>
        <v>39000</v>
      </c>
      <c r="M329" s="143">
        <v>0</v>
      </c>
      <c r="N329" s="141">
        <v>45762</v>
      </c>
      <c r="O329" s="157">
        <f>WEEKNUM(N329)</f>
        <v>16</v>
      </c>
      <c r="P329" s="140"/>
      <c r="Q329" s="140" t="s">
        <v>29</v>
      </c>
      <c r="R329" s="143">
        <f>J329*1</f>
        <v>600</v>
      </c>
      <c r="S329" s="143">
        <f>J329*1</f>
        <v>600</v>
      </c>
      <c r="T329" s="143">
        <f>J329*3</f>
        <v>1800</v>
      </c>
      <c r="U329" s="143">
        <f>J329*2</f>
        <v>1200</v>
      </c>
      <c r="V329" s="143">
        <f>R329+S329+T329+U329</f>
        <v>4200</v>
      </c>
    </row>
    <row r="330" spans="1:22" s="128" customFormat="1" ht="15.6" hidden="1" x14ac:dyDescent="0.3">
      <c r="A330" s="142" t="s">
        <v>477</v>
      </c>
      <c r="B330" s="142">
        <v>726</v>
      </c>
      <c r="C330" s="141">
        <v>45728</v>
      </c>
      <c r="D330" s="140">
        <f>WEEKNUM(C330)</f>
        <v>11</v>
      </c>
      <c r="E330" s="140" t="s">
        <v>475</v>
      </c>
      <c r="F330" s="142" t="s">
        <v>974</v>
      </c>
      <c r="G330" s="142" t="s">
        <v>167</v>
      </c>
      <c r="H330" s="140" t="s">
        <v>74</v>
      </c>
      <c r="I330" s="142" t="s">
        <v>46</v>
      </c>
      <c r="J330" s="157">
        <v>110</v>
      </c>
      <c r="K330" s="143">
        <v>25</v>
      </c>
      <c r="L330" s="143">
        <f>J330*K330</f>
        <v>2750</v>
      </c>
      <c r="M330" s="143">
        <v>0</v>
      </c>
      <c r="N330" s="141">
        <v>45758</v>
      </c>
      <c r="O330" s="157">
        <f>WEEKNUM(N330)</f>
        <v>15</v>
      </c>
      <c r="P330" s="140"/>
      <c r="Q330" s="140" t="s">
        <v>29</v>
      </c>
      <c r="R330" s="143">
        <f>J330*0.25</f>
        <v>27.5</v>
      </c>
      <c r="S330" s="143">
        <f>J330*1</f>
        <v>110</v>
      </c>
      <c r="T330" s="143">
        <f>J330*1.5</f>
        <v>165</v>
      </c>
      <c r="U330" s="143">
        <f>J330*0.5</f>
        <v>55</v>
      </c>
      <c r="V330" s="143">
        <f>R330+S330+T330+U330</f>
        <v>357.5</v>
      </c>
    </row>
    <row r="331" spans="1:22" s="128" customFormat="1" ht="15.6" hidden="1" x14ac:dyDescent="0.3">
      <c r="A331" s="142" t="s">
        <v>474</v>
      </c>
      <c r="B331" s="142">
        <v>727</v>
      </c>
      <c r="C331" s="141">
        <v>45729</v>
      </c>
      <c r="D331" s="140">
        <f>WEEKNUM(C331)</f>
        <v>11</v>
      </c>
      <c r="E331" s="140" t="s">
        <v>475</v>
      </c>
      <c r="F331" s="142" t="s">
        <v>920</v>
      </c>
      <c r="G331" s="142" t="s">
        <v>921</v>
      </c>
      <c r="H331" s="140" t="s">
        <v>60</v>
      </c>
      <c r="I331" s="142" t="s">
        <v>61</v>
      </c>
      <c r="J331" s="157">
        <v>1000</v>
      </c>
      <c r="K331" s="143">
        <v>11.5</v>
      </c>
      <c r="L331" s="143">
        <f>J331*K331</f>
        <v>11500</v>
      </c>
      <c r="M331" s="143">
        <v>0</v>
      </c>
      <c r="N331" s="141">
        <v>45761</v>
      </c>
      <c r="O331" s="157">
        <f>WEEKNUM(N331)</f>
        <v>16</v>
      </c>
      <c r="P331" s="140"/>
      <c r="Q331" s="140" t="s">
        <v>29</v>
      </c>
      <c r="R331" s="143">
        <f>J331*0.25</f>
        <v>250</v>
      </c>
      <c r="S331" s="143">
        <f>J331*1</f>
        <v>1000</v>
      </c>
      <c r="T331" s="143">
        <f>J331*1.75</f>
        <v>1750</v>
      </c>
      <c r="U331" s="143">
        <f>J331*0.5</f>
        <v>500</v>
      </c>
      <c r="V331" s="143">
        <f>R331+S331+T331+U331</f>
        <v>3500</v>
      </c>
    </row>
    <row r="332" spans="1:22" s="128" customFormat="1" ht="15.6" hidden="1" x14ac:dyDescent="0.3">
      <c r="A332" s="142" t="s">
        <v>474</v>
      </c>
      <c r="B332" s="142">
        <v>729</v>
      </c>
      <c r="C332" s="141">
        <v>45729</v>
      </c>
      <c r="D332" s="140">
        <f>WEEKNUM(C332)</f>
        <v>11</v>
      </c>
      <c r="E332" s="140" t="s">
        <v>475</v>
      </c>
      <c r="F332" s="142" t="s">
        <v>978</v>
      </c>
      <c r="G332" s="142" t="s">
        <v>506</v>
      </c>
      <c r="H332" s="140" t="s">
        <v>74</v>
      </c>
      <c r="I332" s="142" t="s">
        <v>46</v>
      </c>
      <c r="J332" s="157">
        <v>50</v>
      </c>
      <c r="K332" s="143">
        <v>26</v>
      </c>
      <c r="L332" s="143">
        <f>J332*K332</f>
        <v>1300</v>
      </c>
      <c r="M332" s="143">
        <v>0</v>
      </c>
      <c r="N332" s="141">
        <v>45759</v>
      </c>
      <c r="O332" s="157">
        <f>WEEKNUM(N332)</f>
        <v>15</v>
      </c>
      <c r="P332" s="140"/>
      <c r="Q332" s="140" t="s">
        <v>29</v>
      </c>
      <c r="R332" s="143">
        <f>J332*0.25</f>
        <v>12.5</v>
      </c>
      <c r="S332" s="143">
        <f>J332*1</f>
        <v>50</v>
      </c>
      <c r="T332" s="143">
        <f>J332*1.5</f>
        <v>75</v>
      </c>
      <c r="U332" s="143">
        <f>J332*0.5</f>
        <v>25</v>
      </c>
      <c r="V332" s="143">
        <f>R332+S332+T332+U332</f>
        <v>162.5</v>
      </c>
    </row>
    <row r="333" spans="1:22" s="128" customFormat="1" ht="15.6" hidden="1" x14ac:dyDescent="0.3">
      <c r="A333" s="142" t="s">
        <v>474</v>
      </c>
      <c r="B333" s="142">
        <v>729</v>
      </c>
      <c r="C333" s="141">
        <v>45729</v>
      </c>
      <c r="D333" s="140">
        <f>WEEKNUM(C333)</f>
        <v>11</v>
      </c>
      <c r="E333" s="140" t="s">
        <v>475</v>
      </c>
      <c r="F333" s="142" t="s">
        <v>978</v>
      </c>
      <c r="G333" s="142" t="s">
        <v>931</v>
      </c>
      <c r="H333" s="140" t="s">
        <v>354</v>
      </c>
      <c r="I333" s="142" t="s">
        <v>46</v>
      </c>
      <c r="J333" s="157">
        <v>100</v>
      </c>
      <c r="K333" s="143">
        <v>26</v>
      </c>
      <c r="L333" s="143">
        <f>J333*K333</f>
        <v>2600</v>
      </c>
      <c r="M333" s="143">
        <v>0</v>
      </c>
      <c r="N333" s="141">
        <v>45759</v>
      </c>
      <c r="O333" s="157">
        <f>WEEKNUM(N333)</f>
        <v>15</v>
      </c>
      <c r="P333" s="140"/>
      <c r="Q333" s="140" t="s">
        <v>29</v>
      </c>
      <c r="R333" s="143">
        <f>J333*0.25</f>
        <v>25</v>
      </c>
      <c r="S333" s="143">
        <f>J333*2.3</f>
        <v>229.99999999999997</v>
      </c>
      <c r="T333" s="143">
        <f>J333*1.5</f>
        <v>150</v>
      </c>
      <c r="U333" s="143">
        <f>J333*0.5</f>
        <v>50</v>
      </c>
      <c r="V333" s="143">
        <f>R333+S333+T333+U333</f>
        <v>455</v>
      </c>
    </row>
    <row r="334" spans="1:22" s="128" customFormat="1" ht="15.6" hidden="1" x14ac:dyDescent="0.3">
      <c r="A334" s="142" t="s">
        <v>474</v>
      </c>
      <c r="B334" s="142">
        <v>733</v>
      </c>
      <c r="C334" s="141">
        <v>45730</v>
      </c>
      <c r="D334" s="140">
        <f>WEEKNUM(C334)</f>
        <v>11</v>
      </c>
      <c r="E334" s="140" t="s">
        <v>475</v>
      </c>
      <c r="F334" s="142" t="s">
        <v>504</v>
      </c>
      <c r="G334" s="142" t="s">
        <v>505</v>
      </c>
      <c r="H334" s="140" t="s">
        <v>78</v>
      </c>
      <c r="I334" s="142" t="s">
        <v>61</v>
      </c>
      <c r="J334" s="157">
        <v>50</v>
      </c>
      <c r="K334" s="143">
        <v>75</v>
      </c>
      <c r="L334" s="143">
        <f>J334*K334</f>
        <v>3750</v>
      </c>
      <c r="M334" s="143">
        <v>0</v>
      </c>
      <c r="N334" s="141">
        <v>45760</v>
      </c>
      <c r="O334" s="157">
        <f>WEEKNUM(N334)</f>
        <v>16</v>
      </c>
      <c r="P334" s="140"/>
      <c r="Q334" s="140" t="s">
        <v>29</v>
      </c>
      <c r="R334" s="143">
        <f>J334*2</f>
        <v>100</v>
      </c>
      <c r="S334" s="143">
        <v>0</v>
      </c>
      <c r="T334" s="143">
        <f>J334*3</f>
        <v>150</v>
      </c>
      <c r="U334" s="143">
        <f>J334*1</f>
        <v>50</v>
      </c>
      <c r="V334" s="143">
        <f>R334+S334+T334+U334</f>
        <v>300</v>
      </c>
    </row>
    <row r="335" spans="1:22" s="128" customFormat="1" ht="15.6" hidden="1" x14ac:dyDescent="0.3">
      <c r="A335" s="142" t="s">
        <v>474</v>
      </c>
      <c r="B335" s="142">
        <v>733</v>
      </c>
      <c r="C335" s="141">
        <v>45730</v>
      </c>
      <c r="D335" s="140">
        <f>WEEKNUM(C335)</f>
        <v>11</v>
      </c>
      <c r="E335" s="140" t="s">
        <v>475</v>
      </c>
      <c r="F335" s="142" t="s">
        <v>504</v>
      </c>
      <c r="G335" s="142" t="s">
        <v>506</v>
      </c>
      <c r="H335" s="140" t="s">
        <v>74</v>
      </c>
      <c r="I335" s="142" t="s">
        <v>46</v>
      </c>
      <c r="J335" s="157">
        <v>100</v>
      </c>
      <c r="K335" s="143">
        <v>26</v>
      </c>
      <c r="L335" s="143">
        <f>J335*K335</f>
        <v>2600</v>
      </c>
      <c r="M335" s="143">
        <v>0</v>
      </c>
      <c r="N335" s="141">
        <v>45760</v>
      </c>
      <c r="O335" s="157">
        <f>WEEKNUM(N335)</f>
        <v>16</v>
      </c>
      <c r="P335" s="140"/>
      <c r="Q335" s="140" t="s">
        <v>29</v>
      </c>
      <c r="R335" s="143">
        <f>J335*1</f>
        <v>100</v>
      </c>
      <c r="S335" s="143">
        <f>J335*2.3</f>
        <v>229.99999999999997</v>
      </c>
      <c r="T335" s="143">
        <f>J335*1.5</f>
        <v>150</v>
      </c>
      <c r="U335" s="143">
        <f>J335*1</f>
        <v>100</v>
      </c>
      <c r="V335" s="143">
        <f>R335+S335+T335+U335</f>
        <v>580</v>
      </c>
    </row>
    <row r="336" spans="1:22" s="128" customFormat="1" ht="15.6" hidden="1" x14ac:dyDescent="0.3">
      <c r="A336" s="142" t="s">
        <v>474</v>
      </c>
      <c r="B336" s="142">
        <v>731</v>
      </c>
      <c r="C336" s="141">
        <v>45730</v>
      </c>
      <c r="D336" s="140">
        <f>WEEKNUM(C336)</f>
        <v>11</v>
      </c>
      <c r="E336" s="158" t="s">
        <v>498</v>
      </c>
      <c r="F336" s="142" t="s">
        <v>924</v>
      </c>
      <c r="G336" s="142" t="s">
        <v>559</v>
      </c>
      <c r="H336" s="142" t="s">
        <v>38</v>
      </c>
      <c r="I336" s="142" t="s">
        <v>46</v>
      </c>
      <c r="J336" s="157">
        <v>60</v>
      </c>
      <c r="K336" s="143">
        <v>48</v>
      </c>
      <c r="L336" s="143">
        <f>J336*K336</f>
        <v>2880</v>
      </c>
      <c r="M336" s="143">
        <v>0</v>
      </c>
      <c r="N336" s="141">
        <v>45760</v>
      </c>
      <c r="O336" s="157">
        <f>WEEKNUM(N336)</f>
        <v>16</v>
      </c>
      <c r="P336" s="140"/>
      <c r="Q336" s="140" t="s">
        <v>29</v>
      </c>
      <c r="R336" s="143">
        <f>J336*0.5</f>
        <v>30</v>
      </c>
      <c r="S336" s="143">
        <f>J336*0.7</f>
        <v>42</v>
      </c>
      <c r="T336" s="143">
        <f>J336*10</f>
        <v>600</v>
      </c>
      <c r="U336" s="143">
        <f>J336*0.5</f>
        <v>30</v>
      </c>
      <c r="V336" s="143">
        <f>R336+S336+T336+U336</f>
        <v>702</v>
      </c>
    </row>
    <row r="337" spans="1:22" s="128" customFormat="1" ht="15.6" hidden="1" x14ac:dyDescent="0.3">
      <c r="A337" s="142" t="s">
        <v>518</v>
      </c>
      <c r="B337" s="142">
        <v>728</v>
      </c>
      <c r="C337" s="141">
        <v>45733</v>
      </c>
      <c r="D337" s="140">
        <f>WEEKNUM(C337)</f>
        <v>12</v>
      </c>
      <c r="E337" s="142" t="s">
        <v>498</v>
      </c>
      <c r="F337" s="142" t="s">
        <v>519</v>
      </c>
      <c r="G337" s="142" t="s">
        <v>520</v>
      </c>
      <c r="H337" s="142" t="s">
        <v>304</v>
      </c>
      <c r="I337" s="142" t="s">
        <v>46</v>
      </c>
      <c r="J337" s="157">
        <v>300</v>
      </c>
      <c r="K337" s="143">
        <v>9.9</v>
      </c>
      <c r="L337" s="143">
        <f>J337*K337</f>
        <v>2970</v>
      </c>
      <c r="M337" s="143">
        <v>0</v>
      </c>
      <c r="N337" s="141">
        <v>45762</v>
      </c>
      <c r="O337" s="157">
        <f>WEEKNUM(N337)</f>
        <v>16</v>
      </c>
      <c r="P337" s="140"/>
      <c r="Q337" s="140" t="s">
        <v>29</v>
      </c>
      <c r="R337" s="143">
        <f>J337*1</f>
        <v>300</v>
      </c>
      <c r="S337" s="143">
        <f>J337*1</f>
        <v>300</v>
      </c>
      <c r="T337" s="143">
        <f>J337*1</f>
        <v>300</v>
      </c>
      <c r="U337" s="143">
        <f>J337*1</f>
        <v>300</v>
      </c>
      <c r="V337" s="143">
        <f>R337+S337+T337+U337</f>
        <v>1200</v>
      </c>
    </row>
    <row r="338" spans="1:22" s="128" customFormat="1" ht="15.6" hidden="1" x14ac:dyDescent="0.3">
      <c r="A338" s="142" t="s">
        <v>474</v>
      </c>
      <c r="B338" s="142">
        <v>741</v>
      </c>
      <c r="C338" s="141">
        <v>45734</v>
      </c>
      <c r="D338" s="140">
        <f>WEEKNUM(C338)</f>
        <v>12</v>
      </c>
      <c r="E338" s="140" t="s">
        <v>475</v>
      </c>
      <c r="F338" s="142" t="s">
        <v>451</v>
      </c>
      <c r="G338" s="142" t="s">
        <v>487</v>
      </c>
      <c r="H338" s="140" t="s">
        <v>51</v>
      </c>
      <c r="I338" s="142" t="s">
        <v>46</v>
      </c>
      <c r="J338" s="157">
        <v>100</v>
      </c>
      <c r="K338" s="143">
        <v>23.5</v>
      </c>
      <c r="L338" s="143">
        <f>J338*K338</f>
        <v>2350</v>
      </c>
      <c r="M338" s="143">
        <v>0</v>
      </c>
      <c r="N338" s="141">
        <v>45763</v>
      </c>
      <c r="O338" s="157">
        <f>WEEKNUM(N338)</f>
        <v>16</v>
      </c>
      <c r="P338" s="140"/>
      <c r="Q338" s="140" t="s">
        <v>29</v>
      </c>
      <c r="R338" s="143">
        <f>J338*0.25</f>
        <v>25</v>
      </c>
      <c r="S338" s="143">
        <f>J338*1</f>
        <v>100</v>
      </c>
      <c r="T338" s="143">
        <f>J338*1.6</f>
        <v>160</v>
      </c>
      <c r="U338" s="143">
        <f>J338*0.5</f>
        <v>50</v>
      </c>
      <c r="V338" s="143">
        <f>R338+S338+T338+U338</f>
        <v>335</v>
      </c>
    </row>
    <row r="339" spans="1:22" s="128" customFormat="1" ht="15.6" hidden="1" x14ac:dyDescent="0.3">
      <c r="A339" s="142" t="s">
        <v>474</v>
      </c>
      <c r="B339" s="142">
        <v>741</v>
      </c>
      <c r="C339" s="141">
        <v>45734</v>
      </c>
      <c r="D339" s="140">
        <f>WEEKNUM(C339)</f>
        <v>12</v>
      </c>
      <c r="E339" s="140" t="s">
        <v>475</v>
      </c>
      <c r="F339" s="142" t="s">
        <v>451</v>
      </c>
      <c r="G339" s="142" t="s">
        <v>844</v>
      </c>
      <c r="H339" s="140" t="s">
        <v>494</v>
      </c>
      <c r="I339" s="142" t="s">
        <v>46</v>
      </c>
      <c r="J339" s="157">
        <v>100</v>
      </c>
      <c r="K339" s="143">
        <v>24.5</v>
      </c>
      <c r="L339" s="143">
        <f>J339*K339</f>
        <v>2450</v>
      </c>
      <c r="M339" s="143">
        <v>0</v>
      </c>
      <c r="N339" s="141">
        <v>45763</v>
      </c>
      <c r="O339" s="157">
        <f>WEEKNUM(N339)</f>
        <v>16</v>
      </c>
      <c r="P339" s="140"/>
      <c r="Q339" s="140" t="s">
        <v>29</v>
      </c>
      <c r="R339" s="143">
        <f>J339*0.25</f>
        <v>25</v>
      </c>
      <c r="S339" s="143">
        <f>J339*0.7</f>
        <v>70</v>
      </c>
      <c r="T339" s="143">
        <f>J339*1</f>
        <v>100</v>
      </c>
      <c r="U339" s="143">
        <f>J339*0.5</f>
        <v>50</v>
      </c>
      <c r="V339" s="143">
        <f>R339+S339+T339+U339</f>
        <v>245</v>
      </c>
    </row>
    <row r="340" spans="1:22" s="128" customFormat="1" ht="15.6" hidden="1" x14ac:dyDescent="0.3">
      <c r="A340" s="142" t="s">
        <v>477</v>
      </c>
      <c r="B340" s="142">
        <v>740</v>
      </c>
      <c r="C340" s="141">
        <v>45735</v>
      </c>
      <c r="D340" s="140">
        <f>WEEKNUM(C340)</f>
        <v>12</v>
      </c>
      <c r="E340" s="142" t="s">
        <v>498</v>
      </c>
      <c r="F340" s="140" t="s">
        <v>637</v>
      </c>
      <c r="G340" s="142" t="s">
        <v>559</v>
      </c>
      <c r="H340" s="142" t="s">
        <v>38</v>
      </c>
      <c r="I340" s="142" t="s">
        <v>46</v>
      </c>
      <c r="J340" s="157">
        <v>60</v>
      </c>
      <c r="K340" s="143">
        <v>40</v>
      </c>
      <c r="L340" s="143">
        <f>J340*K340</f>
        <v>2400</v>
      </c>
      <c r="M340" s="143">
        <v>0</v>
      </c>
      <c r="N340" s="141">
        <v>45763</v>
      </c>
      <c r="O340" s="157">
        <f>WEEKNUM(N340)</f>
        <v>16</v>
      </c>
      <c r="P340" s="140"/>
      <c r="Q340" s="140" t="s">
        <v>29</v>
      </c>
      <c r="R340" s="143">
        <f>J340*0.5</f>
        <v>30</v>
      </c>
      <c r="S340" s="143">
        <f>J340*1</f>
        <v>60</v>
      </c>
      <c r="T340" s="143">
        <f>J340*10</f>
        <v>600</v>
      </c>
      <c r="U340" s="143">
        <f>J340*0.5</f>
        <v>30</v>
      </c>
      <c r="V340" s="143">
        <f>R340+S340+T340+U340</f>
        <v>720</v>
      </c>
    </row>
    <row r="341" spans="1:22" s="128" customFormat="1" ht="15.6" hidden="1" x14ac:dyDescent="0.3">
      <c r="A341" s="142" t="s">
        <v>474</v>
      </c>
      <c r="B341" s="142">
        <v>739</v>
      </c>
      <c r="C341" s="141">
        <v>45735</v>
      </c>
      <c r="D341" s="140">
        <f>WEEKNUM(C341)</f>
        <v>12</v>
      </c>
      <c r="E341" s="140" t="s">
        <v>475</v>
      </c>
      <c r="F341" s="142" t="s">
        <v>888</v>
      </c>
      <c r="G341" s="142" t="s">
        <v>889</v>
      </c>
      <c r="H341" s="140" t="s">
        <v>51</v>
      </c>
      <c r="I341" s="142" t="s">
        <v>61</v>
      </c>
      <c r="J341" s="157">
        <v>100</v>
      </c>
      <c r="K341" s="143">
        <v>60</v>
      </c>
      <c r="L341" s="143">
        <f>J341*K341</f>
        <v>6000</v>
      </c>
      <c r="M341" s="143">
        <v>0</v>
      </c>
      <c r="N341" s="141">
        <v>45763</v>
      </c>
      <c r="O341" s="157">
        <f>WEEKNUM(N341)</f>
        <v>16</v>
      </c>
      <c r="P341" s="140"/>
      <c r="Q341" s="140" t="s">
        <v>29</v>
      </c>
      <c r="R341" s="143">
        <f>J341*1</f>
        <v>100</v>
      </c>
      <c r="S341" s="143">
        <f>J341*2</f>
        <v>200</v>
      </c>
      <c r="T341" s="143">
        <f>J341*5</f>
        <v>500</v>
      </c>
      <c r="U341" s="143">
        <f>J341*1</f>
        <v>100</v>
      </c>
      <c r="V341" s="143">
        <f>R341+S341+T341+U341</f>
        <v>900</v>
      </c>
    </row>
    <row r="342" spans="1:22" s="128" customFormat="1" ht="15.6" hidden="1" x14ac:dyDescent="0.3">
      <c r="A342" s="142" t="s">
        <v>474</v>
      </c>
      <c r="B342" s="142">
        <v>739</v>
      </c>
      <c r="C342" s="141">
        <v>45735</v>
      </c>
      <c r="D342" s="140">
        <f>WEEKNUM(C342)</f>
        <v>12</v>
      </c>
      <c r="E342" s="140" t="s">
        <v>475</v>
      </c>
      <c r="F342" s="142" t="s">
        <v>888</v>
      </c>
      <c r="G342" s="140" t="s">
        <v>480</v>
      </c>
      <c r="H342" s="140" t="s">
        <v>51</v>
      </c>
      <c r="I342" s="142" t="s">
        <v>46</v>
      </c>
      <c r="J342" s="157">
        <v>200</v>
      </c>
      <c r="K342" s="143">
        <v>19.5</v>
      </c>
      <c r="L342" s="143">
        <f>J342*K342</f>
        <v>3900</v>
      </c>
      <c r="M342" s="143">
        <v>0</v>
      </c>
      <c r="N342" s="141">
        <v>45763</v>
      </c>
      <c r="O342" s="157">
        <f>WEEKNUM(N342)</f>
        <v>16</v>
      </c>
      <c r="P342" s="140"/>
      <c r="Q342" s="140" t="s">
        <v>29</v>
      </c>
      <c r="R342" s="143">
        <f>J342*0.25</f>
        <v>50</v>
      </c>
      <c r="S342" s="143">
        <f>J342*1</f>
        <v>200</v>
      </c>
      <c r="T342" s="143">
        <f>J342*1.84</f>
        <v>368</v>
      </c>
      <c r="U342" s="143">
        <f>J342*0.5</f>
        <v>100</v>
      </c>
      <c r="V342" s="143">
        <f>R342+S342+T342+U342</f>
        <v>718</v>
      </c>
    </row>
    <row r="343" spans="1:22" s="128" customFormat="1" ht="15.6" hidden="1" x14ac:dyDescent="0.3">
      <c r="A343" s="142" t="s">
        <v>474</v>
      </c>
      <c r="B343" s="142">
        <v>739</v>
      </c>
      <c r="C343" s="141">
        <v>45735</v>
      </c>
      <c r="D343" s="140">
        <f>WEEKNUM(C343)</f>
        <v>12</v>
      </c>
      <c r="E343" s="140" t="s">
        <v>475</v>
      </c>
      <c r="F343" s="142" t="s">
        <v>888</v>
      </c>
      <c r="G343" s="142" t="s">
        <v>783</v>
      </c>
      <c r="H343" s="140" t="s">
        <v>494</v>
      </c>
      <c r="I343" s="142" t="s">
        <v>46</v>
      </c>
      <c r="J343" s="157">
        <v>200</v>
      </c>
      <c r="K343" s="143">
        <v>26.5</v>
      </c>
      <c r="L343" s="143">
        <f>J343*K343</f>
        <v>5300</v>
      </c>
      <c r="M343" s="143">
        <v>0</v>
      </c>
      <c r="N343" s="141">
        <v>45763</v>
      </c>
      <c r="O343" s="157">
        <f>WEEKNUM(N343)</f>
        <v>16</v>
      </c>
      <c r="P343" s="140"/>
      <c r="Q343" s="140" t="s">
        <v>29</v>
      </c>
      <c r="R343" s="143">
        <f>J343*1</f>
        <v>200</v>
      </c>
      <c r="S343" s="143">
        <f>J343*1</f>
        <v>200</v>
      </c>
      <c r="T343" s="143">
        <f>J343*1</f>
        <v>200</v>
      </c>
      <c r="U343" s="143">
        <f>J343*1</f>
        <v>200</v>
      </c>
      <c r="V343" s="143">
        <f>R343+S343+T343+U343</f>
        <v>800</v>
      </c>
    </row>
    <row r="344" spans="1:22" s="128" customFormat="1" ht="15.6" hidden="1" x14ac:dyDescent="0.3">
      <c r="A344" s="142" t="s">
        <v>491</v>
      </c>
      <c r="B344" s="142">
        <v>1164</v>
      </c>
      <c r="C344" s="141">
        <v>45735</v>
      </c>
      <c r="D344" s="140">
        <f>WEEKNUM(C344)</f>
        <v>12</v>
      </c>
      <c r="E344" s="142" t="s">
        <v>68</v>
      </c>
      <c r="F344" s="142" t="s">
        <v>361</v>
      </c>
      <c r="G344" s="142" t="s">
        <v>505</v>
      </c>
      <c r="H344" s="140" t="s">
        <v>78</v>
      </c>
      <c r="I344" s="142" t="s">
        <v>61</v>
      </c>
      <c r="J344" s="157">
        <v>2</v>
      </c>
      <c r="K344" s="143">
        <v>75</v>
      </c>
      <c r="L344" s="143">
        <f>J344*K344</f>
        <v>150</v>
      </c>
      <c r="M344" s="143">
        <v>0</v>
      </c>
      <c r="N344" s="141">
        <v>45737</v>
      </c>
      <c r="O344" s="157">
        <f>WEEKNUM(N344)</f>
        <v>12</v>
      </c>
      <c r="P344" s="140"/>
      <c r="Q344" s="140" t="s">
        <v>29</v>
      </c>
      <c r="R344" s="143">
        <f>PRODUCT(0.25,J344)</f>
        <v>0.5</v>
      </c>
      <c r="S344" s="143">
        <f>PRODUCT(0,J344)</f>
        <v>0</v>
      </c>
      <c r="T344" s="143">
        <f>PRODUCT(3,J344)</f>
        <v>6</v>
      </c>
      <c r="U344" s="143">
        <f>PRODUCT(0.5,J344)</f>
        <v>1</v>
      </c>
      <c r="V344" s="143">
        <f>SUM(R344:U344)</f>
        <v>7.5</v>
      </c>
    </row>
    <row r="345" spans="1:22" s="128" customFormat="1" ht="15.6" hidden="1" x14ac:dyDescent="0.3">
      <c r="A345" s="142" t="s">
        <v>491</v>
      </c>
      <c r="B345" s="142">
        <v>1164</v>
      </c>
      <c r="C345" s="141">
        <v>45735</v>
      </c>
      <c r="D345" s="140">
        <f>WEEKNUM(C345)</f>
        <v>12</v>
      </c>
      <c r="E345" s="142" t="s">
        <v>68</v>
      </c>
      <c r="F345" s="142" t="s">
        <v>361</v>
      </c>
      <c r="G345" s="140" t="s">
        <v>508</v>
      </c>
      <c r="H345" s="140" t="s">
        <v>78</v>
      </c>
      <c r="I345" s="142" t="s">
        <v>46</v>
      </c>
      <c r="J345" s="157">
        <v>6</v>
      </c>
      <c r="K345" s="143">
        <v>85</v>
      </c>
      <c r="L345" s="143">
        <f>J345*K345</f>
        <v>510</v>
      </c>
      <c r="M345" s="143">
        <v>0</v>
      </c>
      <c r="N345" s="141">
        <v>45737</v>
      </c>
      <c r="O345" s="157">
        <f>WEEKNUM(N345)</f>
        <v>12</v>
      </c>
      <c r="P345" s="140"/>
      <c r="Q345" s="140" t="s">
        <v>29</v>
      </c>
      <c r="R345" s="143">
        <f>PRODUCT(0.25,J345)</f>
        <v>1.5</v>
      </c>
      <c r="S345" s="143">
        <f>PRODUCT(0,J345)</f>
        <v>0</v>
      </c>
      <c r="T345" s="143">
        <f>PRODUCT(3,J345)</f>
        <v>18</v>
      </c>
      <c r="U345" s="143">
        <f>PRODUCT(0.5,J345)</f>
        <v>3</v>
      </c>
      <c r="V345" s="143">
        <f>SUM(R345:U345)</f>
        <v>22.5</v>
      </c>
    </row>
    <row r="346" spans="1:22" s="128" customFormat="1" ht="15.6" hidden="1" x14ac:dyDescent="0.3">
      <c r="A346" s="142" t="s">
        <v>491</v>
      </c>
      <c r="B346" s="142">
        <v>1164</v>
      </c>
      <c r="C346" s="141">
        <v>45735</v>
      </c>
      <c r="D346" s="140">
        <f>WEEKNUM(C346)</f>
        <v>12</v>
      </c>
      <c r="E346" s="142" t="s">
        <v>68</v>
      </c>
      <c r="F346" s="142" t="s">
        <v>361</v>
      </c>
      <c r="G346" s="142" t="s">
        <v>408</v>
      </c>
      <c r="H346" s="140" t="s">
        <v>80</v>
      </c>
      <c r="I346" s="142" t="s">
        <v>46</v>
      </c>
      <c r="J346" s="157">
        <v>5</v>
      </c>
      <c r="K346" s="143">
        <v>21</v>
      </c>
      <c r="L346" s="143">
        <f>J346*K346</f>
        <v>105</v>
      </c>
      <c r="M346" s="143">
        <v>0</v>
      </c>
      <c r="N346" s="141">
        <v>45737</v>
      </c>
      <c r="O346" s="157">
        <f>WEEKNUM(N346)</f>
        <v>12</v>
      </c>
      <c r="P346" s="140"/>
      <c r="Q346" s="140" t="s">
        <v>29</v>
      </c>
      <c r="R346" s="156">
        <f>J346*0.25</f>
        <v>1.25</v>
      </c>
      <c r="S346" s="156">
        <f>J346*1</f>
        <v>5</v>
      </c>
      <c r="T346" s="156">
        <f>J346*1.2</f>
        <v>6</v>
      </c>
      <c r="U346" s="156">
        <f>J346*0.5</f>
        <v>2.5</v>
      </c>
      <c r="V346" s="156">
        <f>R346+S346+T346+U346</f>
        <v>14.75</v>
      </c>
    </row>
    <row r="347" spans="1:22" s="128" customFormat="1" ht="15.6" hidden="1" x14ac:dyDescent="0.3">
      <c r="A347" s="142" t="s">
        <v>491</v>
      </c>
      <c r="B347" s="142">
        <v>1164</v>
      </c>
      <c r="C347" s="141">
        <v>45735</v>
      </c>
      <c r="D347" s="140">
        <f>WEEKNUM(C347)</f>
        <v>12</v>
      </c>
      <c r="E347" s="142" t="s">
        <v>68</v>
      </c>
      <c r="F347" s="142" t="s">
        <v>361</v>
      </c>
      <c r="G347" s="142" t="s">
        <v>311</v>
      </c>
      <c r="H347" s="140" t="s">
        <v>51</v>
      </c>
      <c r="I347" s="142" t="s">
        <v>46</v>
      </c>
      <c r="J347" s="157">
        <v>7</v>
      </c>
      <c r="K347" s="143">
        <v>25</v>
      </c>
      <c r="L347" s="143">
        <f>J347*K347</f>
        <v>175</v>
      </c>
      <c r="M347" s="143">
        <v>0</v>
      </c>
      <c r="N347" s="141">
        <v>45737</v>
      </c>
      <c r="O347" s="157">
        <f>WEEKNUM(N347)</f>
        <v>12</v>
      </c>
      <c r="P347" s="140"/>
      <c r="Q347" s="140" t="s">
        <v>29</v>
      </c>
      <c r="R347" s="143">
        <f>PRODUCT(0.25,J347)</f>
        <v>1.75</v>
      </c>
      <c r="S347" s="143">
        <f>PRODUCT(0.7,J347)</f>
        <v>4.8999999999999995</v>
      </c>
      <c r="T347" s="143">
        <f>PRODUCT(1.84,J347)</f>
        <v>12.88</v>
      </c>
      <c r="U347" s="143">
        <f>PRODUCT(0.5,J347)</f>
        <v>3.5</v>
      </c>
      <c r="V347" s="143">
        <f>SUM(R347:U347)</f>
        <v>23.03</v>
      </c>
    </row>
    <row r="348" spans="1:22" s="128" customFormat="1" ht="15.6" hidden="1" x14ac:dyDescent="0.3">
      <c r="A348" s="142" t="s">
        <v>491</v>
      </c>
      <c r="B348" s="142">
        <v>1164</v>
      </c>
      <c r="C348" s="141">
        <v>45735</v>
      </c>
      <c r="D348" s="140">
        <f>WEEKNUM(C348)</f>
        <v>12</v>
      </c>
      <c r="E348" s="142" t="s">
        <v>68</v>
      </c>
      <c r="F348" s="142" t="s">
        <v>361</v>
      </c>
      <c r="G348" s="142" t="s">
        <v>301</v>
      </c>
      <c r="H348" s="140" t="s">
        <v>74</v>
      </c>
      <c r="I348" s="142" t="s">
        <v>46</v>
      </c>
      <c r="J348" s="157">
        <v>16</v>
      </c>
      <c r="K348" s="143">
        <v>36.75</v>
      </c>
      <c r="L348" s="143">
        <f>J348*K348</f>
        <v>588</v>
      </c>
      <c r="M348" s="143">
        <v>0</v>
      </c>
      <c r="N348" s="141">
        <v>45737</v>
      </c>
      <c r="O348" s="157">
        <f>WEEKNUM(N348)</f>
        <v>12</v>
      </c>
      <c r="P348" s="140"/>
      <c r="Q348" s="140" t="s">
        <v>29</v>
      </c>
      <c r="R348" s="143">
        <f>PRODUCT(0.25,J348)</f>
        <v>4</v>
      </c>
      <c r="S348" s="143">
        <f>PRODUCT(1.5,J348)</f>
        <v>24</v>
      </c>
      <c r="T348" s="143">
        <f>PRODUCT(1.5,J348)</f>
        <v>24</v>
      </c>
      <c r="U348" s="143">
        <f>J348*0.5</f>
        <v>8</v>
      </c>
      <c r="V348" s="143">
        <f>SUM(R348:U348)</f>
        <v>60</v>
      </c>
    </row>
    <row r="349" spans="1:22" s="128" customFormat="1" ht="15.6" hidden="1" x14ac:dyDescent="0.3">
      <c r="A349" s="142" t="s">
        <v>474</v>
      </c>
      <c r="B349" s="142">
        <v>1165</v>
      </c>
      <c r="C349" s="141">
        <v>45735</v>
      </c>
      <c r="D349" s="140">
        <f>WEEKNUM(C349)</f>
        <v>12</v>
      </c>
      <c r="E349" s="140" t="s">
        <v>475</v>
      </c>
      <c r="F349" s="142" t="s">
        <v>959</v>
      </c>
      <c r="G349" s="142" t="s">
        <v>871</v>
      </c>
      <c r="H349" s="140" t="s">
        <v>51</v>
      </c>
      <c r="I349" s="142" t="s">
        <v>61</v>
      </c>
      <c r="J349" s="157">
        <v>100</v>
      </c>
      <c r="K349" s="143">
        <v>67</v>
      </c>
      <c r="L349" s="143">
        <f>J349*K349</f>
        <v>6700</v>
      </c>
      <c r="M349" s="143">
        <v>0</v>
      </c>
      <c r="N349" s="141">
        <v>45763</v>
      </c>
      <c r="O349" s="157">
        <f>WEEKNUM(N349)</f>
        <v>16</v>
      </c>
      <c r="P349" s="140"/>
      <c r="Q349" s="140" t="s">
        <v>29</v>
      </c>
      <c r="R349" s="143">
        <f>J349*1</f>
        <v>100</v>
      </c>
      <c r="S349" s="143">
        <f>J349*2</f>
        <v>200</v>
      </c>
      <c r="T349" s="143">
        <f>J349*5</f>
        <v>500</v>
      </c>
      <c r="U349" s="143">
        <f>J349*1</f>
        <v>100</v>
      </c>
      <c r="V349" s="143">
        <f>R349+S349+T349+U349</f>
        <v>900</v>
      </c>
    </row>
    <row r="350" spans="1:22" s="128" customFormat="1" ht="15.6" hidden="1" x14ac:dyDescent="0.3">
      <c r="A350" s="142" t="s">
        <v>474</v>
      </c>
      <c r="B350" s="142">
        <v>1167</v>
      </c>
      <c r="C350" s="141">
        <v>45736</v>
      </c>
      <c r="D350" s="140">
        <f>WEEKNUM(C350)</f>
        <v>12</v>
      </c>
      <c r="E350" s="140" t="s">
        <v>475</v>
      </c>
      <c r="F350" s="142" t="s">
        <v>794</v>
      </c>
      <c r="G350" s="142" t="s">
        <v>575</v>
      </c>
      <c r="H350" s="140" t="s">
        <v>51</v>
      </c>
      <c r="I350" s="142" t="s">
        <v>46</v>
      </c>
      <c r="J350" s="157">
        <v>1410</v>
      </c>
      <c r="K350" s="143">
        <v>20.5</v>
      </c>
      <c r="L350" s="143">
        <f>J350*K350</f>
        <v>28905</v>
      </c>
      <c r="M350" s="143">
        <v>0</v>
      </c>
      <c r="N350" s="141">
        <v>45763</v>
      </c>
      <c r="O350" s="157">
        <f>WEEKNUM(N350)</f>
        <v>16</v>
      </c>
      <c r="P350" s="140"/>
      <c r="Q350" s="140" t="s">
        <v>29</v>
      </c>
      <c r="R350" s="143">
        <f>J350*1</f>
        <v>1410</v>
      </c>
      <c r="S350" s="143">
        <f>J350*0.5</f>
        <v>705</v>
      </c>
      <c r="T350" s="143">
        <f>J350*1.3</f>
        <v>1833</v>
      </c>
      <c r="U350" s="143">
        <f>J350*1</f>
        <v>1410</v>
      </c>
      <c r="V350" s="143">
        <f>R350+S350+T350+U350</f>
        <v>5358</v>
      </c>
    </row>
    <row r="351" spans="1:22" s="128" customFormat="1" ht="15.6" hidden="1" x14ac:dyDescent="0.3">
      <c r="A351" s="142" t="s">
        <v>474</v>
      </c>
      <c r="B351" s="142">
        <v>1167</v>
      </c>
      <c r="C351" s="141">
        <v>45736</v>
      </c>
      <c r="D351" s="140">
        <f>WEEKNUM(C351)</f>
        <v>12</v>
      </c>
      <c r="E351" s="140" t="s">
        <v>475</v>
      </c>
      <c r="F351" s="142" t="s">
        <v>794</v>
      </c>
      <c r="G351" s="142" t="s">
        <v>495</v>
      </c>
      <c r="H351" s="140" t="s">
        <v>494</v>
      </c>
      <c r="I351" s="142" t="s">
        <v>46</v>
      </c>
      <c r="J351" s="157">
        <v>630</v>
      </c>
      <c r="K351" s="143">
        <v>25.5</v>
      </c>
      <c r="L351" s="143">
        <f>J351*K351</f>
        <v>16065</v>
      </c>
      <c r="M351" s="143">
        <v>0</v>
      </c>
      <c r="N351" s="141">
        <v>45763</v>
      </c>
      <c r="O351" s="157">
        <f>WEEKNUM(N351)</f>
        <v>16</v>
      </c>
      <c r="P351" s="140"/>
      <c r="Q351" s="140" t="s">
        <v>29</v>
      </c>
      <c r="R351" s="143">
        <f>J351*0.25</f>
        <v>157.5</v>
      </c>
      <c r="S351" s="143">
        <f>J351*1</f>
        <v>630</v>
      </c>
      <c r="T351" s="143">
        <f>J351*1.5</f>
        <v>945</v>
      </c>
      <c r="U351" s="143">
        <f>J351*0.5</f>
        <v>315</v>
      </c>
      <c r="V351" s="143">
        <f>R351+S351+T351+U351</f>
        <v>2047.5</v>
      </c>
    </row>
    <row r="352" spans="1:22" s="128" customFormat="1" ht="15.6" hidden="1" x14ac:dyDescent="0.3">
      <c r="A352" s="142" t="s">
        <v>474</v>
      </c>
      <c r="B352" s="142">
        <v>1167</v>
      </c>
      <c r="C352" s="141">
        <v>45736</v>
      </c>
      <c r="D352" s="140">
        <f>WEEKNUM(C352)</f>
        <v>12</v>
      </c>
      <c r="E352" s="140" t="s">
        <v>475</v>
      </c>
      <c r="F352" s="142" t="s">
        <v>794</v>
      </c>
      <c r="G352" s="142" t="s">
        <v>795</v>
      </c>
      <c r="H352" s="140" t="s">
        <v>494</v>
      </c>
      <c r="I352" s="142" t="s">
        <v>46</v>
      </c>
      <c r="J352" s="157">
        <v>6</v>
      </c>
      <c r="K352" s="143">
        <v>80</v>
      </c>
      <c r="L352" s="143">
        <f>J352*K352</f>
        <v>480</v>
      </c>
      <c r="M352" s="143">
        <v>0</v>
      </c>
      <c r="N352" s="141">
        <v>45763</v>
      </c>
      <c r="O352" s="157">
        <f>WEEKNUM(N352)</f>
        <v>16</v>
      </c>
      <c r="P352" s="140"/>
      <c r="Q352" s="140" t="s">
        <v>29</v>
      </c>
      <c r="R352" s="143">
        <f>J352*0.25</f>
        <v>1.5</v>
      </c>
      <c r="S352" s="143">
        <f>J352*1</f>
        <v>6</v>
      </c>
      <c r="T352" s="143">
        <f>J352*1.5</f>
        <v>9</v>
      </c>
      <c r="U352" s="143">
        <f>J352*0.5</f>
        <v>3</v>
      </c>
      <c r="V352" s="143">
        <f>R352+S352+T352+U352</f>
        <v>19.5</v>
      </c>
    </row>
    <row r="353" spans="1:22" s="128" customFormat="1" ht="15.6" hidden="1" x14ac:dyDescent="0.3">
      <c r="A353" s="142" t="s">
        <v>474</v>
      </c>
      <c r="B353" s="142">
        <v>742</v>
      </c>
      <c r="C353" s="141">
        <v>45736</v>
      </c>
      <c r="D353" s="140">
        <f>WEEKNUM(C353)</f>
        <v>12</v>
      </c>
      <c r="E353" s="140" t="s">
        <v>475</v>
      </c>
      <c r="F353" s="142" t="s">
        <v>798</v>
      </c>
      <c r="G353" s="142" t="s">
        <v>799</v>
      </c>
      <c r="H353" s="140" t="s">
        <v>494</v>
      </c>
      <c r="I353" s="142" t="s">
        <v>46</v>
      </c>
      <c r="J353" s="157">
        <v>50</v>
      </c>
      <c r="K353" s="143">
        <v>20</v>
      </c>
      <c r="L353" s="143">
        <f>J353*K353</f>
        <v>1000</v>
      </c>
      <c r="M353" s="143">
        <v>0</v>
      </c>
      <c r="N353" s="141">
        <v>45763</v>
      </c>
      <c r="O353" s="157">
        <f>WEEKNUM(N353)</f>
        <v>16</v>
      </c>
      <c r="P353" s="140"/>
      <c r="Q353" s="140" t="s">
        <v>29</v>
      </c>
      <c r="R353" s="143">
        <f>J353*0.25</f>
        <v>12.5</v>
      </c>
      <c r="S353" s="143">
        <f>J353*0.7</f>
        <v>35</v>
      </c>
      <c r="T353" s="143">
        <f>J353*1</f>
        <v>50</v>
      </c>
      <c r="U353" s="143">
        <f>J353*0.5</f>
        <v>25</v>
      </c>
      <c r="V353" s="143">
        <f>R353+S353+T353+U353</f>
        <v>122.5</v>
      </c>
    </row>
    <row r="354" spans="1:22" s="128" customFormat="1" ht="15.6" hidden="1" x14ac:dyDescent="0.3">
      <c r="A354" s="142" t="s">
        <v>474</v>
      </c>
      <c r="B354" s="142">
        <v>742</v>
      </c>
      <c r="C354" s="141">
        <v>45736</v>
      </c>
      <c r="D354" s="140">
        <f>WEEKNUM(C354)</f>
        <v>12</v>
      </c>
      <c r="E354" s="140" t="s">
        <v>475</v>
      </c>
      <c r="F354" s="142" t="s">
        <v>798</v>
      </c>
      <c r="G354" s="142" t="s">
        <v>311</v>
      </c>
      <c r="H354" s="140" t="s">
        <v>51</v>
      </c>
      <c r="I354" s="142" t="s">
        <v>46</v>
      </c>
      <c r="J354" s="157">
        <v>50</v>
      </c>
      <c r="K354" s="143">
        <v>20</v>
      </c>
      <c r="L354" s="143">
        <f>J354*K354</f>
        <v>1000</v>
      </c>
      <c r="M354" s="143">
        <v>0</v>
      </c>
      <c r="N354" s="141">
        <v>45763</v>
      </c>
      <c r="O354" s="157">
        <f>WEEKNUM(N354)</f>
        <v>16</v>
      </c>
      <c r="P354" s="140"/>
      <c r="Q354" s="140" t="s">
        <v>29</v>
      </c>
      <c r="R354" s="143">
        <f>J354*0.25</f>
        <v>12.5</v>
      </c>
      <c r="S354" s="143">
        <f>J354*1</f>
        <v>50</v>
      </c>
      <c r="T354" s="143">
        <f>J354*1.5</f>
        <v>75</v>
      </c>
      <c r="U354" s="143">
        <f>J354*0.5</f>
        <v>25</v>
      </c>
      <c r="V354" s="143">
        <f>R354+S354+T354+U354</f>
        <v>162.5</v>
      </c>
    </row>
    <row r="355" spans="1:22" s="128" customFormat="1" ht="15.6" hidden="1" x14ac:dyDescent="0.3">
      <c r="A355" s="142" t="s">
        <v>477</v>
      </c>
      <c r="B355" s="142">
        <v>1166</v>
      </c>
      <c r="C355" s="141">
        <v>45736</v>
      </c>
      <c r="D355" s="140">
        <f>WEEKNUM(C355)</f>
        <v>12</v>
      </c>
      <c r="E355" s="158" t="s">
        <v>498</v>
      </c>
      <c r="F355" s="142" t="s">
        <v>952</v>
      </c>
      <c r="G355" s="142" t="s">
        <v>487</v>
      </c>
      <c r="H355" s="140" t="s">
        <v>51</v>
      </c>
      <c r="I355" s="142" t="s">
        <v>46</v>
      </c>
      <c r="J355" s="157">
        <v>300</v>
      </c>
      <c r="K355" s="143">
        <v>22.5</v>
      </c>
      <c r="L355" s="143">
        <f>J355*K355</f>
        <v>6750</v>
      </c>
      <c r="M355" s="143">
        <v>0</v>
      </c>
      <c r="N355" s="141">
        <v>45764</v>
      </c>
      <c r="O355" s="157">
        <f>WEEKNUM(N355)</f>
        <v>16</v>
      </c>
      <c r="P355" s="140"/>
      <c r="Q355" s="140" t="s">
        <v>29</v>
      </c>
      <c r="R355" s="143">
        <f>J355*0.25</f>
        <v>75</v>
      </c>
      <c r="S355" s="143">
        <f>J355*1</f>
        <v>300</v>
      </c>
      <c r="T355" s="143">
        <f>J355*1.84</f>
        <v>552</v>
      </c>
      <c r="U355" s="143">
        <f>J355*0.5</f>
        <v>150</v>
      </c>
      <c r="V355" s="143">
        <f>R355+S355+T355+U355</f>
        <v>1077</v>
      </c>
    </row>
    <row r="356" spans="1:22" s="128" customFormat="1" ht="15.6" hidden="1" x14ac:dyDescent="0.3">
      <c r="A356" s="142" t="s">
        <v>474</v>
      </c>
      <c r="B356" s="142">
        <v>743</v>
      </c>
      <c r="C356" s="141">
        <v>45737</v>
      </c>
      <c r="D356" s="140">
        <f>WEEKNUM(C356)</f>
        <v>12</v>
      </c>
      <c r="E356" s="140" t="s">
        <v>475</v>
      </c>
      <c r="F356" s="142" t="s">
        <v>719</v>
      </c>
      <c r="G356" s="142" t="s">
        <v>720</v>
      </c>
      <c r="H356" s="142" t="s">
        <v>304</v>
      </c>
      <c r="I356" s="142" t="s">
        <v>46</v>
      </c>
      <c r="J356" s="157">
        <v>50</v>
      </c>
      <c r="K356" s="143">
        <v>15</v>
      </c>
      <c r="L356" s="143">
        <f>J356*K356</f>
        <v>750</v>
      </c>
      <c r="M356" s="143">
        <v>0</v>
      </c>
      <c r="N356" s="141">
        <v>45763</v>
      </c>
      <c r="O356" s="157">
        <f>WEEKNUM(N356)</f>
        <v>16</v>
      </c>
      <c r="P356" s="140"/>
      <c r="Q356" s="140" t="s">
        <v>29</v>
      </c>
      <c r="R356" s="143">
        <f>PRODUCT(0.25,J356)</f>
        <v>12.5</v>
      </c>
      <c r="S356" s="143">
        <f>PRODUCT(0.7,J356)</f>
        <v>35</v>
      </c>
      <c r="T356" s="143">
        <f>PRODUCT(1,J356)</f>
        <v>50</v>
      </c>
      <c r="U356" s="143">
        <f>PRODUCT(0.5,J356)</f>
        <v>25</v>
      </c>
      <c r="V356" s="143">
        <f>SUM(R356:U356)</f>
        <v>122.5</v>
      </c>
    </row>
    <row r="357" spans="1:22" s="128" customFormat="1" ht="15.6" hidden="1" x14ac:dyDescent="0.3">
      <c r="A357" s="142" t="s">
        <v>474</v>
      </c>
      <c r="B357" s="142">
        <v>1170</v>
      </c>
      <c r="C357" s="141">
        <v>45740</v>
      </c>
      <c r="D357" s="140">
        <f>WEEKNUM(C357)</f>
        <v>13</v>
      </c>
      <c r="E357" s="140" t="s">
        <v>475</v>
      </c>
      <c r="F357" s="142" t="s">
        <v>870</v>
      </c>
      <c r="G357" s="142" t="s">
        <v>871</v>
      </c>
      <c r="H357" s="140" t="s">
        <v>51</v>
      </c>
      <c r="I357" s="142" t="s">
        <v>61</v>
      </c>
      <c r="J357" s="157">
        <v>150</v>
      </c>
      <c r="K357" s="143">
        <v>52</v>
      </c>
      <c r="L357" s="143">
        <f>J357*K357</f>
        <v>7800</v>
      </c>
      <c r="M357" s="143">
        <v>0</v>
      </c>
      <c r="N357" s="141">
        <v>45767</v>
      </c>
      <c r="O357" s="157">
        <f>WEEKNUM(N357)</f>
        <v>17</v>
      </c>
      <c r="P357" s="140"/>
      <c r="Q357" s="140" t="s">
        <v>29</v>
      </c>
      <c r="R357" s="143">
        <f>J357*1</f>
        <v>150</v>
      </c>
      <c r="S357" s="143">
        <f>J357*2</f>
        <v>300</v>
      </c>
      <c r="T357" s="143">
        <f>J357*5</f>
        <v>750</v>
      </c>
      <c r="U357" s="143">
        <f>J357*1</f>
        <v>150</v>
      </c>
      <c r="V357" s="143">
        <f>R357+S357+T357+U357</f>
        <v>1350</v>
      </c>
    </row>
    <row r="358" spans="1:22" s="128" customFormat="1" ht="15.6" hidden="1" x14ac:dyDescent="0.3">
      <c r="A358" s="142" t="s">
        <v>474</v>
      </c>
      <c r="B358" s="142">
        <v>1170</v>
      </c>
      <c r="C358" s="141">
        <v>45740</v>
      </c>
      <c r="D358" s="140">
        <f>WEEKNUM(C358)</f>
        <v>13</v>
      </c>
      <c r="E358" s="140" t="s">
        <v>475</v>
      </c>
      <c r="F358" s="142" t="s">
        <v>870</v>
      </c>
      <c r="G358" s="142" t="s">
        <v>311</v>
      </c>
      <c r="H358" s="140" t="s">
        <v>51</v>
      </c>
      <c r="I358" s="142" t="s">
        <v>46</v>
      </c>
      <c r="J358" s="157">
        <v>100</v>
      </c>
      <c r="K358" s="143">
        <v>15.5</v>
      </c>
      <c r="L358" s="143">
        <f>J358*K358</f>
        <v>1550</v>
      </c>
      <c r="M358" s="143">
        <v>0</v>
      </c>
      <c r="N358" s="141">
        <v>45767</v>
      </c>
      <c r="O358" s="157">
        <f>WEEKNUM(N358)</f>
        <v>17</v>
      </c>
      <c r="P358" s="140"/>
      <c r="Q358" s="140" t="s">
        <v>29</v>
      </c>
      <c r="R358" s="143">
        <f>J358*0.25</f>
        <v>25</v>
      </c>
      <c r="S358" s="143">
        <f>J358*1</f>
        <v>100</v>
      </c>
      <c r="T358" s="143">
        <f>J358*1.5</f>
        <v>150</v>
      </c>
      <c r="U358" s="143">
        <f>J358*0.5</f>
        <v>50</v>
      </c>
      <c r="V358" s="143">
        <f>R358+S358+T358+U358</f>
        <v>325</v>
      </c>
    </row>
    <row r="359" spans="1:22" s="128" customFormat="1" ht="15.6" hidden="1" x14ac:dyDescent="0.3">
      <c r="A359" s="142" t="s">
        <v>477</v>
      </c>
      <c r="B359" s="142">
        <v>746</v>
      </c>
      <c r="C359" s="141">
        <v>45742</v>
      </c>
      <c r="D359" s="140">
        <f>WEEKNUM(C359)</f>
        <v>13</v>
      </c>
      <c r="E359" s="140" t="s">
        <v>475</v>
      </c>
      <c r="F359" s="142" t="s">
        <v>687</v>
      </c>
      <c r="G359" s="142" t="s">
        <v>688</v>
      </c>
      <c r="H359" s="140" t="s">
        <v>51</v>
      </c>
      <c r="I359" s="142" t="s">
        <v>61</v>
      </c>
      <c r="J359" s="157">
        <v>50</v>
      </c>
      <c r="K359" s="143">
        <v>45</v>
      </c>
      <c r="L359" s="143">
        <f>J359*K359</f>
        <v>2250</v>
      </c>
      <c r="M359" s="143">
        <v>0</v>
      </c>
      <c r="N359" s="141">
        <v>45762</v>
      </c>
      <c r="O359" s="157">
        <f>WEEKNUM(N359)</f>
        <v>16</v>
      </c>
      <c r="P359" s="140"/>
      <c r="Q359" s="140" t="s">
        <v>29</v>
      </c>
      <c r="R359" s="143">
        <f>J359*1</f>
        <v>50</v>
      </c>
      <c r="S359" s="143">
        <f>J359*1</f>
        <v>50</v>
      </c>
      <c r="T359" s="143">
        <f>J359*3</f>
        <v>150</v>
      </c>
      <c r="U359" s="143">
        <f>J359*1</f>
        <v>50</v>
      </c>
      <c r="V359" s="143">
        <f>R359+S359+T359+U359</f>
        <v>300</v>
      </c>
    </row>
    <row r="360" spans="1:22" s="128" customFormat="1" ht="15.6" hidden="1" x14ac:dyDescent="0.3">
      <c r="A360" s="142" t="s">
        <v>474</v>
      </c>
      <c r="B360" s="142">
        <v>749</v>
      </c>
      <c r="C360" s="141">
        <v>45742</v>
      </c>
      <c r="D360" s="140">
        <f>WEEKNUM(C360)</f>
        <v>13</v>
      </c>
      <c r="E360" s="158" t="s">
        <v>498</v>
      </c>
      <c r="F360" s="142" t="s">
        <v>753</v>
      </c>
      <c r="G360" s="142" t="s">
        <v>487</v>
      </c>
      <c r="H360" s="140" t="s">
        <v>51</v>
      </c>
      <c r="I360" s="142" t="s">
        <v>46</v>
      </c>
      <c r="J360" s="157">
        <v>100</v>
      </c>
      <c r="K360" s="143">
        <v>25</v>
      </c>
      <c r="L360" s="143">
        <f>J360*K360</f>
        <v>2500</v>
      </c>
      <c r="M360" s="143">
        <v>0</v>
      </c>
      <c r="N360" s="141">
        <v>45769</v>
      </c>
      <c r="O360" s="157">
        <f>WEEKNUM(N360)</f>
        <v>17</v>
      </c>
      <c r="P360" s="140"/>
      <c r="Q360" s="140" t="s">
        <v>29</v>
      </c>
      <c r="R360" s="143">
        <f>J360*0.25</f>
        <v>25</v>
      </c>
      <c r="S360" s="143">
        <f>J360*1</f>
        <v>100</v>
      </c>
      <c r="T360" s="143">
        <f>J360*1.84</f>
        <v>184</v>
      </c>
      <c r="U360" s="143">
        <f>J360*0.5</f>
        <v>50</v>
      </c>
      <c r="V360" s="143">
        <f>R360+S360+T360+U360</f>
        <v>359</v>
      </c>
    </row>
    <row r="361" spans="1:22" s="128" customFormat="1" ht="15.6" hidden="1" x14ac:dyDescent="0.3">
      <c r="A361" s="142" t="s">
        <v>477</v>
      </c>
      <c r="B361" s="142">
        <v>1171</v>
      </c>
      <c r="C361" s="141">
        <v>45742</v>
      </c>
      <c r="D361" s="140">
        <f>WEEKNUM(C361)</f>
        <v>13</v>
      </c>
      <c r="E361" s="140" t="s">
        <v>475</v>
      </c>
      <c r="F361" s="142" t="s">
        <v>960</v>
      </c>
      <c r="G361" s="142" t="s">
        <v>489</v>
      </c>
      <c r="H361" s="140" t="s">
        <v>51</v>
      </c>
      <c r="I361" s="142" t="s">
        <v>61</v>
      </c>
      <c r="J361" s="157">
        <v>110</v>
      </c>
      <c r="K361" s="143">
        <v>65</v>
      </c>
      <c r="L361" s="143">
        <f>J361*K361</f>
        <v>7150</v>
      </c>
      <c r="M361" s="143">
        <v>0</v>
      </c>
      <c r="N361" s="141">
        <v>45772</v>
      </c>
      <c r="O361" s="157">
        <f>WEEKNUM(N361)</f>
        <v>17</v>
      </c>
      <c r="P361" s="140"/>
      <c r="Q361" s="140" t="s">
        <v>29</v>
      </c>
      <c r="R361" s="143">
        <f>J361*1</f>
        <v>110</v>
      </c>
      <c r="S361" s="143">
        <f>J361*1</f>
        <v>110</v>
      </c>
      <c r="T361" s="143">
        <f>J361*3</f>
        <v>330</v>
      </c>
      <c r="U361" s="143">
        <f>J361*2</f>
        <v>220</v>
      </c>
      <c r="V361" s="143">
        <f>R361+S361+T361+U361</f>
        <v>770</v>
      </c>
    </row>
    <row r="362" spans="1:22" s="128" customFormat="1" ht="15.6" hidden="1" x14ac:dyDescent="0.3">
      <c r="A362" s="142" t="s">
        <v>477</v>
      </c>
      <c r="B362" s="142">
        <v>747</v>
      </c>
      <c r="C362" s="141">
        <v>45742</v>
      </c>
      <c r="D362" s="140">
        <f>WEEKNUM(C362)</f>
        <v>13</v>
      </c>
      <c r="E362" s="140" t="s">
        <v>478</v>
      </c>
      <c r="F362" s="140" t="s">
        <v>146</v>
      </c>
      <c r="G362" s="142" t="s">
        <v>964</v>
      </c>
      <c r="H362" s="142" t="s">
        <v>95</v>
      </c>
      <c r="I362" s="142" t="s">
        <v>46</v>
      </c>
      <c r="J362" s="157">
        <v>200</v>
      </c>
      <c r="K362" s="143">
        <v>16.5</v>
      </c>
      <c r="L362" s="143">
        <f>J362*K362</f>
        <v>3300</v>
      </c>
      <c r="M362" s="143">
        <v>0</v>
      </c>
      <c r="N362" s="141">
        <v>45772</v>
      </c>
      <c r="O362" s="157">
        <f>WEEKNUM(N362)</f>
        <v>17</v>
      </c>
      <c r="P362" s="140"/>
      <c r="Q362" s="140" t="s">
        <v>29</v>
      </c>
      <c r="R362" s="143">
        <f>J362*0.25</f>
        <v>50</v>
      </c>
      <c r="S362" s="143">
        <f>J362*0.5</f>
        <v>100</v>
      </c>
      <c r="T362" s="143">
        <f>J362*0.8</f>
        <v>160</v>
      </c>
      <c r="U362" s="143">
        <f>J362*0.5</f>
        <v>100</v>
      </c>
      <c r="V362" s="143">
        <f>R362+S362+T362+U362</f>
        <v>410</v>
      </c>
    </row>
    <row r="363" spans="1:22" s="128" customFormat="1" ht="15.6" hidden="1" x14ac:dyDescent="0.3">
      <c r="A363" s="142" t="s">
        <v>474</v>
      </c>
      <c r="B363" s="142">
        <v>748</v>
      </c>
      <c r="C363" s="141">
        <v>45742</v>
      </c>
      <c r="D363" s="140">
        <f>WEEKNUM(C363)</f>
        <v>13</v>
      </c>
      <c r="E363" s="158" t="s">
        <v>498</v>
      </c>
      <c r="F363" s="142" t="s">
        <v>990</v>
      </c>
      <c r="G363" s="142" t="s">
        <v>487</v>
      </c>
      <c r="H363" s="140" t="s">
        <v>51</v>
      </c>
      <c r="I363" s="142" t="s">
        <v>46</v>
      </c>
      <c r="J363" s="157">
        <v>100</v>
      </c>
      <c r="K363" s="143">
        <v>25</v>
      </c>
      <c r="L363" s="143">
        <f>J363*K363</f>
        <v>2500</v>
      </c>
      <c r="M363" s="143">
        <v>0</v>
      </c>
      <c r="N363" s="141">
        <v>45769</v>
      </c>
      <c r="O363" s="157">
        <f>WEEKNUM(N363)</f>
        <v>17</v>
      </c>
      <c r="P363" s="140"/>
      <c r="Q363" s="140" t="s">
        <v>29</v>
      </c>
      <c r="R363" s="143">
        <f>J363*0.25</f>
        <v>25</v>
      </c>
      <c r="S363" s="143">
        <f>J363*1</f>
        <v>100</v>
      </c>
      <c r="T363" s="143">
        <f>J363*1.84</f>
        <v>184</v>
      </c>
      <c r="U363" s="143">
        <f>J363*0.5</f>
        <v>50</v>
      </c>
      <c r="V363" s="143">
        <f>R363+S363+T363+U363</f>
        <v>359</v>
      </c>
    </row>
    <row r="364" spans="1:22" s="128" customFormat="1" ht="15.6" hidden="1" x14ac:dyDescent="0.3">
      <c r="A364" s="142" t="s">
        <v>474</v>
      </c>
      <c r="B364" s="142">
        <v>1174</v>
      </c>
      <c r="C364" s="141">
        <v>45743</v>
      </c>
      <c r="D364" s="140">
        <f>WEEKNUM(C364)</f>
        <v>13</v>
      </c>
      <c r="E364" s="140" t="s">
        <v>475</v>
      </c>
      <c r="F364" s="142" t="s">
        <v>794</v>
      </c>
      <c r="G364" s="142" t="s">
        <v>796</v>
      </c>
      <c r="H364" s="140" t="s">
        <v>51</v>
      </c>
      <c r="I364" s="142" t="s">
        <v>61</v>
      </c>
      <c r="J364" s="157">
        <v>220</v>
      </c>
      <c r="K364" s="143">
        <v>20.5</v>
      </c>
      <c r="L364" s="143">
        <f>J364*K364</f>
        <v>4510</v>
      </c>
      <c r="M364" s="143">
        <v>0</v>
      </c>
      <c r="N364" s="141">
        <v>45772</v>
      </c>
      <c r="O364" s="157">
        <f>WEEKNUM(N364)</f>
        <v>17</v>
      </c>
      <c r="P364" s="140"/>
      <c r="Q364" s="140" t="s">
        <v>29</v>
      </c>
      <c r="R364" s="143">
        <f>J364*0.25</f>
        <v>55</v>
      </c>
      <c r="S364" s="143">
        <f>J364*0.7</f>
        <v>154</v>
      </c>
      <c r="T364" s="143">
        <f>J364*1.3</f>
        <v>286</v>
      </c>
      <c r="U364" s="143">
        <f>J364*0.5</f>
        <v>110</v>
      </c>
      <c r="V364" s="143">
        <f>R364+S364+T364+U364</f>
        <v>605</v>
      </c>
    </row>
    <row r="365" spans="1:22" s="128" customFormat="1" ht="15.6" hidden="1" x14ac:dyDescent="0.3">
      <c r="A365" s="142" t="s">
        <v>474</v>
      </c>
      <c r="B365" s="142">
        <v>1173</v>
      </c>
      <c r="C365" s="141">
        <v>45743</v>
      </c>
      <c r="D365" s="140">
        <f>WEEKNUM(C365)</f>
        <v>13</v>
      </c>
      <c r="E365" s="140" t="s">
        <v>475</v>
      </c>
      <c r="F365" s="142" t="s">
        <v>970</v>
      </c>
      <c r="G365" s="140" t="s">
        <v>480</v>
      </c>
      <c r="H365" s="140" t="s">
        <v>51</v>
      </c>
      <c r="I365" s="142" t="s">
        <v>46</v>
      </c>
      <c r="J365" s="157">
        <v>100</v>
      </c>
      <c r="K365" s="143">
        <v>19</v>
      </c>
      <c r="L365" s="143">
        <f>J365*K365</f>
        <v>1900</v>
      </c>
      <c r="M365" s="143">
        <v>0</v>
      </c>
      <c r="N365" s="141">
        <v>45771</v>
      </c>
      <c r="O365" s="157">
        <f>WEEKNUM(N365)</f>
        <v>17</v>
      </c>
      <c r="P365" s="140"/>
      <c r="Q365" s="140" t="s">
        <v>29</v>
      </c>
      <c r="R365" s="143">
        <f>J365*0.25</f>
        <v>25</v>
      </c>
      <c r="S365" s="143">
        <f>J365*1</f>
        <v>100</v>
      </c>
      <c r="T365" s="143">
        <f>J365*1.84</f>
        <v>184</v>
      </c>
      <c r="U365" s="143">
        <f>J365*0.5</f>
        <v>50</v>
      </c>
      <c r="V365" s="143">
        <f>R365+S365+T365+U365</f>
        <v>359</v>
      </c>
    </row>
    <row r="366" spans="1:22" s="128" customFormat="1" ht="15.6" hidden="1" x14ac:dyDescent="0.3">
      <c r="A366" s="142" t="s">
        <v>474</v>
      </c>
      <c r="B366" s="142">
        <v>750</v>
      </c>
      <c r="C366" s="141">
        <v>45744</v>
      </c>
      <c r="D366" s="140">
        <f>WEEKNUM(C366)</f>
        <v>13</v>
      </c>
      <c r="E366" s="140" t="s">
        <v>475</v>
      </c>
      <c r="F366" s="142" t="s">
        <v>878</v>
      </c>
      <c r="G366" s="140" t="s">
        <v>480</v>
      </c>
      <c r="H366" s="140" t="s">
        <v>51</v>
      </c>
      <c r="I366" s="142" t="s">
        <v>46</v>
      </c>
      <c r="J366" s="157">
        <v>100</v>
      </c>
      <c r="K366" s="143">
        <v>19.899999999999999</v>
      </c>
      <c r="L366" s="143">
        <f>J366*K366</f>
        <v>1989.9999999999998</v>
      </c>
      <c r="M366" s="143">
        <v>0</v>
      </c>
      <c r="N366" s="141">
        <v>45744</v>
      </c>
      <c r="O366" s="157">
        <f>WEEKNUM(N366)</f>
        <v>13</v>
      </c>
      <c r="P366" s="140"/>
      <c r="Q366" s="140" t="s">
        <v>29</v>
      </c>
      <c r="R366" s="143">
        <f>J366*0.25</f>
        <v>25</v>
      </c>
      <c r="S366" s="143">
        <f>J366*1</f>
        <v>100</v>
      </c>
      <c r="T366" s="143">
        <f>J366*1.84</f>
        <v>184</v>
      </c>
      <c r="U366" s="143">
        <f>J366*0.5</f>
        <v>50</v>
      </c>
      <c r="V366" s="143">
        <f>R366+S366+T366+U366</f>
        <v>359</v>
      </c>
    </row>
    <row r="367" spans="1:22" s="128" customFormat="1" ht="15.6" hidden="1" x14ac:dyDescent="0.3">
      <c r="A367" s="142" t="s">
        <v>474</v>
      </c>
      <c r="B367" s="142">
        <v>751</v>
      </c>
      <c r="C367" s="141">
        <v>45744</v>
      </c>
      <c r="D367" s="140">
        <f>WEEKNUM(C367)</f>
        <v>13</v>
      </c>
      <c r="E367" s="140" t="s">
        <v>475</v>
      </c>
      <c r="F367" s="142" t="s">
        <v>927</v>
      </c>
      <c r="G367" s="142" t="s">
        <v>928</v>
      </c>
      <c r="H367" s="140" t="s">
        <v>74</v>
      </c>
      <c r="I367" s="142" t="s">
        <v>46</v>
      </c>
      <c r="J367" s="157">
        <v>92</v>
      </c>
      <c r="K367" s="143">
        <v>35</v>
      </c>
      <c r="L367" s="143">
        <f>J367*K367</f>
        <v>3220</v>
      </c>
      <c r="M367" s="143">
        <v>0</v>
      </c>
      <c r="N367" s="141">
        <v>45747</v>
      </c>
      <c r="O367" s="157">
        <f>WEEKNUM(N367)</f>
        <v>14</v>
      </c>
      <c r="P367" s="140"/>
      <c r="Q367" s="140" t="s">
        <v>29</v>
      </c>
      <c r="R367" s="143">
        <f>J367*0.25</f>
        <v>23</v>
      </c>
      <c r="S367" s="143">
        <f>J367*0.7</f>
        <v>64.399999999999991</v>
      </c>
      <c r="T367" s="143">
        <f>J367*1</f>
        <v>92</v>
      </c>
      <c r="U367" s="143">
        <f>J367*0.5</f>
        <v>46</v>
      </c>
      <c r="V367" s="143">
        <f>R367+S367+T367+U367</f>
        <v>225.39999999999998</v>
      </c>
    </row>
    <row r="368" spans="1:22" s="128" customFormat="1" ht="15.6" hidden="1" x14ac:dyDescent="0.3">
      <c r="A368" s="142" t="s">
        <v>477</v>
      </c>
      <c r="B368" s="142">
        <v>752</v>
      </c>
      <c r="C368" s="141">
        <v>45747</v>
      </c>
      <c r="D368" s="140">
        <f>WEEKNUM(C368)</f>
        <v>14</v>
      </c>
      <c r="E368" s="140" t="s">
        <v>475</v>
      </c>
      <c r="F368" s="142" t="s">
        <v>930</v>
      </c>
      <c r="G368" s="140" t="s">
        <v>480</v>
      </c>
      <c r="H368" s="140" t="s">
        <v>51</v>
      </c>
      <c r="I368" s="142" t="s">
        <v>46</v>
      </c>
      <c r="J368" s="157">
        <v>100</v>
      </c>
      <c r="K368" s="143">
        <v>19.5</v>
      </c>
      <c r="L368" s="143">
        <f>J368*K368</f>
        <v>1950</v>
      </c>
      <c r="M368" s="143">
        <v>0</v>
      </c>
      <c r="N368" s="141">
        <v>45777</v>
      </c>
      <c r="O368" s="157">
        <f>WEEKNUM(N368)</f>
        <v>18</v>
      </c>
      <c r="P368" s="140"/>
      <c r="Q368" s="140" t="s">
        <v>29</v>
      </c>
      <c r="R368" s="143">
        <f>J368*0.25</f>
        <v>25</v>
      </c>
      <c r="S368" s="143">
        <f>J368*1</f>
        <v>100</v>
      </c>
      <c r="T368" s="143">
        <f>J368*1.84</f>
        <v>184</v>
      </c>
      <c r="U368" s="143">
        <f>J368*0.5</f>
        <v>50</v>
      </c>
      <c r="V368" s="143">
        <f>R368+S368+T368+U368</f>
        <v>359</v>
      </c>
    </row>
    <row r="369" spans="1:22" s="128" customFormat="1" ht="15.6" hidden="1" x14ac:dyDescent="0.3">
      <c r="A369" s="142" t="s">
        <v>477</v>
      </c>
      <c r="B369" s="142">
        <v>752</v>
      </c>
      <c r="C369" s="141">
        <v>45747</v>
      </c>
      <c r="D369" s="140">
        <f>WEEKNUM(C369)</f>
        <v>14</v>
      </c>
      <c r="E369" s="140" t="s">
        <v>475</v>
      </c>
      <c r="F369" s="142" t="s">
        <v>930</v>
      </c>
      <c r="G369" s="142" t="s">
        <v>218</v>
      </c>
      <c r="H369" s="140" t="s">
        <v>74</v>
      </c>
      <c r="I369" s="142" t="s">
        <v>46</v>
      </c>
      <c r="J369" s="157">
        <v>30</v>
      </c>
      <c r="K369" s="143">
        <v>35</v>
      </c>
      <c r="L369" s="143">
        <f>J369*K369</f>
        <v>1050</v>
      </c>
      <c r="M369" s="143">
        <v>0</v>
      </c>
      <c r="N369" s="141">
        <v>45777</v>
      </c>
      <c r="O369" s="157">
        <f>WEEKNUM(N369)</f>
        <v>18</v>
      </c>
      <c r="P369" s="140"/>
      <c r="Q369" s="140" t="s">
        <v>29</v>
      </c>
      <c r="R369" s="143">
        <f>J369*0.25</f>
        <v>7.5</v>
      </c>
      <c r="S369" s="143">
        <f>J369*1</f>
        <v>30</v>
      </c>
      <c r="T369" s="143">
        <f>J369*1.5</f>
        <v>45</v>
      </c>
      <c r="U369" s="143">
        <f>J369*0.5</f>
        <v>15</v>
      </c>
      <c r="V369" s="143">
        <f>R369+S369+T369+U369</f>
        <v>97.5</v>
      </c>
    </row>
    <row r="370" spans="1:22" s="128" customFormat="1" ht="15.6" hidden="1" x14ac:dyDescent="0.3">
      <c r="A370" s="142" t="s">
        <v>477</v>
      </c>
      <c r="B370" s="142">
        <v>752</v>
      </c>
      <c r="C370" s="141">
        <v>45747</v>
      </c>
      <c r="D370" s="140">
        <f>WEEKNUM(C370)</f>
        <v>14</v>
      </c>
      <c r="E370" s="140" t="s">
        <v>475</v>
      </c>
      <c r="F370" s="142" t="s">
        <v>930</v>
      </c>
      <c r="G370" s="142" t="s">
        <v>931</v>
      </c>
      <c r="H370" s="140" t="s">
        <v>354</v>
      </c>
      <c r="I370" s="142" t="s">
        <v>46</v>
      </c>
      <c r="J370" s="157">
        <v>11</v>
      </c>
      <c r="K370" s="143">
        <v>35</v>
      </c>
      <c r="L370" s="143">
        <f>J370*K370</f>
        <v>385</v>
      </c>
      <c r="M370" s="143">
        <v>0</v>
      </c>
      <c r="N370" s="141">
        <v>45777</v>
      </c>
      <c r="O370" s="157">
        <f>WEEKNUM(N370)</f>
        <v>18</v>
      </c>
      <c r="P370" s="140"/>
      <c r="Q370" s="140" t="s">
        <v>29</v>
      </c>
      <c r="R370" s="143">
        <f>J370*0.25</f>
        <v>2.75</v>
      </c>
      <c r="S370" s="143">
        <f>J370*2.3</f>
        <v>25.299999999999997</v>
      </c>
      <c r="T370" s="143">
        <f>J370*1.5</f>
        <v>16.5</v>
      </c>
      <c r="U370" s="143">
        <f>J370*0.5</f>
        <v>5.5</v>
      </c>
      <c r="V370" s="143">
        <f>R370+S370+T370+U370</f>
        <v>50.05</v>
      </c>
    </row>
    <row r="371" spans="1:22" s="128" customFormat="1" ht="15.6" hidden="1" x14ac:dyDescent="0.3">
      <c r="A371" s="142" t="s">
        <v>474</v>
      </c>
      <c r="B371" s="142">
        <v>753</v>
      </c>
      <c r="C371" s="141">
        <v>45748</v>
      </c>
      <c r="D371" s="140">
        <f>WEEKNUM(C371)</f>
        <v>14</v>
      </c>
      <c r="E371" s="158" t="s">
        <v>98</v>
      </c>
      <c r="F371" s="142" t="s">
        <v>876</v>
      </c>
      <c r="G371" s="140" t="s">
        <v>356</v>
      </c>
      <c r="H371" s="140" t="s">
        <v>321</v>
      </c>
      <c r="I371" s="142" t="s">
        <v>46</v>
      </c>
      <c r="J371" s="157">
        <v>335</v>
      </c>
      <c r="K371" s="143">
        <v>80</v>
      </c>
      <c r="L371" s="143">
        <f>J371*K371</f>
        <v>26800</v>
      </c>
      <c r="M371" s="143">
        <v>0</v>
      </c>
      <c r="N371" s="141">
        <v>45779</v>
      </c>
      <c r="O371" s="157">
        <f>WEEKNUM(N371)</f>
        <v>18</v>
      </c>
      <c r="P371" s="140"/>
      <c r="Q371" s="140" t="s">
        <v>29</v>
      </c>
      <c r="R371" s="156">
        <f>J371*0.25</f>
        <v>83.75</v>
      </c>
      <c r="S371" s="156">
        <f>PRODUCT(1.5,J371)</f>
        <v>502.5</v>
      </c>
      <c r="T371" s="156">
        <f>PRODUCT(1.5,J371)</f>
        <v>502.5</v>
      </c>
      <c r="U371" s="156">
        <f>J371*0.5</f>
        <v>167.5</v>
      </c>
      <c r="V371" s="156">
        <f>R371+S371+T371+U371</f>
        <v>1256.25</v>
      </c>
    </row>
    <row r="372" spans="1:22" s="128" customFormat="1" ht="15.6" hidden="1" x14ac:dyDescent="0.3">
      <c r="A372" s="142" t="s">
        <v>477</v>
      </c>
      <c r="B372" s="142">
        <v>1176</v>
      </c>
      <c r="C372" s="141">
        <v>45748</v>
      </c>
      <c r="D372" s="140">
        <f>WEEKNUM(C372)</f>
        <v>14</v>
      </c>
      <c r="E372" s="140" t="s">
        <v>475</v>
      </c>
      <c r="F372" s="140" t="s">
        <v>940</v>
      </c>
      <c r="G372" s="142" t="s">
        <v>944</v>
      </c>
      <c r="H372" s="140" t="s">
        <v>494</v>
      </c>
      <c r="I372" s="142" t="s">
        <v>46</v>
      </c>
      <c r="J372" s="157">
        <v>100</v>
      </c>
      <c r="K372" s="143">
        <v>17</v>
      </c>
      <c r="L372" s="143">
        <f>J372*K372</f>
        <v>1700</v>
      </c>
      <c r="M372" s="143">
        <v>0</v>
      </c>
      <c r="N372" s="141">
        <v>45778</v>
      </c>
      <c r="O372" s="157">
        <f>WEEKNUM(N372)</f>
        <v>18</v>
      </c>
      <c r="P372" s="140"/>
      <c r="Q372" s="140" t="s">
        <v>29</v>
      </c>
      <c r="R372" s="143">
        <f>J372*0.25</f>
        <v>25</v>
      </c>
      <c r="S372" s="143">
        <f>J372*0.7</f>
        <v>70</v>
      </c>
      <c r="T372" s="143">
        <f>J372*1</f>
        <v>100</v>
      </c>
      <c r="U372" s="143">
        <f>J372*0.5</f>
        <v>50</v>
      </c>
      <c r="V372" s="143">
        <f>R372+S372+T372+U372</f>
        <v>245</v>
      </c>
    </row>
    <row r="373" spans="1:22" s="128" customFormat="1" ht="15.6" hidden="1" x14ac:dyDescent="0.3">
      <c r="A373" s="142" t="s">
        <v>491</v>
      </c>
      <c r="B373" s="142">
        <v>1179</v>
      </c>
      <c r="C373" s="141">
        <v>45749</v>
      </c>
      <c r="D373" s="140">
        <f>WEEKNUM(C373)</f>
        <v>14</v>
      </c>
      <c r="E373" s="158" t="s">
        <v>68</v>
      </c>
      <c r="F373" s="195" t="s">
        <v>341</v>
      </c>
      <c r="G373" s="142" t="s">
        <v>301</v>
      </c>
      <c r="H373" s="140" t="s">
        <v>74</v>
      </c>
      <c r="I373" s="142" t="s">
        <v>46</v>
      </c>
      <c r="J373" s="157">
        <v>9</v>
      </c>
      <c r="K373" s="143">
        <v>36.75</v>
      </c>
      <c r="L373" s="143">
        <f>J373*K373</f>
        <v>330.75</v>
      </c>
      <c r="M373" s="143">
        <v>0</v>
      </c>
      <c r="N373" s="141">
        <v>45758</v>
      </c>
      <c r="O373" s="157">
        <f>WEEKNUM(N373)</f>
        <v>15</v>
      </c>
      <c r="P373" s="140"/>
      <c r="Q373" s="140" t="s">
        <v>29</v>
      </c>
      <c r="R373" s="143">
        <f>J373*0.25</f>
        <v>2.25</v>
      </c>
      <c r="S373" s="143">
        <f>J373*1</f>
        <v>9</v>
      </c>
      <c r="T373" s="143">
        <f>J373*1.5</f>
        <v>13.5</v>
      </c>
      <c r="U373" s="143">
        <f>J373*0.5</f>
        <v>4.5</v>
      </c>
      <c r="V373" s="143">
        <f>R373+S373+T373+U373</f>
        <v>29.25</v>
      </c>
    </row>
    <row r="374" spans="1:22" s="128" customFormat="1" ht="15.6" hidden="1" x14ac:dyDescent="0.3">
      <c r="A374" s="142" t="s">
        <v>491</v>
      </c>
      <c r="B374" s="142">
        <v>1178</v>
      </c>
      <c r="C374" s="141">
        <v>45749</v>
      </c>
      <c r="D374" s="140">
        <f>WEEKNUM(C374)</f>
        <v>14</v>
      </c>
      <c r="E374" s="158" t="s">
        <v>68</v>
      </c>
      <c r="F374" s="142" t="s">
        <v>362</v>
      </c>
      <c r="G374" s="142" t="s">
        <v>311</v>
      </c>
      <c r="H374" s="140" t="s">
        <v>51</v>
      </c>
      <c r="I374" s="142" t="s">
        <v>46</v>
      </c>
      <c r="J374" s="157">
        <v>15</v>
      </c>
      <c r="K374" s="143">
        <v>25</v>
      </c>
      <c r="L374" s="143">
        <f>J374*K374</f>
        <v>375</v>
      </c>
      <c r="M374" s="143">
        <v>0</v>
      </c>
      <c r="N374" s="141">
        <v>45779</v>
      </c>
      <c r="O374" s="157">
        <f>WEEKNUM(N374)</f>
        <v>18</v>
      </c>
      <c r="P374" s="140"/>
      <c r="Q374" s="140" t="s">
        <v>29</v>
      </c>
      <c r="R374" s="143">
        <f>J374*0.25</f>
        <v>3.75</v>
      </c>
      <c r="S374" s="143">
        <f>J374*1</f>
        <v>15</v>
      </c>
      <c r="T374" s="143">
        <f>J374*1.5</f>
        <v>22.5</v>
      </c>
      <c r="U374" s="143">
        <f>J374*0.5</f>
        <v>7.5</v>
      </c>
      <c r="V374" s="143">
        <f>R374+S374+T374+U374</f>
        <v>48.75</v>
      </c>
    </row>
    <row r="375" spans="1:22" s="128" customFormat="1" ht="15.6" hidden="1" x14ac:dyDescent="0.3">
      <c r="A375" s="142" t="s">
        <v>491</v>
      </c>
      <c r="B375" s="142">
        <v>1178</v>
      </c>
      <c r="C375" s="141">
        <v>45749</v>
      </c>
      <c r="D375" s="140">
        <f>WEEKNUM(C375)</f>
        <v>14</v>
      </c>
      <c r="E375" s="158" t="s">
        <v>68</v>
      </c>
      <c r="F375" s="142" t="s">
        <v>362</v>
      </c>
      <c r="G375" s="140" t="s">
        <v>503</v>
      </c>
      <c r="H375" s="140" t="s">
        <v>354</v>
      </c>
      <c r="I375" s="142" t="s">
        <v>46</v>
      </c>
      <c r="J375" s="157">
        <v>6</v>
      </c>
      <c r="K375" s="143">
        <v>36.75</v>
      </c>
      <c r="L375" s="143">
        <f>J375*K375</f>
        <v>220.5</v>
      </c>
      <c r="M375" s="143">
        <v>0</v>
      </c>
      <c r="N375" s="141">
        <v>45779</v>
      </c>
      <c r="O375" s="157">
        <f>WEEKNUM(N375)</f>
        <v>18</v>
      </c>
      <c r="P375" s="140"/>
      <c r="Q375" s="140" t="s">
        <v>29</v>
      </c>
      <c r="R375" s="143">
        <f>J375*0.25</f>
        <v>1.5</v>
      </c>
      <c r="S375" s="143">
        <f>J375*1</f>
        <v>6</v>
      </c>
      <c r="T375" s="143">
        <f>J375*1.5</f>
        <v>9</v>
      </c>
      <c r="U375" s="143">
        <f>J375*0.5</f>
        <v>3</v>
      </c>
      <c r="V375" s="143">
        <f>R375+S375+T375+U375</f>
        <v>19.5</v>
      </c>
    </row>
    <row r="376" spans="1:22" s="128" customFormat="1" ht="15.6" hidden="1" x14ac:dyDescent="0.3">
      <c r="A376" s="142" t="s">
        <v>491</v>
      </c>
      <c r="B376" s="142">
        <v>1178</v>
      </c>
      <c r="C376" s="141">
        <v>45749</v>
      </c>
      <c r="D376" s="140">
        <f>WEEKNUM(C376)</f>
        <v>14</v>
      </c>
      <c r="E376" s="158" t="s">
        <v>68</v>
      </c>
      <c r="F376" s="142" t="s">
        <v>362</v>
      </c>
      <c r="G376" s="142" t="s">
        <v>374</v>
      </c>
      <c r="H376" s="140" t="s">
        <v>74</v>
      </c>
      <c r="I376" s="142" t="s">
        <v>46</v>
      </c>
      <c r="J376" s="157">
        <v>12</v>
      </c>
      <c r="K376" s="143">
        <v>47.5</v>
      </c>
      <c r="L376" s="143">
        <f>J376*K376</f>
        <v>570</v>
      </c>
      <c r="M376" s="143">
        <v>0</v>
      </c>
      <c r="N376" s="141">
        <v>45779</v>
      </c>
      <c r="O376" s="157">
        <f>WEEKNUM(N376)</f>
        <v>18</v>
      </c>
      <c r="P376" s="140"/>
      <c r="Q376" s="140" t="s">
        <v>29</v>
      </c>
      <c r="R376" s="143">
        <f>J376*1</f>
        <v>12</v>
      </c>
      <c r="S376" s="143">
        <f>J376*1.5</f>
        <v>18</v>
      </c>
      <c r="T376" s="143">
        <f>J376*1.5</f>
        <v>18</v>
      </c>
      <c r="U376" s="143">
        <f>J376*1</f>
        <v>12</v>
      </c>
      <c r="V376" s="143">
        <f>R376+S376+T376+U376</f>
        <v>60</v>
      </c>
    </row>
    <row r="377" spans="1:22" s="128" customFormat="1" ht="15.6" hidden="1" x14ac:dyDescent="0.3">
      <c r="A377" s="142" t="s">
        <v>491</v>
      </c>
      <c r="B377" s="142">
        <v>1181</v>
      </c>
      <c r="C377" s="141">
        <v>45750</v>
      </c>
      <c r="D377" s="140">
        <f>WEEKNUM(C377)</f>
        <v>14</v>
      </c>
      <c r="E377" s="158" t="s">
        <v>68</v>
      </c>
      <c r="F377" s="142" t="s">
        <v>363</v>
      </c>
      <c r="G377" s="142" t="s">
        <v>339</v>
      </c>
      <c r="H377" s="142" t="s">
        <v>340</v>
      </c>
      <c r="I377" s="142" t="s">
        <v>46</v>
      </c>
      <c r="J377" s="157">
        <v>1</v>
      </c>
      <c r="K377" s="143">
        <v>65</v>
      </c>
      <c r="L377" s="143">
        <f>J377*K377</f>
        <v>65</v>
      </c>
      <c r="M377" s="143">
        <v>0</v>
      </c>
      <c r="N377" s="141">
        <v>45762</v>
      </c>
      <c r="O377" s="157">
        <f>WEEKNUM(N377)</f>
        <v>16</v>
      </c>
      <c r="P377" s="140"/>
      <c r="Q377" s="140" t="s">
        <v>29</v>
      </c>
      <c r="R377" s="143">
        <f>J377*0.25</f>
        <v>0.25</v>
      </c>
      <c r="S377" s="143">
        <f>J377*1</f>
        <v>1</v>
      </c>
      <c r="T377" s="143">
        <f>J377*1.5</f>
        <v>1.5</v>
      </c>
      <c r="U377" s="143">
        <f>J377*0.5</f>
        <v>0.5</v>
      </c>
      <c r="V377" s="143">
        <f>R377+S377+T377+U377</f>
        <v>3.25</v>
      </c>
    </row>
    <row r="378" spans="1:22" s="128" customFormat="1" ht="15.6" hidden="1" x14ac:dyDescent="0.3">
      <c r="A378" s="142" t="s">
        <v>491</v>
      </c>
      <c r="B378" s="142">
        <v>1181</v>
      </c>
      <c r="C378" s="141">
        <v>45750</v>
      </c>
      <c r="D378" s="140">
        <f>WEEKNUM(C378)</f>
        <v>14</v>
      </c>
      <c r="E378" s="158" t="s">
        <v>68</v>
      </c>
      <c r="F378" s="142" t="s">
        <v>363</v>
      </c>
      <c r="G378" s="142" t="s">
        <v>311</v>
      </c>
      <c r="H378" s="140" t="s">
        <v>51</v>
      </c>
      <c r="I378" s="142" t="s">
        <v>46</v>
      </c>
      <c r="J378" s="157">
        <v>3</v>
      </c>
      <c r="K378" s="143">
        <v>25</v>
      </c>
      <c r="L378" s="143">
        <f>J378*K378</f>
        <v>75</v>
      </c>
      <c r="M378" s="143">
        <v>0</v>
      </c>
      <c r="N378" s="141">
        <v>45762</v>
      </c>
      <c r="O378" s="157">
        <f>WEEKNUM(N378)</f>
        <v>16</v>
      </c>
      <c r="P378" s="140"/>
      <c r="Q378" s="140" t="s">
        <v>29</v>
      </c>
      <c r="R378" s="143">
        <f>J378*0.25</f>
        <v>0.75</v>
      </c>
      <c r="S378" s="143">
        <f>J378*1</f>
        <v>3</v>
      </c>
      <c r="T378" s="143">
        <f>J378*1.5</f>
        <v>4.5</v>
      </c>
      <c r="U378" s="143">
        <f>J378*0.5</f>
        <v>1.5</v>
      </c>
      <c r="V378" s="143">
        <f>R378+S378+T378+U378</f>
        <v>9.75</v>
      </c>
    </row>
    <row r="379" spans="1:22" s="128" customFormat="1" ht="15.6" hidden="1" x14ac:dyDescent="0.3">
      <c r="A379" s="142" t="s">
        <v>491</v>
      </c>
      <c r="B379" s="142">
        <v>1181</v>
      </c>
      <c r="C379" s="141">
        <v>45750</v>
      </c>
      <c r="D379" s="140">
        <f>WEEKNUM(C379)</f>
        <v>14</v>
      </c>
      <c r="E379" s="158" t="s">
        <v>68</v>
      </c>
      <c r="F379" s="142" t="s">
        <v>363</v>
      </c>
      <c r="G379" s="140" t="s">
        <v>503</v>
      </c>
      <c r="H379" s="140" t="s">
        <v>354</v>
      </c>
      <c r="I379" s="142" t="s">
        <v>46</v>
      </c>
      <c r="J379" s="157">
        <v>2</v>
      </c>
      <c r="K379" s="143">
        <v>36.75</v>
      </c>
      <c r="L379" s="143">
        <f>J379*K379</f>
        <v>73.5</v>
      </c>
      <c r="M379" s="143">
        <v>0</v>
      </c>
      <c r="N379" s="141">
        <v>45762</v>
      </c>
      <c r="O379" s="157">
        <f>WEEKNUM(N379)</f>
        <v>16</v>
      </c>
      <c r="P379" s="140"/>
      <c r="Q379" s="140" t="s">
        <v>29</v>
      </c>
      <c r="R379" s="143">
        <f>J379*0.25</f>
        <v>0.5</v>
      </c>
      <c r="S379" s="143">
        <f>J379*1</f>
        <v>2</v>
      </c>
      <c r="T379" s="143">
        <f>J379*1.5</f>
        <v>3</v>
      </c>
      <c r="U379" s="143">
        <f>J379*0.5</f>
        <v>1</v>
      </c>
      <c r="V379" s="143">
        <f>R379+S379+T379+U379</f>
        <v>6.5</v>
      </c>
    </row>
    <row r="380" spans="1:22" s="128" customFormat="1" ht="15.6" hidden="1" x14ac:dyDescent="0.3">
      <c r="A380" s="142" t="s">
        <v>477</v>
      </c>
      <c r="B380" s="142">
        <v>754</v>
      </c>
      <c r="C380" s="141">
        <v>45750</v>
      </c>
      <c r="D380" s="140">
        <f>WEEKNUM(C380)</f>
        <v>14</v>
      </c>
      <c r="E380" s="158" t="s">
        <v>498</v>
      </c>
      <c r="F380" s="140" t="s">
        <v>637</v>
      </c>
      <c r="G380" s="142" t="s">
        <v>487</v>
      </c>
      <c r="H380" s="140" t="s">
        <v>51</v>
      </c>
      <c r="I380" s="142" t="s">
        <v>46</v>
      </c>
      <c r="J380" s="157">
        <v>250</v>
      </c>
      <c r="K380" s="143">
        <v>23.5</v>
      </c>
      <c r="L380" s="143">
        <f>J380*K380</f>
        <v>5875</v>
      </c>
      <c r="M380" s="143">
        <v>0</v>
      </c>
      <c r="N380" s="141">
        <v>45782</v>
      </c>
      <c r="O380" s="157">
        <f>WEEKNUM(N380)</f>
        <v>19</v>
      </c>
      <c r="P380" s="140"/>
      <c r="Q380" s="140" t="s">
        <v>29</v>
      </c>
      <c r="R380" s="143">
        <f>J380*0.25</f>
        <v>62.5</v>
      </c>
      <c r="S380" s="143">
        <f>J380*1</f>
        <v>250</v>
      </c>
      <c r="T380" s="143">
        <f>J380*1</f>
        <v>250</v>
      </c>
      <c r="U380" s="143">
        <f>J380*0.5</f>
        <v>125</v>
      </c>
      <c r="V380" s="143">
        <f>R380+S380+T380+U380</f>
        <v>687.5</v>
      </c>
    </row>
    <row r="381" spans="1:22" s="128" customFormat="1" ht="15.6" hidden="1" x14ac:dyDescent="0.3">
      <c r="A381" s="142" t="s">
        <v>477</v>
      </c>
      <c r="B381" s="142">
        <v>1183</v>
      </c>
      <c r="C381" s="141">
        <v>45754</v>
      </c>
      <c r="D381" s="140">
        <f>WEEKNUM(C381)</f>
        <v>15</v>
      </c>
      <c r="E381" s="158" t="s">
        <v>498</v>
      </c>
      <c r="F381" s="140" t="s">
        <v>446</v>
      </c>
      <c r="G381" s="142" t="s">
        <v>595</v>
      </c>
      <c r="H381" s="140" t="s">
        <v>51</v>
      </c>
      <c r="I381" s="142" t="s">
        <v>46</v>
      </c>
      <c r="J381" s="157">
        <v>2500</v>
      </c>
      <c r="K381" s="143">
        <v>23.5</v>
      </c>
      <c r="L381" s="143">
        <f>J381*K381</f>
        <v>58750</v>
      </c>
      <c r="M381" s="143">
        <v>0</v>
      </c>
      <c r="N381" s="141">
        <v>45784</v>
      </c>
      <c r="O381" s="157">
        <f>WEEKNUM(N381)</f>
        <v>19</v>
      </c>
      <c r="P381" s="140"/>
      <c r="Q381" s="140" t="s">
        <v>29</v>
      </c>
      <c r="R381" s="143">
        <f>J381*0.25</f>
        <v>625</v>
      </c>
      <c r="S381" s="143">
        <f>J381*1</f>
        <v>2500</v>
      </c>
      <c r="T381" s="143">
        <f>J381*1</f>
        <v>2500</v>
      </c>
      <c r="U381" s="143">
        <f>J381*0.5</f>
        <v>1250</v>
      </c>
      <c r="V381" s="143">
        <f>R381+S381+T381+U381</f>
        <v>6875</v>
      </c>
    </row>
    <row r="382" spans="1:22" s="128" customFormat="1" ht="15.6" hidden="1" x14ac:dyDescent="0.3">
      <c r="A382" s="142" t="s">
        <v>491</v>
      </c>
      <c r="B382" s="142">
        <v>1184</v>
      </c>
      <c r="C382" s="141">
        <v>45754</v>
      </c>
      <c r="D382" s="140">
        <f>WEEKNUM(C382)</f>
        <v>15</v>
      </c>
      <c r="E382" s="158" t="s">
        <v>68</v>
      </c>
      <c r="F382" s="195" t="s">
        <v>310</v>
      </c>
      <c r="G382" s="142" t="s">
        <v>301</v>
      </c>
      <c r="H382" s="140" t="s">
        <v>74</v>
      </c>
      <c r="I382" s="142" t="s">
        <v>46</v>
      </c>
      <c r="J382" s="157">
        <v>34</v>
      </c>
      <c r="K382" s="143">
        <v>36.75</v>
      </c>
      <c r="L382" s="143">
        <f>J382*K382</f>
        <v>1249.5</v>
      </c>
      <c r="M382" s="143">
        <v>0</v>
      </c>
      <c r="N382" s="141">
        <v>45778</v>
      </c>
      <c r="O382" s="157">
        <f>WEEKNUM(N382)</f>
        <v>18</v>
      </c>
      <c r="P382" s="140"/>
      <c r="Q382" s="140" t="s">
        <v>29</v>
      </c>
      <c r="R382" s="143">
        <f>J382*1</f>
        <v>34</v>
      </c>
      <c r="S382" s="143">
        <f>J382*1.5</f>
        <v>51</v>
      </c>
      <c r="T382" s="143">
        <f>J382*1.5</f>
        <v>51</v>
      </c>
      <c r="U382" s="143">
        <f>J382*1</f>
        <v>34</v>
      </c>
      <c r="V382" s="143">
        <f>R382+S382+T382+U382</f>
        <v>170</v>
      </c>
    </row>
    <row r="383" spans="1:22" s="128" customFormat="1" ht="15.6" hidden="1" x14ac:dyDescent="0.3">
      <c r="A383" s="142" t="s">
        <v>491</v>
      </c>
      <c r="B383" s="142">
        <v>1184</v>
      </c>
      <c r="C383" s="141">
        <v>45754</v>
      </c>
      <c r="D383" s="140">
        <f>WEEKNUM(C383)</f>
        <v>15</v>
      </c>
      <c r="E383" s="158" t="s">
        <v>68</v>
      </c>
      <c r="F383" s="195" t="s">
        <v>310</v>
      </c>
      <c r="G383" s="142" t="s">
        <v>311</v>
      </c>
      <c r="H383" s="140" t="s">
        <v>51</v>
      </c>
      <c r="I383" s="142" t="s">
        <v>46</v>
      </c>
      <c r="J383" s="157">
        <v>16</v>
      </c>
      <c r="K383" s="143">
        <v>25</v>
      </c>
      <c r="L383" s="143">
        <f>J383*K383</f>
        <v>400</v>
      </c>
      <c r="M383" s="143">
        <v>0</v>
      </c>
      <c r="N383" s="141">
        <v>45778</v>
      </c>
      <c r="O383" s="157">
        <f>WEEKNUM(N383)</f>
        <v>18</v>
      </c>
      <c r="P383" s="140"/>
      <c r="Q383" s="140" t="s">
        <v>29</v>
      </c>
      <c r="R383" s="143">
        <f>J383*0.25</f>
        <v>4</v>
      </c>
      <c r="S383" s="143">
        <f>J383*1</f>
        <v>16</v>
      </c>
      <c r="T383" s="143">
        <f>J383*1.5</f>
        <v>24</v>
      </c>
      <c r="U383" s="143">
        <f>J383*0.5</f>
        <v>8</v>
      </c>
      <c r="V383" s="143">
        <f>R383+S383+T383+U383</f>
        <v>52</v>
      </c>
    </row>
    <row r="384" spans="1:22" s="128" customFormat="1" ht="15.6" hidden="1" x14ac:dyDescent="0.3">
      <c r="A384" s="142" t="s">
        <v>491</v>
      </c>
      <c r="B384" s="142">
        <v>1184</v>
      </c>
      <c r="C384" s="141">
        <v>45754</v>
      </c>
      <c r="D384" s="140">
        <f>WEEKNUM(C384)</f>
        <v>15</v>
      </c>
      <c r="E384" s="158" t="s">
        <v>68</v>
      </c>
      <c r="F384" s="195" t="s">
        <v>310</v>
      </c>
      <c r="G384" s="142" t="s">
        <v>339</v>
      </c>
      <c r="H384" s="142" t="s">
        <v>340</v>
      </c>
      <c r="I384" s="142" t="s">
        <v>46</v>
      </c>
      <c r="J384" s="157">
        <v>4</v>
      </c>
      <c r="K384" s="143">
        <v>65</v>
      </c>
      <c r="L384" s="143">
        <f>J384*K384</f>
        <v>260</v>
      </c>
      <c r="M384" s="143">
        <v>0</v>
      </c>
      <c r="N384" s="141">
        <v>45778</v>
      </c>
      <c r="O384" s="157">
        <f>WEEKNUM(N384)</f>
        <v>18</v>
      </c>
      <c r="P384" s="140"/>
      <c r="Q384" s="140" t="s">
        <v>29</v>
      </c>
      <c r="R384" s="143">
        <f>J384*0.25</f>
        <v>1</v>
      </c>
      <c r="S384" s="143">
        <f>J384*1</f>
        <v>4</v>
      </c>
      <c r="T384" s="143">
        <f>J384*1.5</f>
        <v>6</v>
      </c>
      <c r="U384" s="143">
        <f>J384*0.5</f>
        <v>2</v>
      </c>
      <c r="V384" s="143">
        <f>R384+S384+T384+U384</f>
        <v>13</v>
      </c>
    </row>
    <row r="385" spans="1:22" s="128" customFormat="1" ht="15.6" hidden="1" x14ac:dyDescent="0.3">
      <c r="A385" s="142" t="s">
        <v>491</v>
      </c>
      <c r="B385" s="142">
        <v>1184</v>
      </c>
      <c r="C385" s="141">
        <v>45754</v>
      </c>
      <c r="D385" s="140">
        <f>WEEKNUM(C385)</f>
        <v>15</v>
      </c>
      <c r="E385" s="158" t="s">
        <v>68</v>
      </c>
      <c r="F385" s="195" t="s">
        <v>310</v>
      </c>
      <c r="G385" s="142" t="s">
        <v>408</v>
      </c>
      <c r="H385" s="140" t="s">
        <v>80</v>
      </c>
      <c r="I385" s="142" t="s">
        <v>46</v>
      </c>
      <c r="J385" s="157">
        <v>20</v>
      </c>
      <c r="K385" s="143">
        <v>21</v>
      </c>
      <c r="L385" s="143">
        <f>J385*K385</f>
        <v>420</v>
      </c>
      <c r="M385" s="143">
        <v>0</v>
      </c>
      <c r="N385" s="141">
        <v>45778</v>
      </c>
      <c r="O385" s="157">
        <f>WEEKNUM(N385)</f>
        <v>18</v>
      </c>
      <c r="P385" s="140"/>
      <c r="Q385" s="140" t="s">
        <v>29</v>
      </c>
      <c r="R385" s="156">
        <f>J385*0.25</f>
        <v>5</v>
      </c>
      <c r="S385" s="156">
        <f>J385*1</f>
        <v>20</v>
      </c>
      <c r="T385" s="156">
        <f>J385*1.2</f>
        <v>24</v>
      </c>
      <c r="U385" s="156">
        <f>J385*0.5</f>
        <v>10</v>
      </c>
      <c r="V385" s="156">
        <f>R385+S385+T385+U385</f>
        <v>59</v>
      </c>
    </row>
    <row r="386" spans="1:22" s="128" customFormat="1" ht="15.6" hidden="1" x14ac:dyDescent="0.3">
      <c r="A386" s="142" t="s">
        <v>477</v>
      </c>
      <c r="B386" s="142">
        <v>761</v>
      </c>
      <c r="C386" s="141">
        <v>45755</v>
      </c>
      <c r="D386" s="140">
        <f>WEEKNUM(C386)</f>
        <v>15</v>
      </c>
      <c r="E386" s="140" t="s">
        <v>475</v>
      </c>
      <c r="F386" s="142" t="s">
        <v>551</v>
      </c>
      <c r="G386" s="142" t="s">
        <v>552</v>
      </c>
      <c r="H386" s="140" t="s">
        <v>494</v>
      </c>
      <c r="I386" s="142" t="s">
        <v>46</v>
      </c>
      <c r="J386" s="157">
        <v>200</v>
      </c>
      <c r="K386" s="143">
        <v>17</v>
      </c>
      <c r="L386" s="143">
        <f>J386*K386</f>
        <v>3400</v>
      </c>
      <c r="M386" s="143">
        <v>0</v>
      </c>
      <c r="N386" s="141">
        <v>45786</v>
      </c>
      <c r="O386" s="157">
        <f>WEEKNUM(N386)</f>
        <v>19</v>
      </c>
      <c r="P386" s="140"/>
      <c r="Q386" s="140" t="s">
        <v>29</v>
      </c>
      <c r="R386" s="143">
        <f>J386*0.25</f>
        <v>50</v>
      </c>
      <c r="S386" s="143">
        <f>J386*0.7</f>
        <v>140</v>
      </c>
      <c r="T386" s="143">
        <f>J386*1</f>
        <v>200</v>
      </c>
      <c r="U386" s="143">
        <f>J386*0.5</f>
        <v>100</v>
      </c>
      <c r="V386" s="143">
        <f>R386+S386+T386+U386</f>
        <v>490</v>
      </c>
    </row>
    <row r="387" spans="1:22" s="128" customFormat="1" ht="15.6" hidden="1" x14ac:dyDescent="0.3">
      <c r="A387" s="142" t="s">
        <v>477</v>
      </c>
      <c r="B387" s="142">
        <v>761</v>
      </c>
      <c r="C387" s="141">
        <v>45755</v>
      </c>
      <c r="D387" s="140">
        <f>WEEKNUM(C387)</f>
        <v>15</v>
      </c>
      <c r="E387" s="140" t="s">
        <v>475</v>
      </c>
      <c r="F387" s="142" t="s">
        <v>551</v>
      </c>
      <c r="G387" s="142" t="s">
        <v>311</v>
      </c>
      <c r="H387" s="140" t="s">
        <v>51</v>
      </c>
      <c r="I387" s="142" t="s">
        <v>46</v>
      </c>
      <c r="J387" s="157">
        <v>200</v>
      </c>
      <c r="K387" s="143">
        <v>17.5</v>
      </c>
      <c r="L387" s="143">
        <f>J387*K387</f>
        <v>3500</v>
      </c>
      <c r="M387" s="143">
        <v>0</v>
      </c>
      <c r="N387" s="141">
        <v>45786</v>
      </c>
      <c r="O387" s="157">
        <f>WEEKNUM(N387)</f>
        <v>19</v>
      </c>
      <c r="P387" s="140"/>
      <c r="Q387" s="140" t="s">
        <v>29</v>
      </c>
      <c r="R387" s="143">
        <f>J387*0.25</f>
        <v>50</v>
      </c>
      <c r="S387" s="143">
        <f>J387*1</f>
        <v>200</v>
      </c>
      <c r="T387" s="143">
        <f>J387*1.5</f>
        <v>300</v>
      </c>
      <c r="U387" s="143">
        <f>J387*0.5</f>
        <v>100</v>
      </c>
      <c r="V387" s="143">
        <f>R387+S387+T387+U387</f>
        <v>650</v>
      </c>
    </row>
    <row r="388" spans="1:22" s="128" customFormat="1" ht="15.6" hidden="1" x14ac:dyDescent="0.3">
      <c r="A388" s="142" t="s">
        <v>477</v>
      </c>
      <c r="B388" s="142">
        <v>755</v>
      </c>
      <c r="C388" s="141">
        <v>45755</v>
      </c>
      <c r="D388" s="140">
        <f>WEEKNUM(C388)</f>
        <v>15</v>
      </c>
      <c r="E388" s="140" t="s">
        <v>478</v>
      </c>
      <c r="F388" s="142" t="s">
        <v>832</v>
      </c>
      <c r="G388" s="142" t="s">
        <v>833</v>
      </c>
      <c r="H388" s="142" t="s">
        <v>834</v>
      </c>
      <c r="I388" s="142" t="s">
        <v>46</v>
      </c>
      <c r="J388" s="157">
        <v>400</v>
      </c>
      <c r="K388" s="143">
        <v>8.5</v>
      </c>
      <c r="L388" s="143">
        <f>J388*K388</f>
        <v>3400</v>
      </c>
      <c r="M388" s="143">
        <v>0</v>
      </c>
      <c r="N388" s="141">
        <v>45786</v>
      </c>
      <c r="O388" s="157">
        <f>WEEKNUM(N388)</f>
        <v>19</v>
      </c>
      <c r="P388" s="140"/>
      <c r="Q388" s="140" t="s">
        <v>29</v>
      </c>
      <c r="R388" s="143">
        <f>J388*0.25</f>
        <v>100</v>
      </c>
      <c r="S388" s="143">
        <f>J388*0.7</f>
        <v>280</v>
      </c>
      <c r="T388" s="143">
        <f>J388*0.6</f>
        <v>240</v>
      </c>
      <c r="U388" s="143">
        <f>J388*0.5</f>
        <v>200</v>
      </c>
      <c r="V388" s="143">
        <f>R388+S388+T388+U388</f>
        <v>820</v>
      </c>
    </row>
    <row r="389" spans="1:22" s="128" customFormat="1" ht="15.6" hidden="1" x14ac:dyDescent="0.3">
      <c r="A389" s="142" t="s">
        <v>477</v>
      </c>
      <c r="B389" s="142">
        <v>756</v>
      </c>
      <c r="C389" s="141">
        <v>45755</v>
      </c>
      <c r="D389" s="140">
        <f>WEEKNUM(C389)</f>
        <v>15</v>
      </c>
      <c r="E389" s="140" t="s">
        <v>475</v>
      </c>
      <c r="F389" s="142" t="s">
        <v>932</v>
      </c>
      <c r="G389" s="142" t="s">
        <v>311</v>
      </c>
      <c r="H389" s="140" t="s">
        <v>51</v>
      </c>
      <c r="I389" s="142" t="s">
        <v>46</v>
      </c>
      <c r="J389" s="157">
        <v>50</v>
      </c>
      <c r="K389" s="143">
        <v>20</v>
      </c>
      <c r="L389" s="143">
        <f>J389*K389</f>
        <v>1000</v>
      </c>
      <c r="M389" s="143">
        <v>0</v>
      </c>
      <c r="N389" s="141">
        <v>45785</v>
      </c>
      <c r="O389" s="157">
        <f>WEEKNUM(N389)</f>
        <v>19</v>
      </c>
      <c r="P389" s="140"/>
      <c r="Q389" s="140" t="s">
        <v>29</v>
      </c>
      <c r="R389" s="143">
        <f>J389*0.25</f>
        <v>12.5</v>
      </c>
      <c r="S389" s="143">
        <f>J389*0.7</f>
        <v>35</v>
      </c>
      <c r="T389" s="143">
        <f>J389*1.5</f>
        <v>75</v>
      </c>
      <c r="U389" s="143">
        <f>J389*0.5</f>
        <v>25</v>
      </c>
      <c r="V389" s="143">
        <f>R389+S389+T389+U389</f>
        <v>147.5</v>
      </c>
    </row>
    <row r="390" spans="1:22" s="128" customFormat="1" ht="15.6" hidden="1" x14ac:dyDescent="0.3">
      <c r="A390" s="142" t="s">
        <v>477</v>
      </c>
      <c r="B390" s="142">
        <v>1185</v>
      </c>
      <c r="C390" s="141">
        <v>45755</v>
      </c>
      <c r="D390" s="140">
        <f>WEEKNUM(C390)</f>
        <v>15</v>
      </c>
      <c r="E390" s="140" t="s">
        <v>475</v>
      </c>
      <c r="F390" s="140" t="s">
        <v>940</v>
      </c>
      <c r="G390" s="142" t="s">
        <v>944</v>
      </c>
      <c r="H390" s="140" t="s">
        <v>494</v>
      </c>
      <c r="I390" s="142" t="s">
        <v>46</v>
      </c>
      <c r="J390" s="157">
        <v>200</v>
      </c>
      <c r="K390" s="143">
        <v>17</v>
      </c>
      <c r="L390" s="143">
        <f>J390*K390</f>
        <v>3400</v>
      </c>
      <c r="M390" s="143">
        <v>0</v>
      </c>
      <c r="N390" s="141">
        <v>45786</v>
      </c>
      <c r="O390" s="157">
        <f>WEEKNUM(N390)</f>
        <v>19</v>
      </c>
      <c r="P390" s="140"/>
      <c r="Q390" s="140" t="s">
        <v>29</v>
      </c>
      <c r="R390" s="143">
        <f>J390*0.25</f>
        <v>50</v>
      </c>
      <c r="S390" s="143">
        <f>J390*0.7</f>
        <v>140</v>
      </c>
      <c r="T390" s="143">
        <f>J390*1</f>
        <v>200</v>
      </c>
      <c r="U390" s="143">
        <f>J390*0.5</f>
        <v>100</v>
      </c>
      <c r="V390" s="143">
        <f>R390+S390+T390+U390</f>
        <v>490</v>
      </c>
    </row>
    <row r="391" spans="1:22" s="128" customFormat="1" ht="15.6" hidden="1" x14ac:dyDescent="0.3">
      <c r="A391" s="142" t="s">
        <v>477</v>
      </c>
      <c r="B391" s="142">
        <v>1185</v>
      </c>
      <c r="C391" s="141">
        <v>45755</v>
      </c>
      <c r="D391" s="140">
        <f>WEEKNUM(C391)</f>
        <v>15</v>
      </c>
      <c r="E391" s="140" t="s">
        <v>475</v>
      </c>
      <c r="F391" s="140" t="s">
        <v>940</v>
      </c>
      <c r="G391" s="142" t="s">
        <v>945</v>
      </c>
      <c r="H391" s="140" t="s">
        <v>494</v>
      </c>
      <c r="I391" s="142" t="s">
        <v>46</v>
      </c>
      <c r="J391" s="157">
        <v>150</v>
      </c>
      <c r="K391" s="143">
        <v>17</v>
      </c>
      <c r="L391" s="143">
        <f>J391*K391</f>
        <v>2550</v>
      </c>
      <c r="M391" s="143">
        <v>0</v>
      </c>
      <c r="N391" s="141">
        <v>45786</v>
      </c>
      <c r="O391" s="157">
        <f>WEEKNUM(N391)</f>
        <v>19</v>
      </c>
      <c r="P391" s="140"/>
      <c r="Q391" s="140" t="s">
        <v>29</v>
      </c>
      <c r="R391" s="143">
        <f>J391*0.25</f>
        <v>37.5</v>
      </c>
      <c r="S391" s="143">
        <f>J391*0.7</f>
        <v>105</v>
      </c>
      <c r="T391" s="143">
        <f>J391*1</f>
        <v>150</v>
      </c>
      <c r="U391" s="143">
        <f>J391*0.5</f>
        <v>75</v>
      </c>
      <c r="V391" s="143">
        <f>R391+S391+T391+U391</f>
        <v>367.5</v>
      </c>
    </row>
    <row r="392" spans="1:22" s="128" customFormat="1" ht="15.6" hidden="1" x14ac:dyDescent="0.3">
      <c r="A392" s="142" t="s">
        <v>477</v>
      </c>
      <c r="B392" s="142">
        <v>1185</v>
      </c>
      <c r="C392" s="141">
        <v>45755</v>
      </c>
      <c r="D392" s="140">
        <f>WEEKNUM(C392)</f>
        <v>15</v>
      </c>
      <c r="E392" s="140" t="s">
        <v>475</v>
      </c>
      <c r="F392" s="140" t="s">
        <v>940</v>
      </c>
      <c r="G392" s="140" t="s">
        <v>480</v>
      </c>
      <c r="H392" s="140" t="s">
        <v>51</v>
      </c>
      <c r="I392" s="142" t="s">
        <v>46</v>
      </c>
      <c r="J392" s="157">
        <v>200</v>
      </c>
      <c r="K392" s="143">
        <v>19.5</v>
      </c>
      <c r="L392" s="143">
        <f>J392*K392</f>
        <v>3900</v>
      </c>
      <c r="M392" s="143">
        <v>0</v>
      </c>
      <c r="N392" s="141">
        <v>45786</v>
      </c>
      <c r="O392" s="157">
        <f>WEEKNUM(N392)</f>
        <v>19</v>
      </c>
      <c r="P392" s="140"/>
      <c r="Q392" s="140" t="s">
        <v>29</v>
      </c>
      <c r="R392" s="143">
        <f>J392*0.25</f>
        <v>50</v>
      </c>
      <c r="S392" s="143">
        <f>J392*1</f>
        <v>200</v>
      </c>
      <c r="T392" s="143">
        <f>J392*1.84</f>
        <v>368</v>
      </c>
      <c r="U392" s="143">
        <f>J392*0.5</f>
        <v>100</v>
      </c>
      <c r="V392" s="143">
        <f>R392+S392+T392+U392</f>
        <v>718</v>
      </c>
    </row>
    <row r="393" spans="1:22" s="128" customFormat="1" ht="15.6" hidden="1" x14ac:dyDescent="0.3">
      <c r="A393" s="142" t="s">
        <v>474</v>
      </c>
      <c r="B393" s="142">
        <v>719</v>
      </c>
      <c r="C393" s="141">
        <v>45756</v>
      </c>
      <c r="D393" s="140">
        <f>WEEKNUM(C393)</f>
        <v>15</v>
      </c>
      <c r="E393" s="158" t="s">
        <v>498</v>
      </c>
      <c r="F393" s="142" t="s">
        <v>547</v>
      </c>
      <c r="G393" s="142" t="s">
        <v>548</v>
      </c>
      <c r="H393" s="140" t="s">
        <v>60</v>
      </c>
      <c r="I393" s="142" t="s">
        <v>61</v>
      </c>
      <c r="J393" s="157">
        <v>1000</v>
      </c>
      <c r="K393" s="143">
        <v>7.2</v>
      </c>
      <c r="L393" s="143">
        <f>J393*K393</f>
        <v>7200</v>
      </c>
      <c r="M393" s="143">
        <v>0</v>
      </c>
      <c r="N393" s="141">
        <v>45789</v>
      </c>
      <c r="O393" s="157">
        <f>WEEKNUM(N393)</f>
        <v>20</v>
      </c>
      <c r="P393" s="140"/>
      <c r="Q393" s="140" t="s">
        <v>29</v>
      </c>
      <c r="R393" s="143">
        <f>J393*0.25</f>
        <v>250</v>
      </c>
      <c r="S393" s="143">
        <f>J393*0.7</f>
        <v>700</v>
      </c>
      <c r="T393" s="143">
        <f>J393*1.5</f>
        <v>1500</v>
      </c>
      <c r="U393" s="143">
        <f>J393*1</f>
        <v>1000</v>
      </c>
      <c r="V393" s="143">
        <f>R393+S393+T393+U393</f>
        <v>3450</v>
      </c>
    </row>
    <row r="394" spans="1:22" s="128" customFormat="1" ht="15.6" hidden="1" x14ac:dyDescent="0.3">
      <c r="A394" s="142" t="s">
        <v>477</v>
      </c>
      <c r="B394" s="142">
        <v>757</v>
      </c>
      <c r="C394" s="141">
        <v>45756</v>
      </c>
      <c r="D394" s="140">
        <f>WEEKNUM(C394)</f>
        <v>15</v>
      </c>
      <c r="E394" s="158" t="s">
        <v>498</v>
      </c>
      <c r="F394" s="140" t="s">
        <v>563</v>
      </c>
      <c r="G394" s="142" t="s">
        <v>487</v>
      </c>
      <c r="H394" s="140" t="s">
        <v>51</v>
      </c>
      <c r="I394" s="142" t="s">
        <v>46</v>
      </c>
      <c r="J394" s="157">
        <v>250</v>
      </c>
      <c r="K394" s="143">
        <v>24.5</v>
      </c>
      <c r="L394" s="143">
        <f>J394*K394</f>
        <v>6125</v>
      </c>
      <c r="M394" s="143">
        <v>0</v>
      </c>
      <c r="N394" s="141">
        <v>45786</v>
      </c>
      <c r="O394" s="157">
        <f>WEEKNUM(N394)</f>
        <v>19</v>
      </c>
      <c r="P394" s="140"/>
      <c r="Q394" s="140" t="s">
        <v>29</v>
      </c>
      <c r="R394" s="143">
        <f>J394*0.25</f>
        <v>62.5</v>
      </c>
      <c r="S394" s="143">
        <f>J394*1</f>
        <v>250</v>
      </c>
      <c r="T394" s="143">
        <f>J394*1.84</f>
        <v>460</v>
      </c>
      <c r="U394" s="143">
        <f>J394*0.5</f>
        <v>125</v>
      </c>
      <c r="V394" s="143">
        <f>R394+S394+T394+U394</f>
        <v>897.5</v>
      </c>
    </row>
    <row r="395" spans="1:22" s="128" customFormat="1" ht="15.6" hidden="1" x14ac:dyDescent="0.3">
      <c r="A395" s="142" t="s">
        <v>491</v>
      </c>
      <c r="B395" s="142">
        <v>1187</v>
      </c>
      <c r="C395" s="141">
        <v>45756</v>
      </c>
      <c r="D395" s="140">
        <f>WEEKNUM(C395)</f>
        <v>15</v>
      </c>
      <c r="E395" s="158" t="s">
        <v>68</v>
      </c>
      <c r="F395" s="142" t="s">
        <v>364</v>
      </c>
      <c r="G395" s="142" t="s">
        <v>311</v>
      </c>
      <c r="H395" s="140" t="s">
        <v>51</v>
      </c>
      <c r="I395" s="142" t="s">
        <v>46</v>
      </c>
      <c r="J395" s="157">
        <v>8</v>
      </c>
      <c r="K395" s="143">
        <v>25</v>
      </c>
      <c r="L395" s="143">
        <f>J395*K395</f>
        <v>200</v>
      </c>
      <c r="M395" s="143">
        <v>0</v>
      </c>
      <c r="N395" s="141">
        <v>45770</v>
      </c>
      <c r="O395" s="157">
        <f>WEEKNUM(N395)</f>
        <v>17</v>
      </c>
      <c r="P395" s="140"/>
      <c r="Q395" s="140" t="s">
        <v>29</v>
      </c>
      <c r="R395" s="143">
        <f>J395*0.25</f>
        <v>2</v>
      </c>
      <c r="S395" s="143">
        <f>J395*1</f>
        <v>8</v>
      </c>
      <c r="T395" s="143">
        <f>J395*1.5</f>
        <v>12</v>
      </c>
      <c r="U395" s="143">
        <f>J395*0.5</f>
        <v>4</v>
      </c>
      <c r="V395" s="143">
        <f>R395+S395+T395+U395</f>
        <v>26</v>
      </c>
    </row>
    <row r="396" spans="1:22" s="128" customFormat="1" ht="15.6" hidden="1" x14ac:dyDescent="0.3">
      <c r="A396" s="142" t="s">
        <v>491</v>
      </c>
      <c r="B396" s="142">
        <v>1187</v>
      </c>
      <c r="C396" s="141">
        <v>45756</v>
      </c>
      <c r="D396" s="140">
        <f>WEEKNUM(C396)</f>
        <v>15</v>
      </c>
      <c r="E396" s="158" t="s">
        <v>68</v>
      </c>
      <c r="F396" s="142" t="s">
        <v>364</v>
      </c>
      <c r="G396" s="142" t="s">
        <v>301</v>
      </c>
      <c r="H396" s="140" t="s">
        <v>74</v>
      </c>
      <c r="I396" s="142" t="s">
        <v>46</v>
      </c>
      <c r="J396" s="157">
        <v>6</v>
      </c>
      <c r="K396" s="143">
        <v>36.75</v>
      </c>
      <c r="L396" s="143">
        <f>J396*K396</f>
        <v>220.5</v>
      </c>
      <c r="M396" s="143">
        <v>0</v>
      </c>
      <c r="N396" s="141">
        <v>45770</v>
      </c>
      <c r="O396" s="157">
        <f>WEEKNUM(N396)</f>
        <v>17</v>
      </c>
      <c r="P396" s="140"/>
      <c r="Q396" s="140" t="s">
        <v>29</v>
      </c>
      <c r="R396" s="143">
        <f>J396*1</f>
        <v>6</v>
      </c>
      <c r="S396" s="143">
        <f>J396*1.5</f>
        <v>9</v>
      </c>
      <c r="T396" s="143">
        <f>J396*1.5</f>
        <v>9</v>
      </c>
      <c r="U396" s="143">
        <f>J396*1</f>
        <v>6</v>
      </c>
      <c r="V396" s="143">
        <f>R396+S396+T396+U396</f>
        <v>30</v>
      </c>
    </row>
    <row r="397" spans="1:22" s="128" customFormat="1" ht="15.6" hidden="1" x14ac:dyDescent="0.3">
      <c r="A397" s="142" t="s">
        <v>491</v>
      </c>
      <c r="B397" s="142">
        <v>1187</v>
      </c>
      <c r="C397" s="141">
        <v>45756</v>
      </c>
      <c r="D397" s="140">
        <f>WEEKNUM(C397)</f>
        <v>15</v>
      </c>
      <c r="E397" s="158" t="s">
        <v>68</v>
      </c>
      <c r="F397" s="142" t="s">
        <v>364</v>
      </c>
      <c r="G397" s="140" t="s">
        <v>503</v>
      </c>
      <c r="H397" s="140" t="s">
        <v>354</v>
      </c>
      <c r="I397" s="142" t="s">
        <v>46</v>
      </c>
      <c r="J397" s="157">
        <v>6</v>
      </c>
      <c r="K397" s="143">
        <v>36.75</v>
      </c>
      <c r="L397" s="143">
        <f>J397*K397</f>
        <v>220.5</v>
      </c>
      <c r="M397" s="143">
        <v>0</v>
      </c>
      <c r="N397" s="141">
        <v>45770</v>
      </c>
      <c r="O397" s="157">
        <f>WEEKNUM(N397)</f>
        <v>17</v>
      </c>
      <c r="P397" s="140"/>
      <c r="Q397" s="140" t="s">
        <v>29</v>
      </c>
      <c r="R397" s="143">
        <f>J397*0.25</f>
        <v>1.5</v>
      </c>
      <c r="S397" s="143">
        <f>J397*1</f>
        <v>6</v>
      </c>
      <c r="T397" s="143">
        <f>J397*1.5</f>
        <v>9</v>
      </c>
      <c r="U397" s="143">
        <f>J397*0.5</f>
        <v>3</v>
      </c>
      <c r="V397" s="143">
        <f>R397+S397+T397+U397</f>
        <v>19.5</v>
      </c>
    </row>
    <row r="398" spans="1:22" s="128" customFormat="1" ht="15.6" hidden="1" x14ac:dyDescent="0.3">
      <c r="A398" s="142" t="s">
        <v>491</v>
      </c>
      <c r="B398" s="142">
        <v>1187</v>
      </c>
      <c r="C398" s="141">
        <v>45756</v>
      </c>
      <c r="D398" s="140">
        <f>WEEKNUM(C398)</f>
        <v>15</v>
      </c>
      <c r="E398" s="158" t="s">
        <v>68</v>
      </c>
      <c r="F398" s="142" t="s">
        <v>364</v>
      </c>
      <c r="G398" s="142" t="s">
        <v>408</v>
      </c>
      <c r="H398" s="140" t="s">
        <v>80</v>
      </c>
      <c r="I398" s="142" t="s">
        <v>46</v>
      </c>
      <c r="J398" s="157">
        <v>4</v>
      </c>
      <c r="K398" s="143">
        <v>21</v>
      </c>
      <c r="L398" s="143">
        <f>J398*K398</f>
        <v>84</v>
      </c>
      <c r="M398" s="143">
        <v>0</v>
      </c>
      <c r="N398" s="141">
        <v>45770</v>
      </c>
      <c r="O398" s="157">
        <f>WEEKNUM(N398)</f>
        <v>17</v>
      </c>
      <c r="P398" s="140"/>
      <c r="Q398" s="140" t="s">
        <v>29</v>
      </c>
      <c r="R398" s="156">
        <f>J398*0.25</f>
        <v>1</v>
      </c>
      <c r="S398" s="156">
        <f>J398*1</f>
        <v>4</v>
      </c>
      <c r="T398" s="156">
        <f>J398*1.2</f>
        <v>4.8</v>
      </c>
      <c r="U398" s="156">
        <f>J398*0.5</f>
        <v>2</v>
      </c>
      <c r="V398" s="156">
        <f>R398+S398+T398+U398</f>
        <v>11.8</v>
      </c>
    </row>
    <row r="399" spans="1:22" s="128" customFormat="1" ht="15.6" hidden="1" x14ac:dyDescent="0.3">
      <c r="A399" s="142" t="s">
        <v>491</v>
      </c>
      <c r="B399" s="142">
        <v>1186</v>
      </c>
      <c r="C399" s="141">
        <v>45756</v>
      </c>
      <c r="D399" s="140">
        <f>WEEKNUM(C399)</f>
        <v>15</v>
      </c>
      <c r="E399" s="158" t="s">
        <v>68</v>
      </c>
      <c r="F399" s="142" t="s">
        <v>365</v>
      </c>
      <c r="G399" s="140" t="s">
        <v>503</v>
      </c>
      <c r="H399" s="142" t="s">
        <v>354</v>
      </c>
      <c r="I399" s="142" t="s">
        <v>46</v>
      </c>
      <c r="J399" s="157">
        <v>2</v>
      </c>
      <c r="K399" s="143">
        <v>36.75</v>
      </c>
      <c r="L399" s="143">
        <f>J399*K399</f>
        <v>73.5</v>
      </c>
      <c r="M399" s="143">
        <v>0</v>
      </c>
      <c r="N399" s="141">
        <v>45761</v>
      </c>
      <c r="O399" s="157">
        <f>WEEKNUM(N399)</f>
        <v>16</v>
      </c>
      <c r="P399" s="140"/>
      <c r="Q399" s="140" t="s">
        <v>29</v>
      </c>
      <c r="R399" s="143">
        <f>J399*0.25</f>
        <v>0.5</v>
      </c>
      <c r="S399" s="143">
        <f>J399*1</f>
        <v>2</v>
      </c>
      <c r="T399" s="143">
        <f>J399*1.5</f>
        <v>3</v>
      </c>
      <c r="U399" s="143">
        <f>J399*0.5</f>
        <v>1</v>
      </c>
      <c r="V399" s="143">
        <f>R399+S399+T399+U399</f>
        <v>6.5</v>
      </c>
    </row>
    <row r="400" spans="1:22" s="128" customFormat="1" ht="15.6" hidden="1" x14ac:dyDescent="0.3">
      <c r="A400" s="142" t="s">
        <v>491</v>
      </c>
      <c r="B400" s="142">
        <v>1186</v>
      </c>
      <c r="C400" s="141">
        <v>45756</v>
      </c>
      <c r="D400" s="140">
        <f>WEEKNUM(C400)</f>
        <v>15</v>
      </c>
      <c r="E400" s="158" t="s">
        <v>68</v>
      </c>
      <c r="F400" s="142" t="s">
        <v>365</v>
      </c>
      <c r="G400" s="142" t="s">
        <v>507</v>
      </c>
      <c r="H400" s="140" t="s">
        <v>74</v>
      </c>
      <c r="I400" s="142" t="s">
        <v>46</v>
      </c>
      <c r="J400" s="157">
        <v>1</v>
      </c>
      <c r="K400" s="143">
        <v>36.75</v>
      </c>
      <c r="L400" s="143">
        <f>J400*K400</f>
        <v>36.75</v>
      </c>
      <c r="M400" s="143">
        <v>0</v>
      </c>
      <c r="N400" s="141">
        <v>45761</v>
      </c>
      <c r="O400" s="157">
        <f>WEEKNUM(N400)</f>
        <v>16</v>
      </c>
      <c r="P400" s="140"/>
      <c r="Q400" s="140" t="s">
        <v>29</v>
      </c>
      <c r="R400" s="143">
        <f>J400*1</f>
        <v>1</v>
      </c>
      <c r="S400" s="143">
        <f>J400*1.5</f>
        <v>1.5</v>
      </c>
      <c r="T400" s="143">
        <f>J400*1.5</f>
        <v>1.5</v>
      </c>
      <c r="U400" s="143">
        <f>J400*1</f>
        <v>1</v>
      </c>
      <c r="V400" s="143">
        <f>R400+S400+T400+U400</f>
        <v>5</v>
      </c>
    </row>
    <row r="401" spans="1:22" s="128" customFormat="1" ht="15.6" hidden="1" x14ac:dyDescent="0.3">
      <c r="A401" s="142" t="s">
        <v>491</v>
      </c>
      <c r="B401" s="142">
        <v>1186</v>
      </c>
      <c r="C401" s="141">
        <v>45756</v>
      </c>
      <c r="D401" s="140">
        <f>WEEKNUM(C401)</f>
        <v>15</v>
      </c>
      <c r="E401" s="158" t="s">
        <v>68</v>
      </c>
      <c r="F401" s="142" t="s">
        <v>365</v>
      </c>
      <c r="G401" s="140" t="s">
        <v>508</v>
      </c>
      <c r="H401" s="142" t="s">
        <v>78</v>
      </c>
      <c r="I401" s="142" t="s">
        <v>46</v>
      </c>
      <c r="J401" s="157">
        <v>2</v>
      </c>
      <c r="K401" s="143">
        <v>85</v>
      </c>
      <c r="L401" s="143">
        <f>J401*K401</f>
        <v>170</v>
      </c>
      <c r="M401" s="143">
        <v>0</v>
      </c>
      <c r="N401" s="141">
        <v>45761</v>
      </c>
      <c r="O401" s="157">
        <f>WEEKNUM(N401)</f>
        <v>16</v>
      </c>
      <c r="P401" s="140"/>
      <c r="Q401" s="140" t="s">
        <v>29</v>
      </c>
      <c r="R401" s="143">
        <f>J401*1</f>
        <v>2</v>
      </c>
      <c r="S401" s="143">
        <f>J401*0</f>
        <v>0</v>
      </c>
      <c r="T401" s="143">
        <f>J401*3</f>
        <v>6</v>
      </c>
      <c r="U401" s="143">
        <f>J401*1</f>
        <v>2</v>
      </c>
      <c r="V401" s="143">
        <f>R401+S401+T401+U401</f>
        <v>10</v>
      </c>
    </row>
    <row r="402" spans="1:22" s="128" customFormat="1" ht="15.6" hidden="1" x14ac:dyDescent="0.3">
      <c r="A402" s="142" t="s">
        <v>491</v>
      </c>
      <c r="B402" s="142">
        <v>1186</v>
      </c>
      <c r="C402" s="141">
        <v>45756</v>
      </c>
      <c r="D402" s="140">
        <f>WEEKNUM(C402)</f>
        <v>15</v>
      </c>
      <c r="E402" s="158" t="s">
        <v>68</v>
      </c>
      <c r="F402" s="142" t="s">
        <v>365</v>
      </c>
      <c r="G402" s="142" t="s">
        <v>311</v>
      </c>
      <c r="H402" s="140" t="s">
        <v>51</v>
      </c>
      <c r="I402" s="142" t="s">
        <v>46</v>
      </c>
      <c r="J402" s="157">
        <v>5</v>
      </c>
      <c r="K402" s="143">
        <v>25</v>
      </c>
      <c r="L402" s="143">
        <f>J402*K402</f>
        <v>125</v>
      </c>
      <c r="M402" s="143">
        <v>0</v>
      </c>
      <c r="N402" s="141">
        <v>45761</v>
      </c>
      <c r="O402" s="157">
        <f>WEEKNUM(N402)</f>
        <v>16</v>
      </c>
      <c r="P402" s="140"/>
      <c r="Q402" s="140" t="s">
        <v>29</v>
      </c>
      <c r="R402" s="143">
        <f>J402*0.25</f>
        <v>1.25</v>
      </c>
      <c r="S402" s="143">
        <f>J402*1</f>
        <v>5</v>
      </c>
      <c r="T402" s="143">
        <f>J402*1.5</f>
        <v>7.5</v>
      </c>
      <c r="U402" s="143">
        <f>J402*0.5</f>
        <v>2.5</v>
      </c>
      <c r="V402" s="143">
        <f>R402+S402+T402+U402</f>
        <v>16.25</v>
      </c>
    </row>
    <row r="403" spans="1:22" s="128" customFormat="1" ht="15.6" hidden="1" x14ac:dyDescent="0.3">
      <c r="A403" s="142" t="s">
        <v>491</v>
      </c>
      <c r="B403" s="142">
        <v>1186</v>
      </c>
      <c r="C403" s="141">
        <v>45756</v>
      </c>
      <c r="D403" s="140">
        <f>WEEKNUM(C403)</f>
        <v>15</v>
      </c>
      <c r="E403" s="158" t="s">
        <v>68</v>
      </c>
      <c r="F403" s="142" t="s">
        <v>365</v>
      </c>
      <c r="G403" s="142" t="s">
        <v>408</v>
      </c>
      <c r="H403" s="140" t="s">
        <v>80</v>
      </c>
      <c r="I403" s="142" t="s">
        <v>46</v>
      </c>
      <c r="J403" s="157">
        <v>3</v>
      </c>
      <c r="K403" s="143">
        <v>21</v>
      </c>
      <c r="L403" s="143">
        <f>J403*K403</f>
        <v>63</v>
      </c>
      <c r="M403" s="143">
        <v>0</v>
      </c>
      <c r="N403" s="141">
        <v>45761</v>
      </c>
      <c r="O403" s="157">
        <f>WEEKNUM(N403)</f>
        <v>16</v>
      </c>
      <c r="P403" s="140"/>
      <c r="Q403" s="140" t="s">
        <v>29</v>
      </c>
      <c r="R403" s="156">
        <f>J403*0.25</f>
        <v>0.75</v>
      </c>
      <c r="S403" s="156">
        <f>J403*1</f>
        <v>3</v>
      </c>
      <c r="T403" s="156">
        <f>J403*1.2</f>
        <v>3.5999999999999996</v>
      </c>
      <c r="U403" s="156">
        <f>J403*0.5</f>
        <v>1.5</v>
      </c>
      <c r="V403" s="156">
        <f>R403+S403+T403+U403</f>
        <v>8.85</v>
      </c>
    </row>
    <row r="404" spans="1:22" s="128" customFormat="1" ht="15.6" hidden="1" x14ac:dyDescent="0.3">
      <c r="A404" s="142" t="s">
        <v>491</v>
      </c>
      <c r="B404" s="142">
        <v>1186</v>
      </c>
      <c r="C404" s="141">
        <v>45756</v>
      </c>
      <c r="D404" s="140">
        <f>WEEKNUM(C404)</f>
        <v>15</v>
      </c>
      <c r="E404" s="158" t="s">
        <v>68</v>
      </c>
      <c r="F404" s="142" t="s">
        <v>365</v>
      </c>
      <c r="G404" s="142" t="s">
        <v>505</v>
      </c>
      <c r="H404" s="140" t="s">
        <v>78</v>
      </c>
      <c r="I404" s="142" t="s">
        <v>61</v>
      </c>
      <c r="J404" s="157">
        <v>5</v>
      </c>
      <c r="K404" s="143">
        <v>75</v>
      </c>
      <c r="L404" s="143">
        <f>J404*K404</f>
        <v>375</v>
      </c>
      <c r="M404" s="143">
        <v>0</v>
      </c>
      <c r="N404" s="141">
        <v>45761</v>
      </c>
      <c r="O404" s="157">
        <f>WEEKNUM(N404)</f>
        <v>16</v>
      </c>
      <c r="P404" s="140"/>
      <c r="Q404" s="140" t="s">
        <v>29</v>
      </c>
      <c r="R404" s="143">
        <f>J404*2</f>
        <v>10</v>
      </c>
      <c r="S404" s="143">
        <v>0</v>
      </c>
      <c r="T404" s="143">
        <f>J404*3</f>
        <v>15</v>
      </c>
      <c r="U404" s="143">
        <f>J404*1</f>
        <v>5</v>
      </c>
      <c r="V404" s="143">
        <f>R404+S404+T404+U404</f>
        <v>30</v>
      </c>
    </row>
    <row r="405" spans="1:22" s="128" customFormat="1" ht="15.6" hidden="1" x14ac:dyDescent="0.3">
      <c r="A405" s="142" t="s">
        <v>491</v>
      </c>
      <c r="B405" s="142">
        <v>1193</v>
      </c>
      <c r="C405" s="141">
        <v>45758</v>
      </c>
      <c r="D405" s="140">
        <f>WEEKNUM(C405)</f>
        <v>15</v>
      </c>
      <c r="E405" s="158" t="s">
        <v>68</v>
      </c>
      <c r="F405" s="142" t="s">
        <v>360</v>
      </c>
      <c r="G405" s="142" t="s">
        <v>339</v>
      </c>
      <c r="H405" s="142" t="s">
        <v>340</v>
      </c>
      <c r="I405" s="142" t="s">
        <v>46</v>
      </c>
      <c r="J405" s="157">
        <v>4</v>
      </c>
      <c r="K405" s="143">
        <v>65</v>
      </c>
      <c r="L405" s="143">
        <f>J405*K405</f>
        <v>260</v>
      </c>
      <c r="M405" s="143">
        <v>0</v>
      </c>
      <c r="N405" s="141">
        <v>45788</v>
      </c>
      <c r="O405" s="157">
        <f>WEEKNUM(N405)</f>
        <v>20</v>
      </c>
      <c r="P405" s="140"/>
      <c r="Q405" s="140" t="s">
        <v>29</v>
      </c>
      <c r="R405" s="143">
        <f>J405*0.25</f>
        <v>1</v>
      </c>
      <c r="S405" s="143">
        <f>J405*1</f>
        <v>4</v>
      </c>
      <c r="T405" s="143">
        <f>J405*1.5</f>
        <v>6</v>
      </c>
      <c r="U405" s="143">
        <f>J405*0.5</f>
        <v>2</v>
      </c>
      <c r="V405" s="143">
        <f>R405+S405+T405+U405</f>
        <v>13</v>
      </c>
    </row>
    <row r="406" spans="1:22" s="128" customFormat="1" ht="15.6" hidden="1" x14ac:dyDescent="0.3">
      <c r="A406" s="142" t="s">
        <v>491</v>
      </c>
      <c r="B406" s="142">
        <v>1190</v>
      </c>
      <c r="C406" s="141">
        <v>45758</v>
      </c>
      <c r="D406" s="140">
        <f>WEEKNUM(C406)</f>
        <v>15</v>
      </c>
      <c r="E406" s="158" t="s">
        <v>68</v>
      </c>
      <c r="F406" s="142" t="s">
        <v>360</v>
      </c>
      <c r="G406" s="142" t="s">
        <v>311</v>
      </c>
      <c r="H406" s="140" t="s">
        <v>51</v>
      </c>
      <c r="I406" s="142" t="s">
        <v>46</v>
      </c>
      <c r="J406" s="157">
        <v>6</v>
      </c>
      <c r="K406" s="143">
        <v>25</v>
      </c>
      <c r="L406" s="143">
        <f>J406*K406</f>
        <v>150</v>
      </c>
      <c r="M406" s="143">
        <v>0</v>
      </c>
      <c r="N406" s="141">
        <v>45788</v>
      </c>
      <c r="O406" s="157">
        <f>WEEKNUM(N406)</f>
        <v>20</v>
      </c>
      <c r="P406" s="140"/>
      <c r="Q406" s="140" t="s">
        <v>29</v>
      </c>
      <c r="R406" s="143">
        <f>J406*0.25</f>
        <v>1.5</v>
      </c>
      <c r="S406" s="143">
        <f>J406*1</f>
        <v>6</v>
      </c>
      <c r="T406" s="143">
        <f>J406*1.5</f>
        <v>9</v>
      </c>
      <c r="U406" s="143">
        <f>J406*0.5</f>
        <v>3</v>
      </c>
      <c r="V406" s="143">
        <f>R406+S406+T406+U406</f>
        <v>19.5</v>
      </c>
    </row>
    <row r="407" spans="1:22" s="128" customFormat="1" ht="15.6" hidden="1" x14ac:dyDescent="0.3">
      <c r="A407" s="142" t="s">
        <v>491</v>
      </c>
      <c r="B407" s="142">
        <v>1190</v>
      </c>
      <c r="C407" s="141">
        <v>45758</v>
      </c>
      <c r="D407" s="140">
        <f>WEEKNUM(C407)</f>
        <v>15</v>
      </c>
      <c r="E407" s="158" t="s">
        <v>68</v>
      </c>
      <c r="F407" s="142" t="s">
        <v>360</v>
      </c>
      <c r="G407" s="142" t="s">
        <v>507</v>
      </c>
      <c r="H407" s="140" t="s">
        <v>74</v>
      </c>
      <c r="I407" s="142" t="s">
        <v>46</v>
      </c>
      <c r="J407" s="157">
        <v>12</v>
      </c>
      <c r="K407" s="143">
        <v>36.75</v>
      </c>
      <c r="L407" s="143">
        <f>J407*K407</f>
        <v>441</v>
      </c>
      <c r="M407" s="143">
        <v>0</v>
      </c>
      <c r="N407" s="141">
        <v>45788</v>
      </c>
      <c r="O407" s="157">
        <f>WEEKNUM(N407)</f>
        <v>20</v>
      </c>
      <c r="P407" s="140"/>
      <c r="Q407" s="140" t="s">
        <v>29</v>
      </c>
      <c r="R407" s="143">
        <f>J407*1</f>
        <v>12</v>
      </c>
      <c r="S407" s="143">
        <f>J407*1.5</f>
        <v>18</v>
      </c>
      <c r="T407" s="143">
        <f>J407*1.5</f>
        <v>18</v>
      </c>
      <c r="U407" s="143">
        <f>J407*1</f>
        <v>12</v>
      </c>
      <c r="V407" s="143">
        <f>R407+S407+T407+U407</f>
        <v>60</v>
      </c>
    </row>
    <row r="408" spans="1:22" s="128" customFormat="1" ht="15.6" hidden="1" x14ac:dyDescent="0.3">
      <c r="A408" s="142" t="s">
        <v>491</v>
      </c>
      <c r="B408" s="142">
        <v>1190</v>
      </c>
      <c r="C408" s="141">
        <v>45758</v>
      </c>
      <c r="D408" s="140">
        <f>WEEKNUM(C408)</f>
        <v>15</v>
      </c>
      <c r="E408" s="158" t="s">
        <v>68</v>
      </c>
      <c r="F408" s="142" t="s">
        <v>360</v>
      </c>
      <c r="G408" s="140" t="s">
        <v>503</v>
      </c>
      <c r="H408" s="140" t="s">
        <v>354</v>
      </c>
      <c r="I408" s="142" t="s">
        <v>46</v>
      </c>
      <c r="J408" s="157">
        <v>1</v>
      </c>
      <c r="K408" s="143">
        <v>36.75</v>
      </c>
      <c r="L408" s="143">
        <f>J408*K408</f>
        <v>36.75</v>
      </c>
      <c r="M408" s="143">
        <v>0</v>
      </c>
      <c r="N408" s="141">
        <v>45788</v>
      </c>
      <c r="O408" s="157">
        <f>WEEKNUM(N408)</f>
        <v>20</v>
      </c>
      <c r="P408" s="140"/>
      <c r="Q408" s="140" t="s">
        <v>29</v>
      </c>
      <c r="R408" s="143">
        <f>J408*0.25</f>
        <v>0.25</v>
      </c>
      <c r="S408" s="143">
        <f>J408*1</f>
        <v>1</v>
      </c>
      <c r="T408" s="143">
        <f>J408*1.5</f>
        <v>1.5</v>
      </c>
      <c r="U408" s="143">
        <f>J408*0.5</f>
        <v>0.5</v>
      </c>
      <c r="V408" s="143">
        <f>R408+S408+T408+U408</f>
        <v>3.25</v>
      </c>
    </row>
    <row r="409" spans="1:22" s="128" customFormat="1" ht="15.6" hidden="1" x14ac:dyDescent="0.3">
      <c r="A409" s="142" t="s">
        <v>474</v>
      </c>
      <c r="B409" s="142">
        <v>1189</v>
      </c>
      <c r="C409" s="141">
        <v>45758</v>
      </c>
      <c r="D409" s="140">
        <f>WEEKNUM(C409)</f>
        <v>15</v>
      </c>
      <c r="E409" s="140" t="s">
        <v>475</v>
      </c>
      <c r="F409" s="142" t="s">
        <v>209</v>
      </c>
      <c r="G409" s="140" t="s">
        <v>480</v>
      </c>
      <c r="H409" s="140" t="s">
        <v>51</v>
      </c>
      <c r="I409" s="142" t="s">
        <v>46</v>
      </c>
      <c r="J409" s="157">
        <v>300</v>
      </c>
      <c r="K409" s="143">
        <v>16.899999999999999</v>
      </c>
      <c r="L409" s="143">
        <f>J409*K409</f>
        <v>5070</v>
      </c>
      <c r="M409" s="143">
        <v>0</v>
      </c>
      <c r="N409" s="141">
        <v>45790</v>
      </c>
      <c r="O409" s="157">
        <f>WEEKNUM(N409)</f>
        <v>20</v>
      </c>
      <c r="P409" s="140"/>
      <c r="Q409" s="140" t="s">
        <v>29</v>
      </c>
      <c r="R409" s="143">
        <f>J409*0.25</f>
        <v>75</v>
      </c>
      <c r="S409" s="143">
        <f>J409*1</f>
        <v>300</v>
      </c>
      <c r="T409" s="143">
        <f>J409*1.84</f>
        <v>552</v>
      </c>
      <c r="U409" s="143">
        <f>J409*0.5</f>
        <v>150</v>
      </c>
      <c r="V409" s="143">
        <f>R409+S409+T409+U409</f>
        <v>1077</v>
      </c>
    </row>
    <row r="410" spans="1:22" s="128" customFormat="1" ht="15.6" hidden="1" x14ac:dyDescent="0.3">
      <c r="A410" s="142" t="s">
        <v>477</v>
      </c>
      <c r="B410" s="142">
        <v>1191</v>
      </c>
      <c r="C410" s="141">
        <v>45761</v>
      </c>
      <c r="D410" s="140">
        <f>WEEKNUM(C410)</f>
        <v>16</v>
      </c>
      <c r="E410" s="140" t="s">
        <v>475</v>
      </c>
      <c r="F410" s="140" t="s">
        <v>788</v>
      </c>
      <c r="G410" s="142" t="s">
        <v>791</v>
      </c>
      <c r="H410" s="140" t="s">
        <v>60</v>
      </c>
      <c r="I410" s="142" t="s">
        <v>61</v>
      </c>
      <c r="J410" s="157">
        <v>2000</v>
      </c>
      <c r="K410" s="143">
        <v>12.65</v>
      </c>
      <c r="L410" s="143">
        <f>J410*K410</f>
        <v>25300</v>
      </c>
      <c r="M410" s="143">
        <v>0</v>
      </c>
      <c r="N410" s="141">
        <v>45793</v>
      </c>
      <c r="O410" s="157">
        <f>WEEKNUM(N410)</f>
        <v>20</v>
      </c>
      <c r="P410" s="140"/>
      <c r="Q410" s="140" t="s">
        <v>29</v>
      </c>
      <c r="R410" s="143">
        <f>J410*0.25</f>
        <v>500</v>
      </c>
      <c r="S410" s="143">
        <f>J410*1</f>
        <v>2000</v>
      </c>
      <c r="T410" s="143">
        <f>J410*1.5</f>
        <v>3000</v>
      </c>
      <c r="U410" s="143">
        <f>J410*0.5</f>
        <v>1000</v>
      </c>
      <c r="V410" s="143">
        <f>R410+S410+T410+U410</f>
        <v>6500</v>
      </c>
    </row>
    <row r="411" spans="1:22" s="128" customFormat="1" ht="15.6" hidden="1" x14ac:dyDescent="0.3">
      <c r="A411" s="142" t="s">
        <v>477</v>
      </c>
      <c r="B411" s="142">
        <v>766</v>
      </c>
      <c r="C411" s="141">
        <v>45761</v>
      </c>
      <c r="D411" s="140">
        <f>WEEKNUM(C411)</f>
        <v>16</v>
      </c>
      <c r="E411" s="140" t="s">
        <v>475</v>
      </c>
      <c r="F411" s="142" t="s">
        <v>888</v>
      </c>
      <c r="G411" s="140" t="s">
        <v>480</v>
      </c>
      <c r="H411" s="140" t="s">
        <v>51</v>
      </c>
      <c r="I411" s="140" t="s">
        <v>46</v>
      </c>
      <c r="J411" s="140">
        <v>200</v>
      </c>
      <c r="K411" s="156">
        <v>19.5</v>
      </c>
      <c r="L411" s="156">
        <f>K411*J411</f>
        <v>3900</v>
      </c>
      <c r="M411" s="143">
        <v>0</v>
      </c>
      <c r="N411" s="141">
        <v>45796</v>
      </c>
      <c r="O411" s="157">
        <f>WEEKNUM(N411)</f>
        <v>21</v>
      </c>
      <c r="P411" s="143">
        <f>J411*1.84</f>
        <v>368</v>
      </c>
      <c r="Q411" s="140" t="s">
        <v>29</v>
      </c>
      <c r="R411" s="143">
        <f>J411*0.25</f>
        <v>50</v>
      </c>
      <c r="S411" s="143">
        <f>J411*1</f>
        <v>200</v>
      </c>
      <c r="T411" s="143">
        <f>J411*1.84</f>
        <v>368</v>
      </c>
      <c r="U411" s="143">
        <f>J411*0.5</f>
        <v>100</v>
      </c>
      <c r="V411" s="156">
        <f>SUM(R411:U411)</f>
        <v>718</v>
      </c>
    </row>
    <row r="412" spans="1:22" s="128" customFormat="1" ht="15.6" hidden="1" x14ac:dyDescent="0.3">
      <c r="A412" s="142" t="s">
        <v>477</v>
      </c>
      <c r="B412" s="142">
        <v>766</v>
      </c>
      <c r="C412" s="141">
        <v>45761</v>
      </c>
      <c r="D412" s="140">
        <f>WEEKNUM(C412)</f>
        <v>16</v>
      </c>
      <c r="E412" s="140" t="s">
        <v>475</v>
      </c>
      <c r="F412" s="142" t="s">
        <v>888</v>
      </c>
      <c r="G412" s="140" t="s">
        <v>890</v>
      </c>
      <c r="H412" s="140" t="s">
        <v>494</v>
      </c>
      <c r="I412" s="140" t="s">
        <v>46</v>
      </c>
      <c r="J412" s="140">
        <v>200</v>
      </c>
      <c r="K412" s="156">
        <v>26.5</v>
      </c>
      <c r="L412" s="156">
        <f>K412*J412</f>
        <v>5300</v>
      </c>
      <c r="M412" s="143">
        <v>0</v>
      </c>
      <c r="N412" s="141">
        <v>45796</v>
      </c>
      <c r="O412" s="157">
        <f>WEEKNUM(N412)</f>
        <v>21</v>
      </c>
      <c r="P412" s="143">
        <f>J412*1</f>
        <v>200</v>
      </c>
      <c r="Q412" s="140" t="s">
        <v>29</v>
      </c>
      <c r="R412" s="143">
        <f>J412*0.25</f>
        <v>50</v>
      </c>
      <c r="S412" s="143">
        <f>J412*0.7</f>
        <v>140</v>
      </c>
      <c r="T412" s="143">
        <f>J412*1</f>
        <v>200</v>
      </c>
      <c r="U412" s="143">
        <f>J412*0.5</f>
        <v>100</v>
      </c>
      <c r="V412" s="156">
        <f>SUM(R412:U412)</f>
        <v>490</v>
      </c>
    </row>
    <row r="413" spans="1:22" s="128" customFormat="1" ht="15.6" hidden="1" x14ac:dyDescent="0.3">
      <c r="A413" s="142" t="s">
        <v>474</v>
      </c>
      <c r="B413" s="142">
        <v>767</v>
      </c>
      <c r="C413" s="141">
        <v>45761</v>
      </c>
      <c r="D413" s="140">
        <f>WEEKNUM(C413)</f>
        <v>16</v>
      </c>
      <c r="E413" s="140" t="s">
        <v>475</v>
      </c>
      <c r="F413" s="140" t="s">
        <v>951</v>
      </c>
      <c r="G413" s="140" t="s">
        <v>480</v>
      </c>
      <c r="H413" s="140" t="s">
        <v>51</v>
      </c>
      <c r="I413" s="140" t="s">
        <v>46</v>
      </c>
      <c r="J413" s="140">
        <v>50</v>
      </c>
      <c r="K413" s="156">
        <v>20</v>
      </c>
      <c r="L413" s="156">
        <f>K413*J413</f>
        <v>1000</v>
      </c>
      <c r="M413" s="143">
        <v>0</v>
      </c>
      <c r="N413" s="141">
        <v>45796</v>
      </c>
      <c r="O413" s="157">
        <f>WEEKNUM(N413)</f>
        <v>21</v>
      </c>
      <c r="P413" s="143"/>
      <c r="Q413" s="140" t="s">
        <v>29</v>
      </c>
      <c r="R413" s="143">
        <f>J413*0.25</f>
        <v>12.5</v>
      </c>
      <c r="S413" s="143">
        <f>J413*1</f>
        <v>50</v>
      </c>
      <c r="T413" s="143">
        <f>J413*1.84</f>
        <v>92</v>
      </c>
      <c r="U413" s="143">
        <f>J413*0.5</f>
        <v>25</v>
      </c>
      <c r="V413" s="156">
        <f>SUM(R413:U413)</f>
        <v>179.5</v>
      </c>
    </row>
    <row r="414" spans="1:22" s="128" customFormat="1" ht="15.6" hidden="1" x14ac:dyDescent="0.3">
      <c r="A414" s="142" t="s">
        <v>474</v>
      </c>
      <c r="B414" s="142">
        <v>767</v>
      </c>
      <c r="C414" s="141">
        <v>45761</v>
      </c>
      <c r="D414" s="140">
        <f>WEEKNUM(C414)</f>
        <v>16</v>
      </c>
      <c r="E414" s="140" t="s">
        <v>475</v>
      </c>
      <c r="F414" s="140" t="s">
        <v>951</v>
      </c>
      <c r="G414" s="140" t="s">
        <v>630</v>
      </c>
      <c r="H414" s="140" t="s">
        <v>555</v>
      </c>
      <c r="I414" s="140" t="s">
        <v>46</v>
      </c>
      <c r="J414" s="140">
        <v>60</v>
      </c>
      <c r="K414" s="156">
        <v>26.5</v>
      </c>
      <c r="L414" s="156">
        <f>K414*J414</f>
        <v>1590</v>
      </c>
      <c r="M414" s="143">
        <v>0</v>
      </c>
      <c r="N414" s="141">
        <v>45796</v>
      </c>
      <c r="O414" s="157">
        <f>WEEKNUM(N414)</f>
        <v>21</v>
      </c>
      <c r="P414" s="143"/>
      <c r="Q414" s="140" t="s">
        <v>29</v>
      </c>
      <c r="R414" s="143">
        <f>J414*0.25</f>
        <v>15</v>
      </c>
      <c r="S414" s="143">
        <f>J414*1.5</f>
        <v>90</v>
      </c>
      <c r="T414" s="143">
        <f>J414*5.27</f>
        <v>316.2</v>
      </c>
      <c r="U414" s="143">
        <f>J414*0.5</f>
        <v>30</v>
      </c>
      <c r="V414" s="156">
        <f>SUM(R414:U414)</f>
        <v>451.2</v>
      </c>
    </row>
    <row r="415" spans="1:22" s="128" customFormat="1" ht="15.6" hidden="1" x14ac:dyDescent="0.3">
      <c r="A415" s="142" t="s">
        <v>477</v>
      </c>
      <c r="B415" s="142">
        <v>765</v>
      </c>
      <c r="C415" s="141">
        <v>45761</v>
      </c>
      <c r="D415" s="140">
        <f>WEEKNUM(C415)</f>
        <v>16</v>
      </c>
      <c r="E415" s="140" t="s">
        <v>475</v>
      </c>
      <c r="F415" s="142" t="s">
        <v>997</v>
      </c>
      <c r="G415" s="142" t="s">
        <v>552</v>
      </c>
      <c r="H415" s="140" t="s">
        <v>494</v>
      </c>
      <c r="I415" s="142" t="s">
        <v>46</v>
      </c>
      <c r="J415" s="157">
        <v>110</v>
      </c>
      <c r="K415" s="143">
        <v>18</v>
      </c>
      <c r="L415" s="143">
        <f>J415*K415</f>
        <v>1980</v>
      </c>
      <c r="M415" s="143">
        <v>0</v>
      </c>
      <c r="N415" s="141">
        <v>45791</v>
      </c>
      <c r="O415" s="157">
        <f>WEEKNUM(N415)</f>
        <v>20</v>
      </c>
      <c r="P415" s="140"/>
      <c r="Q415" s="140" t="s">
        <v>29</v>
      </c>
      <c r="R415" s="143">
        <f>J415*0.25</f>
        <v>27.5</v>
      </c>
      <c r="S415" s="143">
        <f>J415*0.7</f>
        <v>77</v>
      </c>
      <c r="T415" s="143">
        <f>J415*1</f>
        <v>110</v>
      </c>
      <c r="U415" s="143">
        <f>J415*0.5</f>
        <v>55</v>
      </c>
      <c r="V415" s="143">
        <f>R415+S415+T415+U415</f>
        <v>269.5</v>
      </c>
    </row>
    <row r="416" spans="1:22" s="128" customFormat="1" ht="15.6" hidden="1" x14ac:dyDescent="0.3">
      <c r="A416" s="142" t="s">
        <v>474</v>
      </c>
      <c r="B416" s="142">
        <v>1192</v>
      </c>
      <c r="C416" s="141">
        <v>45761</v>
      </c>
      <c r="D416" s="140">
        <f>WEEKNUM(C416)</f>
        <v>16</v>
      </c>
      <c r="E416" s="140" t="s">
        <v>475</v>
      </c>
      <c r="F416" s="140" t="s">
        <v>1000</v>
      </c>
      <c r="G416" s="142" t="s">
        <v>311</v>
      </c>
      <c r="H416" s="140" t="s">
        <v>51</v>
      </c>
      <c r="I416" s="140" t="s">
        <v>46</v>
      </c>
      <c r="J416" s="140">
        <v>100</v>
      </c>
      <c r="K416" s="156">
        <v>18</v>
      </c>
      <c r="L416" s="156">
        <f>K416*J416</f>
        <v>1800</v>
      </c>
      <c r="M416" s="143">
        <v>0</v>
      </c>
      <c r="N416" s="141">
        <v>45792</v>
      </c>
      <c r="O416" s="157">
        <f>WEEKNUM(N416)</f>
        <v>20</v>
      </c>
      <c r="P416" s="143"/>
      <c r="Q416" s="140" t="s">
        <v>29</v>
      </c>
      <c r="R416" s="143">
        <f>J416*0.25</f>
        <v>25</v>
      </c>
      <c r="S416" s="143">
        <f>J416*1</f>
        <v>100</v>
      </c>
      <c r="T416" s="143">
        <f>J416*1.5</f>
        <v>150</v>
      </c>
      <c r="U416" s="143">
        <f>J416*0.5</f>
        <v>50</v>
      </c>
      <c r="V416" s="143">
        <f>R416+S416+T416+U416</f>
        <v>325</v>
      </c>
    </row>
    <row r="417" spans="1:22" s="128" customFormat="1" ht="15.6" hidden="1" x14ac:dyDescent="0.3">
      <c r="A417" s="142" t="s">
        <v>474</v>
      </c>
      <c r="B417" s="142">
        <v>1192</v>
      </c>
      <c r="C417" s="141">
        <v>45761</v>
      </c>
      <c r="D417" s="140">
        <f>WEEKNUM(C417)</f>
        <v>16</v>
      </c>
      <c r="E417" s="140" t="s">
        <v>475</v>
      </c>
      <c r="F417" s="140" t="s">
        <v>1000</v>
      </c>
      <c r="G417" s="140" t="s">
        <v>1001</v>
      </c>
      <c r="H417" s="140" t="s">
        <v>494</v>
      </c>
      <c r="I417" s="140" t="s">
        <v>46</v>
      </c>
      <c r="J417" s="140">
        <v>50</v>
      </c>
      <c r="K417" s="156">
        <v>18.5</v>
      </c>
      <c r="L417" s="156">
        <f>K417*J417</f>
        <v>925</v>
      </c>
      <c r="M417" s="143">
        <v>0</v>
      </c>
      <c r="N417" s="141">
        <v>45792</v>
      </c>
      <c r="O417" s="157">
        <f>WEEKNUM(N417)</f>
        <v>20</v>
      </c>
      <c r="P417" s="143"/>
      <c r="Q417" s="140" t="s">
        <v>29</v>
      </c>
      <c r="R417" s="143">
        <f>J417*0.25</f>
        <v>12.5</v>
      </c>
      <c r="S417" s="143">
        <f>J417*0.7</f>
        <v>35</v>
      </c>
      <c r="T417" s="143">
        <f>J417*1</f>
        <v>50</v>
      </c>
      <c r="U417" s="143">
        <f>J417*0.5</f>
        <v>25</v>
      </c>
      <c r="V417" s="143">
        <f>R417+S417+T417+U417</f>
        <v>122.5</v>
      </c>
    </row>
    <row r="418" spans="1:22" s="128" customFormat="1" ht="15.6" hidden="1" x14ac:dyDescent="0.3">
      <c r="A418" s="142" t="s">
        <v>477</v>
      </c>
      <c r="B418" s="142">
        <v>1195</v>
      </c>
      <c r="C418" s="141">
        <v>45762</v>
      </c>
      <c r="D418" s="140">
        <f>WEEKNUM(C418)</f>
        <v>16</v>
      </c>
      <c r="E418" s="140" t="s">
        <v>475</v>
      </c>
      <c r="F418" s="142" t="s">
        <v>647</v>
      </c>
      <c r="G418" s="142" t="s">
        <v>487</v>
      </c>
      <c r="H418" s="140" t="s">
        <v>51</v>
      </c>
      <c r="I418" s="140" t="s">
        <v>46</v>
      </c>
      <c r="J418" s="140">
        <v>150</v>
      </c>
      <c r="K418" s="156">
        <v>23</v>
      </c>
      <c r="L418" s="156">
        <f>K418*J418</f>
        <v>3450</v>
      </c>
      <c r="M418" s="143">
        <v>0</v>
      </c>
      <c r="N418" s="141">
        <v>45793</v>
      </c>
      <c r="O418" s="157">
        <f>WEEKNUM(N418)</f>
        <v>20</v>
      </c>
      <c r="P418" s="143"/>
      <c r="Q418" s="140" t="s">
        <v>29</v>
      </c>
      <c r="R418" s="143">
        <f>J418*0.25</f>
        <v>37.5</v>
      </c>
      <c r="S418" s="143">
        <f>J418*1</f>
        <v>150</v>
      </c>
      <c r="T418" s="143">
        <f>J418*1.6</f>
        <v>240</v>
      </c>
      <c r="U418" s="143">
        <f>J418*0.5</f>
        <v>75</v>
      </c>
      <c r="V418" s="143">
        <f>R418+S418+T418+U418</f>
        <v>502.5</v>
      </c>
    </row>
    <row r="419" spans="1:22" s="128" customFormat="1" ht="15.6" hidden="1" x14ac:dyDescent="0.3">
      <c r="A419" s="142" t="s">
        <v>474</v>
      </c>
      <c r="B419" s="142">
        <v>1196</v>
      </c>
      <c r="C419" s="141">
        <v>45762</v>
      </c>
      <c r="D419" s="140">
        <f>WEEKNUM(C419)</f>
        <v>16</v>
      </c>
      <c r="E419" s="140" t="s">
        <v>475</v>
      </c>
      <c r="F419" s="140" t="s">
        <v>870</v>
      </c>
      <c r="G419" s="140" t="s">
        <v>695</v>
      </c>
      <c r="H419" s="140" t="s">
        <v>304</v>
      </c>
      <c r="I419" s="140" t="s">
        <v>46</v>
      </c>
      <c r="J419" s="140">
        <v>200</v>
      </c>
      <c r="K419" s="156">
        <v>12.9</v>
      </c>
      <c r="L419" s="156">
        <f>K419*J419</f>
        <v>2580</v>
      </c>
      <c r="M419" s="143">
        <v>0</v>
      </c>
      <c r="N419" s="141">
        <v>45797</v>
      </c>
      <c r="O419" s="157">
        <f>WEEKNUM(N419)</f>
        <v>21</v>
      </c>
      <c r="P419" s="143"/>
      <c r="Q419" s="140" t="s">
        <v>29</v>
      </c>
      <c r="R419" s="143">
        <f>J419*1</f>
        <v>200</v>
      </c>
      <c r="S419" s="143">
        <f>J419*0.5</f>
        <v>100</v>
      </c>
      <c r="T419" s="143">
        <f>J419*0.7</f>
        <v>140</v>
      </c>
      <c r="U419" s="143">
        <f>J419*0.5</f>
        <v>100</v>
      </c>
      <c r="V419" s="143">
        <f>R419+S419+T419+U419</f>
        <v>540</v>
      </c>
    </row>
    <row r="420" spans="1:22" s="128" customFormat="1" ht="15.6" hidden="1" x14ac:dyDescent="0.3">
      <c r="A420" s="142" t="s">
        <v>474</v>
      </c>
      <c r="B420" s="142">
        <v>1196</v>
      </c>
      <c r="C420" s="141">
        <v>45762</v>
      </c>
      <c r="D420" s="140">
        <f>WEEKNUM(C420)</f>
        <v>16</v>
      </c>
      <c r="E420" s="140" t="s">
        <v>475</v>
      </c>
      <c r="F420" s="140" t="s">
        <v>870</v>
      </c>
      <c r="G420" s="142" t="s">
        <v>311</v>
      </c>
      <c r="H420" s="140" t="s">
        <v>51</v>
      </c>
      <c r="I420" s="140" t="s">
        <v>46</v>
      </c>
      <c r="J420" s="140">
        <v>100</v>
      </c>
      <c r="K420" s="156">
        <v>15.5</v>
      </c>
      <c r="L420" s="156">
        <f>K420*J420</f>
        <v>1550</v>
      </c>
      <c r="M420" s="143">
        <v>0</v>
      </c>
      <c r="N420" s="141">
        <v>45797</v>
      </c>
      <c r="O420" s="157">
        <f>WEEKNUM(N420)</f>
        <v>21</v>
      </c>
      <c r="P420" s="143"/>
      <c r="Q420" s="140" t="s">
        <v>29</v>
      </c>
      <c r="R420" s="143">
        <f>J420*0.25</f>
        <v>25</v>
      </c>
      <c r="S420" s="143">
        <f>J420*1</f>
        <v>100</v>
      </c>
      <c r="T420" s="143">
        <f>J420*1.5</f>
        <v>150</v>
      </c>
      <c r="U420" s="143">
        <f>J420*0.5</f>
        <v>50</v>
      </c>
      <c r="V420" s="143">
        <f>R420+S420+T420+U420</f>
        <v>325</v>
      </c>
    </row>
    <row r="421" spans="1:22" s="128" customFormat="1" ht="15.6" hidden="1" x14ac:dyDescent="0.3">
      <c r="A421" s="142" t="s">
        <v>474</v>
      </c>
      <c r="B421" s="142">
        <v>1196</v>
      </c>
      <c r="C421" s="141">
        <v>45762</v>
      </c>
      <c r="D421" s="140">
        <f>WEEKNUM(C421)</f>
        <v>16</v>
      </c>
      <c r="E421" s="140" t="s">
        <v>475</v>
      </c>
      <c r="F421" s="140" t="s">
        <v>870</v>
      </c>
      <c r="G421" s="140" t="s">
        <v>495</v>
      </c>
      <c r="H421" s="140" t="s">
        <v>494</v>
      </c>
      <c r="I421" s="140" t="s">
        <v>46</v>
      </c>
      <c r="J421" s="140">
        <v>50</v>
      </c>
      <c r="K421" s="156">
        <v>17</v>
      </c>
      <c r="L421" s="156">
        <f>K421*J421</f>
        <v>850</v>
      </c>
      <c r="M421" s="143">
        <v>0</v>
      </c>
      <c r="N421" s="141">
        <v>45797</v>
      </c>
      <c r="O421" s="157">
        <f>WEEKNUM(N421)</f>
        <v>21</v>
      </c>
      <c r="P421" s="143"/>
      <c r="Q421" s="140" t="s">
        <v>29</v>
      </c>
      <c r="R421" s="143">
        <f>J421*0.25</f>
        <v>12.5</v>
      </c>
      <c r="S421" s="143">
        <f>J421*1</f>
        <v>50</v>
      </c>
      <c r="T421" s="143">
        <f>J421*1.5</f>
        <v>75</v>
      </c>
      <c r="U421" s="143">
        <f>J421*0.5</f>
        <v>25</v>
      </c>
      <c r="V421" s="143">
        <f>R421+S421+T421+U421</f>
        <v>162.5</v>
      </c>
    </row>
    <row r="422" spans="1:22" s="128" customFormat="1" ht="15.6" hidden="1" x14ac:dyDescent="0.3">
      <c r="A422" s="142" t="s">
        <v>474</v>
      </c>
      <c r="B422" s="142">
        <v>1197</v>
      </c>
      <c r="C422" s="141">
        <v>45762</v>
      </c>
      <c r="D422" s="140">
        <f>WEEKNUM(C422)</f>
        <v>16</v>
      </c>
      <c r="E422" s="140" t="s">
        <v>475</v>
      </c>
      <c r="F422" s="140" t="s">
        <v>917</v>
      </c>
      <c r="G422" s="142" t="s">
        <v>515</v>
      </c>
      <c r="H422" s="140" t="s">
        <v>60</v>
      </c>
      <c r="I422" s="140" t="s">
        <v>61</v>
      </c>
      <c r="J422" s="140">
        <v>200</v>
      </c>
      <c r="K422" s="156">
        <v>25</v>
      </c>
      <c r="L422" s="156">
        <f>K422*J422</f>
        <v>5000</v>
      </c>
      <c r="M422" s="143">
        <v>0</v>
      </c>
      <c r="N422" s="141">
        <v>45795</v>
      </c>
      <c r="O422" s="157">
        <f>WEEKNUM(N422)</f>
        <v>21</v>
      </c>
      <c r="P422" s="143"/>
      <c r="Q422" s="140" t="s">
        <v>29</v>
      </c>
      <c r="R422" s="143">
        <f>J422*1</f>
        <v>200</v>
      </c>
      <c r="S422" s="143">
        <f>J422*2.5</f>
        <v>500</v>
      </c>
      <c r="T422" s="143">
        <f>J422*0.5</f>
        <v>100</v>
      </c>
      <c r="U422" s="143">
        <f>J422*1</f>
        <v>200</v>
      </c>
      <c r="V422" s="156">
        <f>SUM(R422:U422)</f>
        <v>1000</v>
      </c>
    </row>
    <row r="423" spans="1:22" s="128" customFormat="1" ht="15.6" hidden="1" x14ac:dyDescent="0.3">
      <c r="A423" s="142" t="s">
        <v>491</v>
      </c>
      <c r="B423" s="142">
        <v>1194</v>
      </c>
      <c r="C423" s="141">
        <v>45762</v>
      </c>
      <c r="D423" s="140">
        <f>WEEKNUM(C423)</f>
        <v>16</v>
      </c>
      <c r="E423" s="158" t="s">
        <v>68</v>
      </c>
      <c r="F423" s="140" t="s">
        <v>365</v>
      </c>
      <c r="G423" s="140" t="s">
        <v>508</v>
      </c>
      <c r="H423" s="140" t="s">
        <v>78</v>
      </c>
      <c r="I423" s="140" t="s">
        <v>46</v>
      </c>
      <c r="J423" s="140">
        <v>4</v>
      </c>
      <c r="K423" s="156">
        <v>85</v>
      </c>
      <c r="L423" s="156">
        <f>K423*J423</f>
        <v>340</v>
      </c>
      <c r="M423" s="143">
        <v>0</v>
      </c>
      <c r="N423" s="141">
        <v>45792</v>
      </c>
      <c r="O423" s="157">
        <f>WEEKNUM(N423)</f>
        <v>20</v>
      </c>
      <c r="P423" s="143"/>
      <c r="Q423" s="140" t="s">
        <v>29</v>
      </c>
      <c r="R423" s="143">
        <f>J423*1</f>
        <v>4</v>
      </c>
      <c r="S423" s="143">
        <f>J423*0</f>
        <v>0</v>
      </c>
      <c r="T423" s="143">
        <f>J423*3</f>
        <v>12</v>
      </c>
      <c r="U423" s="143">
        <f>J423*1</f>
        <v>4</v>
      </c>
      <c r="V423" s="143">
        <f>R423+S423+T423+U423</f>
        <v>20</v>
      </c>
    </row>
    <row r="424" spans="1:22" s="128" customFormat="1" ht="15.6" hidden="1" x14ac:dyDescent="0.3">
      <c r="A424" s="142" t="s">
        <v>491</v>
      </c>
      <c r="B424" s="142">
        <v>1194</v>
      </c>
      <c r="C424" s="141">
        <v>45762</v>
      </c>
      <c r="D424" s="140">
        <f>WEEKNUM(C424)</f>
        <v>16</v>
      </c>
      <c r="E424" s="158" t="s">
        <v>68</v>
      </c>
      <c r="F424" s="140" t="s">
        <v>365</v>
      </c>
      <c r="G424" s="142" t="s">
        <v>339</v>
      </c>
      <c r="H424" s="140" t="s">
        <v>340</v>
      </c>
      <c r="I424" s="140" t="s">
        <v>46</v>
      </c>
      <c r="J424" s="140">
        <v>4</v>
      </c>
      <c r="K424" s="156">
        <v>65</v>
      </c>
      <c r="L424" s="156">
        <f>K424*J424</f>
        <v>260</v>
      </c>
      <c r="M424" s="143">
        <v>0</v>
      </c>
      <c r="N424" s="141">
        <v>45792</v>
      </c>
      <c r="O424" s="157">
        <f>WEEKNUM(N424)</f>
        <v>20</v>
      </c>
      <c r="P424" s="143"/>
      <c r="Q424" s="140" t="s">
        <v>29</v>
      </c>
      <c r="R424" s="143">
        <v>0</v>
      </c>
      <c r="S424" s="143">
        <f>J424*1</f>
        <v>4</v>
      </c>
      <c r="T424" s="143">
        <v>0</v>
      </c>
      <c r="U424" s="143">
        <f>J424*0.5</f>
        <v>2</v>
      </c>
      <c r="V424" s="143">
        <f>R424+S424+T424+U424</f>
        <v>6</v>
      </c>
    </row>
    <row r="425" spans="1:22" s="128" customFormat="1" ht="15.6" hidden="1" x14ac:dyDescent="0.3">
      <c r="A425" s="142" t="s">
        <v>491</v>
      </c>
      <c r="B425" s="142">
        <v>1194</v>
      </c>
      <c r="C425" s="141">
        <v>45762</v>
      </c>
      <c r="D425" s="140">
        <f>WEEKNUM(C425)</f>
        <v>16</v>
      </c>
      <c r="E425" s="158" t="s">
        <v>68</v>
      </c>
      <c r="F425" s="140" t="s">
        <v>365</v>
      </c>
      <c r="G425" s="140" t="s">
        <v>507</v>
      </c>
      <c r="H425" s="140" t="s">
        <v>74</v>
      </c>
      <c r="I425" s="140" t="s">
        <v>46</v>
      </c>
      <c r="J425" s="140">
        <v>2</v>
      </c>
      <c r="K425" s="156">
        <v>36.75</v>
      </c>
      <c r="L425" s="156">
        <f>K425*J425</f>
        <v>73.5</v>
      </c>
      <c r="M425" s="143">
        <v>0</v>
      </c>
      <c r="N425" s="141">
        <v>45792</v>
      </c>
      <c r="O425" s="157">
        <f>WEEKNUM(N425)</f>
        <v>20</v>
      </c>
      <c r="P425" s="143"/>
      <c r="Q425" s="140" t="s">
        <v>29</v>
      </c>
      <c r="R425" s="143">
        <f>J425*1</f>
        <v>2</v>
      </c>
      <c r="S425" s="143">
        <f>J425*1.5</f>
        <v>3</v>
      </c>
      <c r="T425" s="143">
        <f>J425*1.5</f>
        <v>3</v>
      </c>
      <c r="U425" s="143">
        <f>J425*1</f>
        <v>2</v>
      </c>
      <c r="V425" s="143">
        <f>R425+S425+T425+U425</f>
        <v>10</v>
      </c>
    </row>
    <row r="426" spans="1:22" s="128" customFormat="1" ht="15.6" hidden="1" x14ac:dyDescent="0.3">
      <c r="A426" s="142" t="s">
        <v>491</v>
      </c>
      <c r="B426" s="142">
        <v>1194</v>
      </c>
      <c r="C426" s="141">
        <v>45762</v>
      </c>
      <c r="D426" s="140">
        <f>WEEKNUM(C426)</f>
        <v>16</v>
      </c>
      <c r="E426" s="158" t="s">
        <v>68</v>
      </c>
      <c r="F426" s="140" t="s">
        <v>365</v>
      </c>
      <c r="G426" s="140" t="s">
        <v>503</v>
      </c>
      <c r="H426" s="140" t="s">
        <v>354</v>
      </c>
      <c r="I426" s="140" t="s">
        <v>46</v>
      </c>
      <c r="J426" s="140">
        <v>2</v>
      </c>
      <c r="K426" s="156">
        <v>36.75</v>
      </c>
      <c r="L426" s="156">
        <f>K426*J426</f>
        <v>73.5</v>
      </c>
      <c r="M426" s="143">
        <v>0</v>
      </c>
      <c r="N426" s="141">
        <v>45792</v>
      </c>
      <c r="O426" s="157">
        <f>WEEKNUM(N426)</f>
        <v>20</v>
      </c>
      <c r="P426" s="143"/>
      <c r="Q426" s="140" t="s">
        <v>29</v>
      </c>
      <c r="R426" s="143">
        <f>J426*0.25</f>
        <v>0.5</v>
      </c>
      <c r="S426" s="143">
        <f>J426*1</f>
        <v>2</v>
      </c>
      <c r="T426" s="143">
        <f>J426*1.5</f>
        <v>3</v>
      </c>
      <c r="U426" s="143">
        <f>J426*0.5</f>
        <v>1</v>
      </c>
      <c r="V426" s="143">
        <f>R426+S426+T426+U426</f>
        <v>6.5</v>
      </c>
    </row>
    <row r="427" spans="1:22" s="128" customFormat="1" ht="15.6" hidden="1" x14ac:dyDescent="0.3">
      <c r="A427" s="142" t="s">
        <v>477</v>
      </c>
      <c r="B427" s="142">
        <v>770</v>
      </c>
      <c r="C427" s="141">
        <v>45763</v>
      </c>
      <c r="D427" s="140">
        <f>WEEKNUM(C427)</f>
        <v>16</v>
      </c>
      <c r="E427" s="158" t="s">
        <v>498</v>
      </c>
      <c r="F427" s="140" t="s">
        <v>499</v>
      </c>
      <c r="G427" s="140" t="s">
        <v>500</v>
      </c>
      <c r="H427" s="140" t="s">
        <v>304</v>
      </c>
      <c r="I427" s="140" t="s">
        <v>46</v>
      </c>
      <c r="J427" s="140">
        <v>100</v>
      </c>
      <c r="K427" s="156">
        <v>8.9</v>
      </c>
      <c r="L427" s="156">
        <f>K427*J427</f>
        <v>890</v>
      </c>
      <c r="M427" s="143">
        <v>0</v>
      </c>
      <c r="N427" s="141">
        <v>45797</v>
      </c>
      <c r="O427" s="157">
        <f>WEEKNUM(N427)</f>
        <v>21</v>
      </c>
      <c r="P427" s="143"/>
      <c r="Q427" s="140" t="s">
        <v>29</v>
      </c>
      <c r="R427" s="143">
        <f>J427*0.25</f>
        <v>25</v>
      </c>
      <c r="S427" s="143">
        <f>J427*0.5</f>
        <v>50</v>
      </c>
      <c r="T427" s="143">
        <f>J427*0.6</f>
        <v>60</v>
      </c>
      <c r="U427" s="143">
        <f>J427*1</f>
        <v>100</v>
      </c>
      <c r="V427" s="143">
        <f>R427+S427+T427+U427</f>
        <v>235</v>
      </c>
    </row>
    <row r="428" spans="1:22" s="128" customFormat="1" ht="15.6" hidden="1" x14ac:dyDescent="0.3">
      <c r="A428" s="142" t="s">
        <v>474</v>
      </c>
      <c r="B428" s="142">
        <v>1200</v>
      </c>
      <c r="C428" s="141">
        <v>45763</v>
      </c>
      <c r="D428" s="140">
        <f>WEEKNUM(C428)</f>
        <v>16</v>
      </c>
      <c r="E428" s="140" t="s">
        <v>475</v>
      </c>
      <c r="F428" s="140" t="s">
        <v>541</v>
      </c>
      <c r="G428" s="140" t="s">
        <v>542</v>
      </c>
      <c r="H428" s="140" t="s">
        <v>304</v>
      </c>
      <c r="I428" s="140" t="s">
        <v>46</v>
      </c>
      <c r="J428" s="140">
        <v>500</v>
      </c>
      <c r="K428" s="156">
        <v>12.9</v>
      </c>
      <c r="L428" s="156">
        <f>K428*J428</f>
        <v>6450</v>
      </c>
      <c r="M428" s="143">
        <v>0</v>
      </c>
      <c r="N428" s="141">
        <v>45797</v>
      </c>
      <c r="O428" s="157">
        <f>WEEKNUM(N428)</f>
        <v>21</v>
      </c>
      <c r="P428" s="143"/>
      <c r="Q428" s="140" t="s">
        <v>29</v>
      </c>
      <c r="R428" s="143">
        <f>J428*0.25</f>
        <v>125</v>
      </c>
      <c r="S428" s="143">
        <f>J428*0.7</f>
        <v>350</v>
      </c>
      <c r="T428" s="143">
        <f>J428*1.2</f>
        <v>600</v>
      </c>
      <c r="U428" s="143">
        <f>J428*0.5</f>
        <v>250</v>
      </c>
      <c r="V428" s="143">
        <f>R428+S428+T428+U428</f>
        <v>1325</v>
      </c>
    </row>
    <row r="429" spans="1:22" s="128" customFormat="1" ht="15.6" hidden="1" x14ac:dyDescent="0.3">
      <c r="A429" s="142" t="s">
        <v>474</v>
      </c>
      <c r="B429" s="142">
        <v>1200</v>
      </c>
      <c r="C429" s="141">
        <v>45763</v>
      </c>
      <c r="D429" s="140">
        <f>WEEKNUM(C429)</f>
        <v>16</v>
      </c>
      <c r="E429" s="140" t="s">
        <v>475</v>
      </c>
      <c r="F429" s="140" t="s">
        <v>541</v>
      </c>
      <c r="G429" s="140" t="s">
        <v>543</v>
      </c>
      <c r="H429" s="140" t="s">
        <v>304</v>
      </c>
      <c r="I429" s="140" t="s">
        <v>46</v>
      </c>
      <c r="J429" s="140">
        <v>800</v>
      </c>
      <c r="K429" s="156">
        <v>9.9</v>
      </c>
      <c r="L429" s="156">
        <f>K429*J429</f>
        <v>7920</v>
      </c>
      <c r="M429" s="143">
        <v>0</v>
      </c>
      <c r="N429" s="141">
        <v>45797</v>
      </c>
      <c r="O429" s="157">
        <f>WEEKNUM(N429)</f>
        <v>21</v>
      </c>
      <c r="P429" s="143"/>
      <c r="Q429" s="140" t="s">
        <v>29</v>
      </c>
      <c r="R429" s="143">
        <f>J429*0.25</f>
        <v>200</v>
      </c>
      <c r="S429" s="143">
        <f>J429*0.7</f>
        <v>560</v>
      </c>
      <c r="T429" s="143">
        <f>J429*1.2</f>
        <v>960</v>
      </c>
      <c r="U429" s="143">
        <f>J429*0.5</f>
        <v>400</v>
      </c>
      <c r="V429" s="143">
        <f>R429+S429+T429+U429</f>
        <v>2120</v>
      </c>
    </row>
    <row r="430" spans="1:22" s="128" customFormat="1" ht="15.6" hidden="1" x14ac:dyDescent="0.3">
      <c r="A430" s="142" t="s">
        <v>474</v>
      </c>
      <c r="B430" s="142">
        <v>1200</v>
      </c>
      <c r="C430" s="141">
        <v>45763</v>
      </c>
      <c r="D430" s="140">
        <f>WEEKNUM(C430)</f>
        <v>16</v>
      </c>
      <c r="E430" s="140" t="s">
        <v>475</v>
      </c>
      <c r="F430" s="140" t="s">
        <v>541</v>
      </c>
      <c r="G430" s="140" t="s">
        <v>167</v>
      </c>
      <c r="H430" s="140" t="s">
        <v>74</v>
      </c>
      <c r="I430" s="140" t="s">
        <v>46</v>
      </c>
      <c r="J430" s="140">
        <v>100</v>
      </c>
      <c r="K430" s="156">
        <v>28</v>
      </c>
      <c r="L430" s="156">
        <f>K430*J430</f>
        <v>2800</v>
      </c>
      <c r="M430" s="143">
        <v>0</v>
      </c>
      <c r="N430" s="141">
        <v>45797</v>
      </c>
      <c r="O430" s="157">
        <f>WEEKNUM(N430)</f>
        <v>21</v>
      </c>
      <c r="P430" s="143"/>
      <c r="Q430" s="140" t="s">
        <v>29</v>
      </c>
      <c r="R430" s="143">
        <f>J430*0.25</f>
        <v>25</v>
      </c>
      <c r="S430" s="143">
        <f>J430*1</f>
        <v>100</v>
      </c>
      <c r="T430" s="143">
        <f>J430*1.5</f>
        <v>150</v>
      </c>
      <c r="U430" s="143">
        <f>J430*0.5</f>
        <v>50</v>
      </c>
      <c r="V430" s="143">
        <f>R430+S430+T430+U430</f>
        <v>325</v>
      </c>
    </row>
    <row r="431" spans="1:22" s="128" customFormat="1" ht="15.6" hidden="1" x14ac:dyDescent="0.3">
      <c r="A431" s="142" t="s">
        <v>477</v>
      </c>
      <c r="B431" s="142">
        <v>768</v>
      </c>
      <c r="C431" s="141">
        <v>45763</v>
      </c>
      <c r="D431" s="140">
        <f>WEEKNUM(C431)</f>
        <v>16</v>
      </c>
      <c r="E431" s="140" t="s">
        <v>475</v>
      </c>
      <c r="F431" s="140" t="s">
        <v>809</v>
      </c>
      <c r="G431" s="140" t="s">
        <v>167</v>
      </c>
      <c r="H431" s="140" t="s">
        <v>74</v>
      </c>
      <c r="I431" s="140" t="s">
        <v>46</v>
      </c>
      <c r="J431" s="140">
        <v>300</v>
      </c>
      <c r="K431" s="156">
        <v>24.5</v>
      </c>
      <c r="L431" s="156">
        <f>K431*J431</f>
        <v>7350</v>
      </c>
      <c r="M431" s="143">
        <v>0</v>
      </c>
      <c r="N431" s="141">
        <v>45797</v>
      </c>
      <c r="O431" s="157">
        <f>WEEKNUM(N431)</f>
        <v>21</v>
      </c>
      <c r="P431" s="143"/>
      <c r="Q431" s="140" t="s">
        <v>29</v>
      </c>
      <c r="R431" s="143">
        <f>J431*0.25</f>
        <v>75</v>
      </c>
      <c r="S431" s="143">
        <f>J431*1</f>
        <v>300</v>
      </c>
      <c r="T431" s="143">
        <f>J431*1.5</f>
        <v>450</v>
      </c>
      <c r="U431" s="143">
        <f>J431*0.5</f>
        <v>150</v>
      </c>
      <c r="V431" s="143">
        <f>R431+S431+T431+U431</f>
        <v>975</v>
      </c>
    </row>
    <row r="432" spans="1:22" s="128" customFormat="1" ht="15.6" hidden="1" x14ac:dyDescent="0.3">
      <c r="A432" s="142" t="s">
        <v>477</v>
      </c>
      <c r="B432" s="142">
        <v>768</v>
      </c>
      <c r="C432" s="141">
        <v>45763</v>
      </c>
      <c r="D432" s="140">
        <f>WEEKNUM(C432)</f>
        <v>16</v>
      </c>
      <c r="E432" s="140" t="s">
        <v>475</v>
      </c>
      <c r="F432" s="140" t="s">
        <v>809</v>
      </c>
      <c r="G432" s="142" t="s">
        <v>311</v>
      </c>
      <c r="H432" s="140" t="s">
        <v>51</v>
      </c>
      <c r="I432" s="140" t="s">
        <v>46</v>
      </c>
      <c r="J432" s="140">
        <v>200</v>
      </c>
      <c r="K432" s="156">
        <v>14</v>
      </c>
      <c r="L432" s="156">
        <f>K432*J432</f>
        <v>2800</v>
      </c>
      <c r="M432" s="143">
        <v>0</v>
      </c>
      <c r="N432" s="141">
        <v>45797</v>
      </c>
      <c r="O432" s="157">
        <f>WEEKNUM(N432)</f>
        <v>21</v>
      </c>
      <c r="P432" s="143"/>
      <c r="Q432" s="140" t="s">
        <v>29</v>
      </c>
      <c r="R432" s="143">
        <f>J432*0.25</f>
        <v>50</v>
      </c>
      <c r="S432" s="143">
        <f>J432*1</f>
        <v>200</v>
      </c>
      <c r="T432" s="143">
        <f>J432*1.5</f>
        <v>300</v>
      </c>
      <c r="U432" s="143">
        <f>J432*0.5</f>
        <v>100</v>
      </c>
      <c r="V432" s="143">
        <f>R432+S432+T432+U432</f>
        <v>650</v>
      </c>
    </row>
    <row r="433" spans="1:22" s="128" customFormat="1" ht="15.6" hidden="1" x14ac:dyDescent="0.3">
      <c r="A433" s="142" t="s">
        <v>477</v>
      </c>
      <c r="B433" s="142">
        <v>769</v>
      </c>
      <c r="C433" s="141">
        <v>45763</v>
      </c>
      <c r="D433" s="140">
        <f>WEEKNUM(C433)</f>
        <v>16</v>
      </c>
      <c r="E433" s="140" t="s">
        <v>475</v>
      </c>
      <c r="F433" s="142" t="s">
        <v>888</v>
      </c>
      <c r="G433" s="140" t="s">
        <v>480</v>
      </c>
      <c r="H433" s="140" t="s">
        <v>51</v>
      </c>
      <c r="I433" s="140" t="s">
        <v>46</v>
      </c>
      <c r="J433" s="140">
        <v>200</v>
      </c>
      <c r="K433" s="156">
        <v>19.5</v>
      </c>
      <c r="L433" s="156">
        <f>K433*J433</f>
        <v>3900</v>
      </c>
      <c r="M433" s="143">
        <v>0</v>
      </c>
      <c r="N433" s="141">
        <v>45797</v>
      </c>
      <c r="O433" s="157">
        <f>WEEKNUM(N433)</f>
        <v>21</v>
      </c>
      <c r="P433" s="143"/>
      <c r="Q433" s="140" t="s">
        <v>29</v>
      </c>
      <c r="R433" s="143">
        <f>J433*0.25</f>
        <v>50</v>
      </c>
      <c r="S433" s="143">
        <f>J433*1</f>
        <v>200</v>
      </c>
      <c r="T433" s="143">
        <f>J433*1.84</f>
        <v>368</v>
      </c>
      <c r="U433" s="143">
        <f>J433*0.5</f>
        <v>100</v>
      </c>
      <c r="V433" s="156">
        <f>SUM(R433:U433)</f>
        <v>718</v>
      </c>
    </row>
    <row r="434" spans="1:22" s="128" customFormat="1" ht="15.6" hidden="1" x14ac:dyDescent="0.3">
      <c r="A434" s="142" t="s">
        <v>477</v>
      </c>
      <c r="B434" s="142">
        <v>769</v>
      </c>
      <c r="C434" s="141">
        <v>45763</v>
      </c>
      <c r="D434" s="140">
        <f>WEEKNUM(C434)</f>
        <v>16</v>
      </c>
      <c r="E434" s="140" t="s">
        <v>475</v>
      </c>
      <c r="F434" s="142" t="s">
        <v>888</v>
      </c>
      <c r="G434" s="140" t="s">
        <v>783</v>
      </c>
      <c r="H434" s="140" t="s">
        <v>494</v>
      </c>
      <c r="I434" s="140" t="s">
        <v>46</v>
      </c>
      <c r="J434" s="140">
        <v>200</v>
      </c>
      <c r="K434" s="156">
        <v>26.5</v>
      </c>
      <c r="L434" s="156">
        <f>K434*J434</f>
        <v>5300</v>
      </c>
      <c r="M434" s="143">
        <v>0</v>
      </c>
      <c r="N434" s="141">
        <v>45797</v>
      </c>
      <c r="O434" s="157">
        <f>WEEKNUM(N434)</f>
        <v>21</v>
      </c>
      <c r="P434" s="143"/>
      <c r="Q434" s="140" t="s">
        <v>29</v>
      </c>
      <c r="R434" s="143">
        <f>J434*0.25</f>
        <v>50</v>
      </c>
      <c r="S434" s="143">
        <f>J434*1</f>
        <v>200</v>
      </c>
      <c r="T434" s="143">
        <f>J434*1.5</f>
        <v>300</v>
      </c>
      <c r="U434" s="143">
        <f>J434*0.5</f>
        <v>100</v>
      </c>
      <c r="V434" s="143">
        <f>R434+S434+T434+U434</f>
        <v>650</v>
      </c>
    </row>
    <row r="435" spans="1:22" s="128" customFormat="1" ht="15.6" hidden="1" x14ac:dyDescent="0.3">
      <c r="A435" s="142" t="s">
        <v>477</v>
      </c>
      <c r="B435" s="142">
        <v>771</v>
      </c>
      <c r="C435" s="141">
        <v>45764</v>
      </c>
      <c r="D435" s="140">
        <f>WEEKNUM(C435)</f>
        <v>16</v>
      </c>
      <c r="E435" s="140" t="s">
        <v>478</v>
      </c>
      <c r="F435" s="140" t="s">
        <v>444</v>
      </c>
      <c r="G435" s="130" t="s">
        <v>638</v>
      </c>
      <c r="H435" s="140" t="s">
        <v>60</v>
      </c>
      <c r="I435" s="140" t="s">
        <v>61</v>
      </c>
      <c r="J435" s="140">
        <v>300</v>
      </c>
      <c r="K435" s="156">
        <v>23</v>
      </c>
      <c r="L435" s="156">
        <f>K435*J435</f>
        <v>6900</v>
      </c>
      <c r="M435" s="143">
        <v>0</v>
      </c>
      <c r="N435" s="141">
        <v>45797</v>
      </c>
      <c r="O435" s="157">
        <f>WEEKNUM(N435)</f>
        <v>21</v>
      </c>
      <c r="P435" s="143"/>
      <c r="Q435" s="140" t="s">
        <v>29</v>
      </c>
      <c r="R435" s="143">
        <f>J435*2</f>
        <v>600</v>
      </c>
      <c r="S435" s="143">
        <f>J435*0.6</f>
        <v>180</v>
      </c>
      <c r="T435" s="143">
        <f>J435*5</f>
        <v>1500</v>
      </c>
      <c r="U435" s="143">
        <f>J435*1</f>
        <v>300</v>
      </c>
      <c r="V435" s="143">
        <f>R435+S435+T435+U435</f>
        <v>2580</v>
      </c>
    </row>
    <row r="436" spans="1:22" s="128" customFormat="1" ht="15.6" hidden="1" x14ac:dyDescent="0.3">
      <c r="A436" s="142" t="s">
        <v>491</v>
      </c>
      <c r="B436" s="142">
        <v>1201</v>
      </c>
      <c r="C436" s="141">
        <v>45765</v>
      </c>
      <c r="D436" s="140">
        <f>WEEKNUM(C436)</f>
        <v>16</v>
      </c>
      <c r="E436" s="158" t="s">
        <v>68</v>
      </c>
      <c r="F436" s="140" t="s">
        <v>343</v>
      </c>
      <c r="G436" s="142" t="s">
        <v>374</v>
      </c>
      <c r="H436" s="140" t="s">
        <v>74</v>
      </c>
      <c r="I436" s="140" t="s">
        <v>46</v>
      </c>
      <c r="J436" s="140">
        <v>2</v>
      </c>
      <c r="K436" s="156">
        <v>47.5</v>
      </c>
      <c r="L436" s="156">
        <f>K436*J436</f>
        <v>95</v>
      </c>
      <c r="M436" s="143">
        <v>0</v>
      </c>
      <c r="N436" s="141">
        <v>45764</v>
      </c>
      <c r="O436" s="157">
        <f>WEEKNUM(N436)</f>
        <v>16</v>
      </c>
      <c r="P436" s="143"/>
      <c r="Q436" s="140" t="s">
        <v>29</v>
      </c>
      <c r="R436" s="143">
        <f>J436*1</f>
        <v>2</v>
      </c>
      <c r="S436" s="143">
        <f>J436*1.5</f>
        <v>3</v>
      </c>
      <c r="T436" s="143">
        <f>J436*1.5</f>
        <v>3</v>
      </c>
      <c r="U436" s="143">
        <f>J436*1</f>
        <v>2</v>
      </c>
      <c r="V436" s="143">
        <f>R436+S436+T436+U436</f>
        <v>10</v>
      </c>
    </row>
    <row r="437" spans="1:22" s="128" customFormat="1" ht="15.6" hidden="1" x14ac:dyDescent="0.3">
      <c r="A437" s="142" t="s">
        <v>491</v>
      </c>
      <c r="B437" s="142">
        <v>1201</v>
      </c>
      <c r="C437" s="141">
        <v>45765</v>
      </c>
      <c r="D437" s="140">
        <f>WEEKNUM(C437)</f>
        <v>16</v>
      </c>
      <c r="E437" s="158" t="s">
        <v>68</v>
      </c>
      <c r="F437" s="140" t="s">
        <v>343</v>
      </c>
      <c r="G437" s="140" t="s">
        <v>356</v>
      </c>
      <c r="H437" s="140" t="s">
        <v>321</v>
      </c>
      <c r="I437" s="140" t="s">
        <v>46</v>
      </c>
      <c r="J437" s="140">
        <v>4</v>
      </c>
      <c r="K437" s="156">
        <v>85</v>
      </c>
      <c r="L437" s="156">
        <f>K437*J437</f>
        <v>340</v>
      </c>
      <c r="M437" s="143">
        <v>0</v>
      </c>
      <c r="N437" s="141">
        <v>45764</v>
      </c>
      <c r="O437" s="157">
        <f>WEEKNUM(N437)</f>
        <v>16</v>
      </c>
      <c r="P437" s="143"/>
      <c r="Q437" s="140" t="s">
        <v>29</v>
      </c>
      <c r="R437" s="156">
        <f>J437*0.25</f>
        <v>1</v>
      </c>
      <c r="S437" s="156">
        <f>PRODUCT(1.5,J437)</f>
        <v>6</v>
      </c>
      <c r="T437" s="156">
        <f>PRODUCT(1.5,J437)</f>
        <v>6</v>
      </c>
      <c r="U437" s="156">
        <f>J437*0.5</f>
        <v>2</v>
      </c>
      <c r="V437" s="156">
        <f>R437+S437+T437+U437</f>
        <v>15</v>
      </c>
    </row>
    <row r="438" spans="1:22" s="128" customFormat="1" ht="15.6" hidden="1" x14ac:dyDescent="0.3">
      <c r="A438" s="142" t="s">
        <v>491</v>
      </c>
      <c r="B438" s="142">
        <v>1201</v>
      </c>
      <c r="C438" s="141">
        <v>45765</v>
      </c>
      <c r="D438" s="140">
        <f>WEEKNUM(C438)</f>
        <v>16</v>
      </c>
      <c r="E438" s="158" t="s">
        <v>68</v>
      </c>
      <c r="F438" s="140" t="s">
        <v>343</v>
      </c>
      <c r="G438" s="140" t="s">
        <v>356</v>
      </c>
      <c r="H438" s="140" t="s">
        <v>321</v>
      </c>
      <c r="I438" s="140" t="s">
        <v>61</v>
      </c>
      <c r="J438" s="140">
        <v>2</v>
      </c>
      <c r="K438" s="156">
        <v>75</v>
      </c>
      <c r="L438" s="156">
        <f>K438*J438</f>
        <v>150</v>
      </c>
      <c r="M438" s="143">
        <v>0</v>
      </c>
      <c r="N438" s="141">
        <v>45764</v>
      </c>
      <c r="O438" s="157">
        <f>WEEKNUM(N438)</f>
        <v>16</v>
      </c>
      <c r="P438" s="143"/>
      <c r="Q438" s="140" t="s">
        <v>29</v>
      </c>
      <c r="R438" s="156">
        <f>J438*50</f>
        <v>100</v>
      </c>
      <c r="S438" s="156">
        <v>0</v>
      </c>
      <c r="T438" s="156">
        <f>J438*3</f>
        <v>6</v>
      </c>
      <c r="U438" s="156">
        <f>J438*0.5</f>
        <v>1</v>
      </c>
      <c r="V438" s="156">
        <f>R438+S438+T438+U438</f>
        <v>107</v>
      </c>
    </row>
    <row r="439" spans="1:22" s="128" customFormat="1" ht="15.6" hidden="1" x14ac:dyDescent="0.3">
      <c r="A439" s="142" t="s">
        <v>474</v>
      </c>
      <c r="B439" s="142">
        <v>1205</v>
      </c>
      <c r="C439" s="141">
        <v>45770</v>
      </c>
      <c r="D439" s="140">
        <f>WEEKNUM(C439)</f>
        <v>17</v>
      </c>
      <c r="E439" s="140" t="s">
        <v>475</v>
      </c>
      <c r="F439" s="140" t="s">
        <v>535</v>
      </c>
      <c r="G439" s="140" t="s">
        <v>536</v>
      </c>
      <c r="H439" s="140" t="s">
        <v>494</v>
      </c>
      <c r="I439" s="140" t="s">
        <v>46</v>
      </c>
      <c r="J439" s="140">
        <v>100</v>
      </c>
      <c r="K439" s="156">
        <v>26.7</v>
      </c>
      <c r="L439" s="156">
        <f>K439*J439</f>
        <v>2670</v>
      </c>
      <c r="M439" s="143">
        <v>0</v>
      </c>
      <c r="N439" s="141">
        <v>45802</v>
      </c>
      <c r="O439" s="157">
        <f>WEEKNUM(N439)</f>
        <v>22</v>
      </c>
      <c r="P439" s="143"/>
      <c r="Q439" s="140" t="s">
        <v>29</v>
      </c>
      <c r="R439" s="143">
        <f>J439*0.25</f>
        <v>25</v>
      </c>
      <c r="S439" s="143">
        <f>J439*1</f>
        <v>100</v>
      </c>
      <c r="T439" s="143">
        <f>J439*1.5</f>
        <v>150</v>
      </c>
      <c r="U439" s="143">
        <f>J439*0.5</f>
        <v>50</v>
      </c>
      <c r="V439" s="143">
        <f>R439+S439+T439+U439</f>
        <v>325</v>
      </c>
    </row>
    <row r="440" spans="1:22" s="128" customFormat="1" ht="15.6" hidden="1" x14ac:dyDescent="0.3">
      <c r="A440" s="142" t="s">
        <v>474</v>
      </c>
      <c r="B440" s="142">
        <v>1205</v>
      </c>
      <c r="C440" s="141">
        <v>45770</v>
      </c>
      <c r="D440" s="140">
        <f>WEEKNUM(C440)</f>
        <v>17</v>
      </c>
      <c r="E440" s="140" t="s">
        <v>475</v>
      </c>
      <c r="F440" s="140" t="s">
        <v>535</v>
      </c>
      <c r="G440" s="140" t="s">
        <v>480</v>
      </c>
      <c r="H440" s="140" t="s">
        <v>51</v>
      </c>
      <c r="I440" s="140" t="s">
        <v>46</v>
      </c>
      <c r="J440" s="140">
        <v>100</v>
      </c>
      <c r="K440" s="156">
        <v>19.7</v>
      </c>
      <c r="L440" s="156">
        <f>K440*J440</f>
        <v>1970</v>
      </c>
      <c r="M440" s="143">
        <v>0</v>
      </c>
      <c r="N440" s="141">
        <v>45802</v>
      </c>
      <c r="O440" s="157">
        <f>WEEKNUM(N440)</f>
        <v>22</v>
      </c>
      <c r="P440" s="143"/>
      <c r="Q440" s="140" t="s">
        <v>29</v>
      </c>
      <c r="R440" s="143">
        <f>J440*0.25</f>
        <v>25</v>
      </c>
      <c r="S440" s="143">
        <f>J440*1</f>
        <v>100</v>
      </c>
      <c r="T440" s="143">
        <f>J440*1.84</f>
        <v>184</v>
      </c>
      <c r="U440" s="143">
        <f>J440*0.5</f>
        <v>50</v>
      </c>
      <c r="V440" s="156">
        <f>SUM(R440:U440)</f>
        <v>359</v>
      </c>
    </row>
    <row r="441" spans="1:22" s="128" customFormat="1" ht="15.6" hidden="1" x14ac:dyDescent="0.3">
      <c r="A441" s="142" t="s">
        <v>474</v>
      </c>
      <c r="B441" s="142">
        <v>1206</v>
      </c>
      <c r="C441" s="141">
        <v>45770</v>
      </c>
      <c r="D441" s="140">
        <f>WEEKNUM(C441)</f>
        <v>17</v>
      </c>
      <c r="E441" s="140" t="s">
        <v>475</v>
      </c>
      <c r="F441" s="142" t="s">
        <v>451</v>
      </c>
      <c r="G441" s="140" t="s">
        <v>747</v>
      </c>
      <c r="H441" s="140" t="s">
        <v>74</v>
      </c>
      <c r="I441" s="140" t="s">
        <v>26</v>
      </c>
      <c r="J441" s="140">
        <v>100</v>
      </c>
      <c r="K441" s="156">
        <v>24.5</v>
      </c>
      <c r="L441" s="156">
        <f>K441*J441</f>
        <v>2450</v>
      </c>
      <c r="M441" s="143">
        <v>0</v>
      </c>
      <c r="N441" s="141">
        <v>45802</v>
      </c>
      <c r="O441" s="157">
        <f>WEEKNUM(N441)</f>
        <v>22</v>
      </c>
      <c r="P441" s="143"/>
      <c r="Q441" s="140" t="s">
        <v>29</v>
      </c>
      <c r="R441" s="143">
        <f>J441*0.25</f>
        <v>25</v>
      </c>
      <c r="S441" s="143">
        <f>J441*1</f>
        <v>100</v>
      </c>
      <c r="T441" s="143">
        <f>J441*1.5</f>
        <v>150</v>
      </c>
      <c r="U441" s="143">
        <f>J441*0.5</f>
        <v>50</v>
      </c>
      <c r="V441" s="156">
        <f>SUM(R441:U441)</f>
        <v>325</v>
      </c>
    </row>
    <row r="442" spans="1:22" s="128" customFormat="1" ht="15.6" hidden="1" x14ac:dyDescent="0.3">
      <c r="A442" s="142" t="s">
        <v>477</v>
      </c>
      <c r="B442" s="142">
        <v>818</v>
      </c>
      <c r="C442" s="141">
        <v>45771</v>
      </c>
      <c r="D442" s="140">
        <f>WEEKNUM(C442)</f>
        <v>17</v>
      </c>
      <c r="E442" s="140" t="s">
        <v>475</v>
      </c>
      <c r="F442" s="142" t="s">
        <v>927</v>
      </c>
      <c r="G442" s="142" t="s">
        <v>726</v>
      </c>
      <c r="H442" s="140" t="s">
        <v>494</v>
      </c>
      <c r="I442" s="142" t="s">
        <v>46</v>
      </c>
      <c r="J442" s="157">
        <v>50</v>
      </c>
      <c r="K442" s="143">
        <v>17</v>
      </c>
      <c r="L442" s="143">
        <f>K442*J442</f>
        <v>850</v>
      </c>
      <c r="M442" s="143">
        <v>0</v>
      </c>
      <c r="N442" s="141">
        <v>45849</v>
      </c>
      <c r="O442" s="157">
        <f>WEEKNUM(N442)</f>
        <v>28</v>
      </c>
      <c r="P442" s="140"/>
      <c r="Q442" s="140" t="s">
        <v>29</v>
      </c>
      <c r="R442" s="143">
        <f>J442*0.25</f>
        <v>12.5</v>
      </c>
      <c r="S442" s="143">
        <f>J442*1</f>
        <v>50</v>
      </c>
      <c r="T442" s="143">
        <f>J442*1.5</f>
        <v>75</v>
      </c>
      <c r="U442" s="143">
        <f>J442*0.5</f>
        <v>25</v>
      </c>
      <c r="V442" s="143">
        <f>R442+S442+T442+U442</f>
        <v>162.5</v>
      </c>
    </row>
    <row r="443" spans="1:22" s="128" customFormat="1" ht="15.6" hidden="1" x14ac:dyDescent="0.3">
      <c r="A443" s="142" t="s">
        <v>477</v>
      </c>
      <c r="B443" s="142">
        <v>818</v>
      </c>
      <c r="C443" s="141">
        <v>45771</v>
      </c>
      <c r="D443" s="140">
        <f>WEEKNUM(C443)</f>
        <v>17</v>
      </c>
      <c r="E443" s="140" t="s">
        <v>475</v>
      </c>
      <c r="F443" s="142" t="s">
        <v>927</v>
      </c>
      <c r="G443" s="142" t="s">
        <v>929</v>
      </c>
      <c r="H443" s="140" t="s">
        <v>51</v>
      </c>
      <c r="I443" s="142" t="s">
        <v>46</v>
      </c>
      <c r="J443" s="157">
        <v>50</v>
      </c>
      <c r="K443" s="143">
        <v>17</v>
      </c>
      <c r="L443" s="143">
        <f>K443*J443</f>
        <v>850</v>
      </c>
      <c r="M443" s="143">
        <v>0</v>
      </c>
      <c r="N443" s="141">
        <v>45849</v>
      </c>
      <c r="O443" s="157">
        <f>WEEKNUM(N443)</f>
        <v>28</v>
      </c>
      <c r="P443" s="140"/>
      <c r="Q443" s="140" t="s">
        <v>29</v>
      </c>
      <c r="R443" s="143">
        <f>J443*0.25</f>
        <v>12.5</v>
      </c>
      <c r="S443" s="143">
        <f>J443*1</f>
        <v>50</v>
      </c>
      <c r="T443" s="143">
        <f>J443*1.5</f>
        <v>75</v>
      </c>
      <c r="U443" s="143">
        <f>J443*0.5</f>
        <v>25</v>
      </c>
      <c r="V443" s="143">
        <f>R443+S443+T443+U443</f>
        <v>162.5</v>
      </c>
    </row>
    <row r="444" spans="1:22" s="128" customFormat="1" ht="15.6" hidden="1" x14ac:dyDescent="0.3">
      <c r="A444" s="142" t="s">
        <v>477</v>
      </c>
      <c r="B444" s="142">
        <v>772</v>
      </c>
      <c r="C444" s="141">
        <v>45771</v>
      </c>
      <c r="D444" s="140">
        <f>WEEKNUM(C444)</f>
        <v>17</v>
      </c>
      <c r="E444" s="140" t="s">
        <v>478</v>
      </c>
      <c r="F444" s="140" t="s">
        <v>146</v>
      </c>
      <c r="G444" s="140" t="s">
        <v>964</v>
      </c>
      <c r="H444" s="140" t="s">
        <v>95</v>
      </c>
      <c r="I444" s="140" t="s">
        <v>46</v>
      </c>
      <c r="J444" s="140">
        <v>300</v>
      </c>
      <c r="K444" s="156">
        <v>16.5</v>
      </c>
      <c r="L444" s="156">
        <f>K444*J444</f>
        <v>4950</v>
      </c>
      <c r="M444" s="143">
        <v>0</v>
      </c>
      <c r="N444" s="141">
        <v>45800</v>
      </c>
      <c r="O444" s="157">
        <f>WEEKNUM(N444)</f>
        <v>21</v>
      </c>
      <c r="P444" s="143"/>
      <c r="Q444" s="140" t="s">
        <v>29</v>
      </c>
      <c r="R444" s="143">
        <f>J444*0.25</f>
        <v>75</v>
      </c>
      <c r="S444" s="143">
        <f>J444*0.5</f>
        <v>150</v>
      </c>
      <c r="T444" s="143">
        <f>J444*0.8</f>
        <v>240</v>
      </c>
      <c r="U444" s="143">
        <f>J444*0.5</f>
        <v>150</v>
      </c>
      <c r="V444" s="156">
        <f>SUM(R444:U444)</f>
        <v>615</v>
      </c>
    </row>
    <row r="445" spans="1:22" s="128" customFormat="1" ht="15.6" hidden="1" x14ac:dyDescent="0.3">
      <c r="A445" s="142" t="s">
        <v>474</v>
      </c>
      <c r="B445" s="142">
        <v>1209</v>
      </c>
      <c r="C445" s="141">
        <v>45772</v>
      </c>
      <c r="D445" s="140">
        <f>WEEKNUM(C445)</f>
        <v>17</v>
      </c>
      <c r="E445" s="158" t="s">
        <v>691</v>
      </c>
      <c r="F445" s="140" t="s">
        <v>743</v>
      </c>
      <c r="G445" s="140" t="s">
        <v>744</v>
      </c>
      <c r="H445" s="140" t="s">
        <v>557</v>
      </c>
      <c r="I445" s="140" t="s">
        <v>61</v>
      </c>
      <c r="J445" s="140">
        <v>1000</v>
      </c>
      <c r="K445" s="156">
        <v>31.5</v>
      </c>
      <c r="L445" s="156">
        <f>K445*J445</f>
        <v>31500</v>
      </c>
      <c r="M445" s="143">
        <v>0</v>
      </c>
      <c r="N445" s="141">
        <v>45797</v>
      </c>
      <c r="O445" s="157">
        <f>WEEKNUM(N445)</f>
        <v>21</v>
      </c>
      <c r="P445" s="143"/>
      <c r="Q445" s="140" t="s">
        <v>29</v>
      </c>
      <c r="R445" s="143">
        <f>J445*1</f>
        <v>1000</v>
      </c>
      <c r="S445" s="143">
        <f>J445*1</f>
        <v>1000</v>
      </c>
      <c r="T445" s="143">
        <f>J445*5</f>
        <v>5000</v>
      </c>
      <c r="U445" s="143">
        <f>J445*1</f>
        <v>1000</v>
      </c>
      <c r="V445" s="156">
        <f>SUM(R445:U445)</f>
        <v>8000</v>
      </c>
    </row>
    <row r="446" spans="1:22" s="128" customFormat="1" ht="15.6" hidden="1" x14ac:dyDescent="0.3">
      <c r="A446" s="142" t="s">
        <v>477</v>
      </c>
      <c r="B446" s="142">
        <v>1208</v>
      </c>
      <c r="C446" s="141">
        <v>45772</v>
      </c>
      <c r="D446" s="140">
        <f>WEEKNUM(C446)</f>
        <v>17</v>
      </c>
      <c r="E446" s="158" t="s">
        <v>498</v>
      </c>
      <c r="F446" s="142" t="s">
        <v>952</v>
      </c>
      <c r="G446" s="142" t="s">
        <v>487</v>
      </c>
      <c r="H446" s="140" t="s">
        <v>51</v>
      </c>
      <c r="I446" s="140" t="s">
        <v>46</v>
      </c>
      <c r="J446" s="140">
        <v>230</v>
      </c>
      <c r="K446" s="156">
        <v>22.5</v>
      </c>
      <c r="L446" s="156">
        <f>K446*J446</f>
        <v>5175</v>
      </c>
      <c r="M446" s="143">
        <v>0</v>
      </c>
      <c r="N446" s="141">
        <v>45803</v>
      </c>
      <c r="O446" s="157">
        <f>WEEKNUM(N446)</f>
        <v>22</v>
      </c>
      <c r="P446" s="143"/>
      <c r="Q446" s="140" t="s">
        <v>29</v>
      </c>
      <c r="R446" s="143">
        <f>J446*0.25</f>
        <v>57.5</v>
      </c>
      <c r="S446" s="143">
        <f>J446*1</f>
        <v>230</v>
      </c>
      <c r="T446" s="143">
        <f>J446*1.84</f>
        <v>423.20000000000005</v>
      </c>
      <c r="U446" s="143">
        <f>J446*0.5</f>
        <v>115</v>
      </c>
      <c r="V446" s="156">
        <f>SUM(R446:U446)</f>
        <v>825.7</v>
      </c>
    </row>
    <row r="447" spans="1:22" s="128" customFormat="1" ht="15.6" hidden="1" x14ac:dyDescent="0.3">
      <c r="A447" s="142" t="s">
        <v>474</v>
      </c>
      <c r="B447" s="142">
        <v>776</v>
      </c>
      <c r="C447" s="141">
        <v>45775</v>
      </c>
      <c r="D447" s="140">
        <f>WEEKNUM(C447)</f>
        <v>18</v>
      </c>
      <c r="E447" s="140" t="s">
        <v>475</v>
      </c>
      <c r="F447" s="140" t="s">
        <v>565</v>
      </c>
      <c r="G447" s="142" t="s">
        <v>489</v>
      </c>
      <c r="H447" s="140" t="s">
        <v>51</v>
      </c>
      <c r="I447" s="140" t="s">
        <v>61</v>
      </c>
      <c r="J447" s="140">
        <v>150</v>
      </c>
      <c r="K447" s="156">
        <v>52</v>
      </c>
      <c r="L447" s="156">
        <f>K447*J447</f>
        <v>7800</v>
      </c>
      <c r="M447" s="143">
        <v>0</v>
      </c>
      <c r="N447" s="141">
        <v>45807</v>
      </c>
      <c r="O447" s="157">
        <f>WEEKNUM(N447)</f>
        <v>22</v>
      </c>
      <c r="P447" s="143"/>
      <c r="Q447" s="140" t="s">
        <v>29</v>
      </c>
      <c r="R447" s="143">
        <f>J447*1</f>
        <v>150</v>
      </c>
      <c r="S447" s="143">
        <f>J447*1</f>
        <v>150</v>
      </c>
      <c r="T447" s="143">
        <f>J447*3</f>
        <v>450</v>
      </c>
      <c r="U447" s="143">
        <f>J447*1</f>
        <v>150</v>
      </c>
      <c r="V447" s="156">
        <f>SUM(R447:U447)</f>
        <v>900</v>
      </c>
    </row>
    <row r="448" spans="1:22" s="128" customFormat="1" ht="15.6" hidden="1" x14ac:dyDescent="0.3">
      <c r="A448" s="142" t="s">
        <v>474</v>
      </c>
      <c r="B448" s="142">
        <v>776</v>
      </c>
      <c r="C448" s="141">
        <v>45775</v>
      </c>
      <c r="D448" s="140">
        <f>WEEKNUM(C448)</f>
        <v>18</v>
      </c>
      <c r="E448" s="140" t="s">
        <v>475</v>
      </c>
      <c r="F448" s="140" t="s">
        <v>565</v>
      </c>
      <c r="G448" s="140" t="s">
        <v>506</v>
      </c>
      <c r="H448" s="140" t="s">
        <v>74</v>
      </c>
      <c r="I448" s="140" t="s">
        <v>46</v>
      </c>
      <c r="J448" s="140">
        <v>340</v>
      </c>
      <c r="K448" s="156">
        <v>23.5</v>
      </c>
      <c r="L448" s="156">
        <f>K448*J448</f>
        <v>7990</v>
      </c>
      <c r="M448" s="143">
        <v>0</v>
      </c>
      <c r="N448" s="141">
        <v>45807</v>
      </c>
      <c r="O448" s="157">
        <f>WEEKNUM(N448)</f>
        <v>22</v>
      </c>
      <c r="P448" s="143"/>
      <c r="Q448" s="140" t="s">
        <v>29</v>
      </c>
      <c r="R448" s="143">
        <f>J448*0.25</f>
        <v>85</v>
      </c>
      <c r="S448" s="143">
        <f>J448*1</f>
        <v>340</v>
      </c>
      <c r="T448" s="143">
        <f>J448*1.5</f>
        <v>510</v>
      </c>
      <c r="U448" s="143">
        <f>J448*0.5</f>
        <v>170</v>
      </c>
      <c r="V448" s="156">
        <f>SUM(R448:U448)</f>
        <v>1105</v>
      </c>
    </row>
    <row r="449" spans="1:22" s="128" customFormat="1" ht="15.6" hidden="1" x14ac:dyDescent="0.3">
      <c r="A449" s="142" t="s">
        <v>474</v>
      </c>
      <c r="B449" s="142">
        <v>776</v>
      </c>
      <c r="C449" s="141">
        <v>45775</v>
      </c>
      <c r="D449" s="140">
        <f>WEEKNUM(C449)</f>
        <v>18</v>
      </c>
      <c r="E449" s="140" t="s">
        <v>475</v>
      </c>
      <c r="F449" s="140" t="s">
        <v>565</v>
      </c>
      <c r="G449" s="140" t="s">
        <v>566</v>
      </c>
      <c r="H449" s="140" t="s">
        <v>304</v>
      </c>
      <c r="I449" s="140" t="s">
        <v>46</v>
      </c>
      <c r="J449" s="140">
        <v>300</v>
      </c>
      <c r="K449" s="156">
        <v>22.5</v>
      </c>
      <c r="L449" s="156">
        <f>K449*J449</f>
        <v>6750</v>
      </c>
      <c r="M449" s="143">
        <v>0</v>
      </c>
      <c r="N449" s="141">
        <v>45807</v>
      </c>
      <c r="O449" s="157">
        <f>WEEKNUM(N449)</f>
        <v>22</v>
      </c>
      <c r="P449" s="143"/>
      <c r="Q449" s="140" t="s">
        <v>29</v>
      </c>
      <c r="R449" s="143">
        <f>J449*1</f>
        <v>300</v>
      </c>
      <c r="S449" s="143">
        <f>J449*0.5</f>
        <v>150</v>
      </c>
      <c r="T449" s="143">
        <f>J449*1.5</f>
        <v>450</v>
      </c>
      <c r="U449" s="143">
        <f>J449*1</f>
        <v>300</v>
      </c>
      <c r="V449" s="156">
        <f>SUM(R449:U449)</f>
        <v>1200</v>
      </c>
    </row>
    <row r="450" spans="1:22" s="128" customFormat="1" ht="15.6" hidden="1" x14ac:dyDescent="0.3">
      <c r="A450" s="142" t="s">
        <v>474</v>
      </c>
      <c r="B450" s="142">
        <v>776</v>
      </c>
      <c r="C450" s="141">
        <v>45775</v>
      </c>
      <c r="D450" s="140">
        <f>WEEKNUM(C450)</f>
        <v>18</v>
      </c>
      <c r="E450" s="140" t="s">
        <v>475</v>
      </c>
      <c r="F450" s="140" t="s">
        <v>565</v>
      </c>
      <c r="G450" s="140" t="s">
        <v>567</v>
      </c>
      <c r="H450" s="140" t="s">
        <v>304</v>
      </c>
      <c r="I450" s="140" t="s">
        <v>46</v>
      </c>
      <c r="J450" s="140">
        <v>300</v>
      </c>
      <c r="K450" s="156">
        <v>26.5</v>
      </c>
      <c r="L450" s="156">
        <f>K450*J450</f>
        <v>7950</v>
      </c>
      <c r="M450" s="143">
        <v>0</v>
      </c>
      <c r="N450" s="141">
        <v>45807</v>
      </c>
      <c r="O450" s="157">
        <f>WEEKNUM(N450)</f>
        <v>22</v>
      </c>
      <c r="P450" s="143"/>
      <c r="Q450" s="140" t="s">
        <v>29</v>
      </c>
      <c r="R450" s="143">
        <f>J450*1</f>
        <v>300</v>
      </c>
      <c r="S450" s="143">
        <f>J450*0.5</f>
        <v>150</v>
      </c>
      <c r="T450" s="143">
        <f>J450*1.5</f>
        <v>450</v>
      </c>
      <c r="U450" s="143">
        <f>J450*1</f>
        <v>300</v>
      </c>
      <c r="V450" s="156">
        <f>SUM(R450:U450)</f>
        <v>1200</v>
      </c>
    </row>
    <row r="451" spans="1:22" s="128" customFormat="1" ht="15.6" hidden="1" x14ac:dyDescent="0.3">
      <c r="A451" s="142" t="s">
        <v>474</v>
      </c>
      <c r="B451" s="142">
        <v>776</v>
      </c>
      <c r="C451" s="141">
        <v>45775</v>
      </c>
      <c r="D451" s="140">
        <f>WEEKNUM(C451)</f>
        <v>18</v>
      </c>
      <c r="E451" s="140" t="s">
        <v>475</v>
      </c>
      <c r="F451" s="140" t="s">
        <v>565</v>
      </c>
      <c r="G451" s="140" t="s">
        <v>480</v>
      </c>
      <c r="H451" s="140" t="s">
        <v>51</v>
      </c>
      <c r="I451" s="140" t="s">
        <v>46</v>
      </c>
      <c r="J451" s="140">
        <v>1000</v>
      </c>
      <c r="K451" s="156">
        <v>16.5</v>
      </c>
      <c r="L451" s="156">
        <f>K451*J451</f>
        <v>16500</v>
      </c>
      <c r="M451" s="143">
        <v>0</v>
      </c>
      <c r="N451" s="141">
        <v>45807</v>
      </c>
      <c r="O451" s="157">
        <f>WEEKNUM(N451)</f>
        <v>22</v>
      </c>
      <c r="P451" s="143"/>
      <c r="Q451" s="140" t="s">
        <v>29</v>
      </c>
      <c r="R451" s="143">
        <f>J451*0.25</f>
        <v>250</v>
      </c>
      <c r="S451" s="143">
        <f>J451*1</f>
        <v>1000</v>
      </c>
      <c r="T451" s="143">
        <f>J451*1.84</f>
        <v>1840</v>
      </c>
      <c r="U451" s="143">
        <f>J451*0.5</f>
        <v>500</v>
      </c>
      <c r="V451" s="143">
        <f>R451+S451+T451+U451</f>
        <v>3590</v>
      </c>
    </row>
    <row r="452" spans="1:22" s="128" customFormat="1" ht="15.6" hidden="1" x14ac:dyDescent="0.3">
      <c r="A452" s="142" t="s">
        <v>477</v>
      </c>
      <c r="B452" s="142">
        <v>1210</v>
      </c>
      <c r="C452" s="141">
        <v>45776</v>
      </c>
      <c r="D452" s="140">
        <f>WEEKNUM(C452)</f>
        <v>18</v>
      </c>
      <c r="E452" s="142" t="s">
        <v>498</v>
      </c>
      <c r="F452" s="140" t="s">
        <v>459</v>
      </c>
      <c r="G452" s="140" t="s">
        <v>218</v>
      </c>
      <c r="H452" s="140" t="s">
        <v>74</v>
      </c>
      <c r="I452" s="140" t="s">
        <v>46</v>
      </c>
      <c r="J452" s="140">
        <v>1000</v>
      </c>
      <c r="K452" s="156">
        <v>24</v>
      </c>
      <c r="L452" s="156">
        <f>K452*J452</f>
        <v>24000</v>
      </c>
      <c r="M452" s="143">
        <v>0</v>
      </c>
      <c r="N452" s="141">
        <v>45804</v>
      </c>
      <c r="O452" s="157">
        <f>WEEKNUM(N452)</f>
        <v>22</v>
      </c>
      <c r="P452" s="143"/>
      <c r="Q452" s="140" t="s">
        <v>29</v>
      </c>
      <c r="R452" s="143">
        <f>J452*0.25</f>
        <v>250</v>
      </c>
      <c r="S452" s="143">
        <f>J452*1</f>
        <v>1000</v>
      </c>
      <c r="T452" s="143">
        <f>J452*1.5</f>
        <v>1500</v>
      </c>
      <c r="U452" s="143">
        <f>J452*0.5</f>
        <v>500</v>
      </c>
      <c r="V452" s="156">
        <f>SUM(R452:U452)</f>
        <v>3250</v>
      </c>
    </row>
    <row r="453" spans="1:22" s="128" customFormat="1" ht="15.6" hidden="1" x14ac:dyDescent="0.3">
      <c r="A453" s="142" t="s">
        <v>477</v>
      </c>
      <c r="B453" s="142">
        <v>1212</v>
      </c>
      <c r="C453" s="141">
        <v>45776</v>
      </c>
      <c r="D453" s="140">
        <f>WEEKNUM(C453)</f>
        <v>18</v>
      </c>
      <c r="E453" s="142" t="s">
        <v>498</v>
      </c>
      <c r="F453" s="140" t="s">
        <v>459</v>
      </c>
      <c r="G453" s="140" t="s">
        <v>898</v>
      </c>
      <c r="H453" s="140" t="s">
        <v>494</v>
      </c>
      <c r="I453" s="140" t="s">
        <v>46</v>
      </c>
      <c r="J453" s="140">
        <v>1800</v>
      </c>
      <c r="K453" s="156">
        <v>16</v>
      </c>
      <c r="L453" s="156">
        <f>K453*J453</f>
        <v>28800</v>
      </c>
      <c r="M453" s="143">
        <v>0</v>
      </c>
      <c r="N453" s="141">
        <v>45804</v>
      </c>
      <c r="O453" s="157">
        <f>WEEKNUM(N453)</f>
        <v>22</v>
      </c>
      <c r="P453" s="143"/>
      <c r="Q453" s="140" t="s">
        <v>29</v>
      </c>
      <c r="R453" s="143">
        <f>J453*0.25</f>
        <v>450</v>
      </c>
      <c r="S453" s="143">
        <f>J453*1</f>
        <v>1800</v>
      </c>
      <c r="T453" s="143">
        <f>J453*1.5</f>
        <v>2700</v>
      </c>
      <c r="U453" s="143">
        <f>J453*0.5</f>
        <v>900</v>
      </c>
      <c r="V453" s="143">
        <f>R453+S453+T453+U453</f>
        <v>5850</v>
      </c>
    </row>
    <row r="454" spans="1:22" s="128" customFormat="1" ht="15.6" hidden="1" x14ac:dyDescent="0.3">
      <c r="A454" s="140" t="s">
        <v>491</v>
      </c>
      <c r="B454" s="140">
        <v>1138</v>
      </c>
      <c r="C454" s="139">
        <v>45777</v>
      </c>
      <c r="D454" s="140">
        <f>WEEKNUM(C454)</f>
        <v>18</v>
      </c>
      <c r="E454" s="140" t="s">
        <v>68</v>
      </c>
      <c r="F454" s="140" t="s">
        <v>366</v>
      </c>
      <c r="G454" s="140" t="s">
        <v>503</v>
      </c>
      <c r="H454" s="140" t="s">
        <v>354</v>
      </c>
      <c r="I454" s="140" t="s">
        <v>26</v>
      </c>
      <c r="J454" s="154">
        <f>10+10+8+6+2</f>
        <v>36</v>
      </c>
      <c r="K454" s="156">
        <v>36.75</v>
      </c>
      <c r="L454" s="156">
        <f>J454*K454</f>
        <v>1323</v>
      </c>
      <c r="M454" s="143">
        <v>0</v>
      </c>
      <c r="N454" s="139">
        <v>45719</v>
      </c>
      <c r="O454" s="157">
        <f>WEEKNUM(N454)</f>
        <v>10</v>
      </c>
      <c r="P454" s="140"/>
      <c r="Q454" s="140" t="s">
        <v>29</v>
      </c>
      <c r="R454" s="156">
        <f>J454*0.25</f>
        <v>9</v>
      </c>
      <c r="S454" s="156">
        <f>J454*1.5</f>
        <v>54</v>
      </c>
      <c r="T454" s="156">
        <f>J449*1.5</f>
        <v>450</v>
      </c>
      <c r="U454" s="156">
        <f>J454*0.5</f>
        <v>18</v>
      </c>
      <c r="V454" s="156">
        <f>R454+S454+T454+U454</f>
        <v>531</v>
      </c>
    </row>
    <row r="455" spans="1:22" s="128" customFormat="1" ht="15.6" hidden="1" x14ac:dyDescent="0.3">
      <c r="A455" s="140" t="s">
        <v>491</v>
      </c>
      <c r="B455" s="140">
        <v>1138</v>
      </c>
      <c r="C455" s="139">
        <v>45777</v>
      </c>
      <c r="D455" s="140">
        <f>WEEKNUM(C455)</f>
        <v>18</v>
      </c>
      <c r="E455" s="140" t="s">
        <v>68</v>
      </c>
      <c r="F455" s="140" t="s">
        <v>366</v>
      </c>
      <c r="G455" s="140" t="s">
        <v>507</v>
      </c>
      <c r="H455" s="140" t="s">
        <v>74</v>
      </c>
      <c r="I455" s="140" t="s">
        <v>26</v>
      </c>
      <c r="J455" s="154">
        <f>8+10+10+6+2</f>
        <v>36</v>
      </c>
      <c r="K455" s="156">
        <v>36.75</v>
      </c>
      <c r="L455" s="156">
        <f>J455*K455</f>
        <v>1323</v>
      </c>
      <c r="M455" s="143">
        <v>0</v>
      </c>
      <c r="N455" s="139">
        <v>45719</v>
      </c>
      <c r="O455" s="157">
        <f>WEEKNUM(N455)</f>
        <v>10</v>
      </c>
      <c r="P455" s="140"/>
      <c r="Q455" s="140" t="s">
        <v>29</v>
      </c>
      <c r="R455" s="156">
        <f>J455*0.25</f>
        <v>9</v>
      </c>
      <c r="S455" s="156">
        <f>J455*1.5</f>
        <v>54</v>
      </c>
      <c r="T455" s="156">
        <f>J450*1.5</f>
        <v>450</v>
      </c>
      <c r="U455" s="156">
        <f>J455*0.5</f>
        <v>18</v>
      </c>
      <c r="V455" s="156">
        <f>R455+S455+T455+U455</f>
        <v>531</v>
      </c>
    </row>
    <row r="456" spans="1:22" s="128" customFormat="1" ht="15.6" hidden="1" x14ac:dyDescent="0.3">
      <c r="A456" s="140" t="s">
        <v>477</v>
      </c>
      <c r="B456" s="140">
        <v>1138</v>
      </c>
      <c r="C456" s="139">
        <v>45777</v>
      </c>
      <c r="D456" s="140">
        <f>WEEKNUM(C456)</f>
        <v>18</v>
      </c>
      <c r="E456" s="140" t="s">
        <v>68</v>
      </c>
      <c r="F456" s="140" t="s">
        <v>366</v>
      </c>
      <c r="G456" s="140" t="s">
        <v>508</v>
      </c>
      <c r="H456" s="140" t="s">
        <v>78</v>
      </c>
      <c r="I456" s="140" t="s">
        <v>26</v>
      </c>
      <c r="J456" s="154">
        <v>34</v>
      </c>
      <c r="K456" s="156">
        <v>65</v>
      </c>
      <c r="L456" s="156">
        <f>J456*K456</f>
        <v>2210</v>
      </c>
      <c r="M456" s="143">
        <v>0</v>
      </c>
      <c r="N456" s="139">
        <v>45719</v>
      </c>
      <c r="O456" s="157">
        <f>WEEKNUM(N456)</f>
        <v>10</v>
      </c>
      <c r="P456" s="140"/>
      <c r="Q456" s="140" t="s">
        <v>29</v>
      </c>
      <c r="R456" s="156">
        <f>J456*0.25</f>
        <v>8.5</v>
      </c>
      <c r="S456" s="156">
        <v>0</v>
      </c>
      <c r="T456" s="156">
        <f>J456*3</f>
        <v>102</v>
      </c>
      <c r="U456" s="156">
        <f>J456*0.5</f>
        <v>17</v>
      </c>
      <c r="V456" s="156">
        <f>R456+S456+T456+U456</f>
        <v>127.5</v>
      </c>
    </row>
    <row r="457" spans="1:22" s="128" customFormat="1" ht="15.6" hidden="1" x14ac:dyDescent="0.3">
      <c r="A457" s="140" t="s">
        <v>491</v>
      </c>
      <c r="B457" s="140">
        <v>1138</v>
      </c>
      <c r="C457" s="139">
        <v>45777</v>
      </c>
      <c r="D457" s="140">
        <f>WEEKNUM(C457)</f>
        <v>18</v>
      </c>
      <c r="E457" s="140" t="s">
        <v>68</v>
      </c>
      <c r="F457" s="140" t="s">
        <v>366</v>
      </c>
      <c r="G457" s="142" t="s">
        <v>505</v>
      </c>
      <c r="H457" s="140" t="s">
        <v>78</v>
      </c>
      <c r="I457" s="140" t="s">
        <v>61</v>
      </c>
      <c r="J457" s="154">
        <v>34</v>
      </c>
      <c r="K457" s="156">
        <v>75</v>
      </c>
      <c r="L457" s="156">
        <f>J457*K457</f>
        <v>2550</v>
      </c>
      <c r="M457" s="143">
        <v>0</v>
      </c>
      <c r="N457" s="139">
        <v>45719</v>
      </c>
      <c r="O457" s="157">
        <f>WEEKNUM(N457)</f>
        <v>10</v>
      </c>
      <c r="P457" s="140"/>
      <c r="Q457" s="140" t="s">
        <v>29</v>
      </c>
      <c r="R457" s="156">
        <f>J457*50</f>
        <v>1700</v>
      </c>
      <c r="S457" s="156">
        <v>0</v>
      </c>
      <c r="T457" s="156">
        <f>J457*3</f>
        <v>102</v>
      </c>
      <c r="U457" s="156">
        <f>J457*0.5</f>
        <v>17</v>
      </c>
      <c r="V457" s="156">
        <f>R457+S457+T457+U457</f>
        <v>1819</v>
      </c>
    </row>
    <row r="458" spans="1:22" s="128" customFormat="1" ht="15.6" hidden="1" x14ac:dyDescent="0.3">
      <c r="A458" s="140" t="s">
        <v>491</v>
      </c>
      <c r="B458" s="140">
        <v>1138</v>
      </c>
      <c r="C458" s="139">
        <v>45777</v>
      </c>
      <c r="D458" s="140">
        <f>WEEKNUM(C458)</f>
        <v>18</v>
      </c>
      <c r="E458" s="140" t="s">
        <v>68</v>
      </c>
      <c r="F458" s="140" t="s">
        <v>366</v>
      </c>
      <c r="G458" s="142" t="s">
        <v>339</v>
      </c>
      <c r="H458" s="140" t="s">
        <v>340</v>
      </c>
      <c r="I458" s="140" t="s">
        <v>26</v>
      </c>
      <c r="J458" s="154">
        <v>6</v>
      </c>
      <c r="K458" s="156">
        <v>65</v>
      </c>
      <c r="L458" s="156">
        <f>J458*K458</f>
        <v>390</v>
      </c>
      <c r="M458" s="143">
        <v>0</v>
      </c>
      <c r="N458" s="139">
        <v>45719</v>
      </c>
      <c r="O458" s="157">
        <f>WEEKNUM(N458)</f>
        <v>10</v>
      </c>
      <c r="P458" s="140"/>
      <c r="Q458" s="140" t="s">
        <v>29</v>
      </c>
      <c r="R458" s="156">
        <f>J458*50</f>
        <v>300</v>
      </c>
      <c r="S458" s="156">
        <v>0</v>
      </c>
      <c r="T458" s="156">
        <f>J458*3</f>
        <v>18</v>
      </c>
      <c r="U458" s="156">
        <f>J458*0.5</f>
        <v>3</v>
      </c>
      <c r="V458" s="156">
        <f>R458+S458+T458+U458</f>
        <v>321</v>
      </c>
    </row>
    <row r="459" spans="1:22" s="128" customFormat="1" ht="15.6" hidden="1" x14ac:dyDescent="0.3">
      <c r="A459" s="142" t="s">
        <v>491</v>
      </c>
      <c r="B459" s="142">
        <v>1213</v>
      </c>
      <c r="C459" s="141">
        <v>45777</v>
      </c>
      <c r="D459" s="140">
        <f>WEEKNUM(C459)</f>
        <v>18</v>
      </c>
      <c r="E459" s="142" t="s">
        <v>68</v>
      </c>
      <c r="F459" s="142" t="s">
        <v>367</v>
      </c>
      <c r="G459" s="142" t="s">
        <v>301</v>
      </c>
      <c r="H459" s="140" t="s">
        <v>74</v>
      </c>
      <c r="I459" s="142" t="s">
        <v>46</v>
      </c>
      <c r="J459" s="157">
        <v>8</v>
      </c>
      <c r="K459" s="143">
        <v>36.75</v>
      </c>
      <c r="L459" s="143">
        <f>K459*J459</f>
        <v>294</v>
      </c>
      <c r="M459" s="143">
        <v>0</v>
      </c>
      <c r="N459" s="141">
        <v>45807</v>
      </c>
      <c r="O459" s="157">
        <f>WEEKNUM(N459)</f>
        <v>22</v>
      </c>
      <c r="P459" s="140"/>
      <c r="Q459" s="140" t="s">
        <v>29</v>
      </c>
      <c r="R459" s="143">
        <f>J459*0.25</f>
        <v>2</v>
      </c>
      <c r="S459" s="143"/>
      <c r="T459" s="143"/>
      <c r="U459" s="143">
        <f>J459*0.5</f>
        <v>4</v>
      </c>
      <c r="V459" s="143"/>
    </row>
    <row r="460" spans="1:22" s="128" customFormat="1" ht="15.6" hidden="1" x14ac:dyDescent="0.3">
      <c r="A460" s="142" t="s">
        <v>477</v>
      </c>
      <c r="B460" s="142">
        <v>778</v>
      </c>
      <c r="C460" s="141">
        <v>45777</v>
      </c>
      <c r="D460" s="140">
        <f>WEEKNUM(C460)</f>
        <v>18</v>
      </c>
      <c r="E460" s="140" t="s">
        <v>478</v>
      </c>
      <c r="F460" s="142" t="s">
        <v>832</v>
      </c>
      <c r="G460" s="140" t="s">
        <v>835</v>
      </c>
      <c r="H460" s="140" t="s">
        <v>95</v>
      </c>
      <c r="I460" s="140" t="s">
        <v>46</v>
      </c>
      <c r="J460" s="140">
        <v>50</v>
      </c>
      <c r="K460" s="156">
        <v>10.9</v>
      </c>
      <c r="L460" s="156">
        <f>K460*J460</f>
        <v>545</v>
      </c>
      <c r="M460" s="143">
        <v>0</v>
      </c>
      <c r="N460" s="141">
        <v>45810</v>
      </c>
      <c r="O460" s="157">
        <f>WEEKNUM(N460)</f>
        <v>23</v>
      </c>
      <c r="P460" s="143"/>
      <c r="Q460" s="140" t="s">
        <v>29</v>
      </c>
      <c r="R460" s="143">
        <f>J460*0.25</f>
        <v>12.5</v>
      </c>
      <c r="S460" s="143">
        <f>J460*0.7</f>
        <v>35</v>
      </c>
      <c r="T460" s="143">
        <f>J460*0.6</f>
        <v>30</v>
      </c>
      <c r="U460" s="143">
        <f>J460*0.5</f>
        <v>25</v>
      </c>
      <c r="V460" s="143">
        <f>R460+S460+T460+U460</f>
        <v>102.5</v>
      </c>
    </row>
    <row r="461" spans="1:22" s="128" customFormat="1" ht="15.6" hidden="1" x14ac:dyDescent="0.3">
      <c r="A461" s="142" t="s">
        <v>477</v>
      </c>
      <c r="B461" s="142">
        <v>778</v>
      </c>
      <c r="C461" s="141">
        <v>45777</v>
      </c>
      <c r="D461" s="140">
        <f>WEEKNUM(C461)</f>
        <v>18</v>
      </c>
      <c r="E461" s="140" t="s">
        <v>478</v>
      </c>
      <c r="F461" s="142" t="s">
        <v>832</v>
      </c>
      <c r="G461" s="140" t="s">
        <v>836</v>
      </c>
      <c r="H461" s="140" t="s">
        <v>95</v>
      </c>
      <c r="I461" s="140" t="s">
        <v>46</v>
      </c>
      <c r="J461" s="140">
        <v>50</v>
      </c>
      <c r="K461" s="156">
        <v>9.9</v>
      </c>
      <c r="L461" s="156">
        <f>K461*J461</f>
        <v>495</v>
      </c>
      <c r="M461" s="143">
        <v>0</v>
      </c>
      <c r="N461" s="141">
        <v>45810</v>
      </c>
      <c r="O461" s="157">
        <f>WEEKNUM(N461)</f>
        <v>23</v>
      </c>
      <c r="P461" s="143"/>
      <c r="Q461" s="140" t="s">
        <v>29</v>
      </c>
      <c r="R461" s="143">
        <f>J461*0.25</f>
        <v>12.5</v>
      </c>
      <c r="S461" s="143">
        <f>J461*0.7</f>
        <v>35</v>
      </c>
      <c r="T461" s="143">
        <f>J461*0.6</f>
        <v>30</v>
      </c>
      <c r="U461" s="143">
        <f>J461*0.5</f>
        <v>25</v>
      </c>
      <c r="V461" s="143">
        <f>R461+S461+T461+U461</f>
        <v>102.5</v>
      </c>
    </row>
    <row r="462" spans="1:22" s="128" customFormat="1" ht="15.6" hidden="1" x14ac:dyDescent="0.3">
      <c r="A462" s="142" t="s">
        <v>491</v>
      </c>
      <c r="B462" s="142">
        <v>1163</v>
      </c>
      <c r="C462" s="139">
        <v>45777</v>
      </c>
      <c r="D462" s="140">
        <f>WEEKNUM(C462)</f>
        <v>18</v>
      </c>
      <c r="E462" s="142" t="s">
        <v>68</v>
      </c>
      <c r="F462" s="142" t="s">
        <v>343</v>
      </c>
      <c r="G462" s="142" t="s">
        <v>368</v>
      </c>
      <c r="H462" s="140" t="s">
        <v>74</v>
      </c>
      <c r="I462" s="142" t="s">
        <v>46</v>
      </c>
      <c r="J462" s="157">
        <v>4</v>
      </c>
      <c r="K462" s="143">
        <v>70</v>
      </c>
      <c r="L462" s="143">
        <f>J462*K462</f>
        <v>280</v>
      </c>
      <c r="M462" s="143">
        <v>0</v>
      </c>
      <c r="N462" s="141">
        <v>45764</v>
      </c>
      <c r="O462" s="157">
        <f>WEEKNUM(N462)</f>
        <v>16</v>
      </c>
      <c r="P462" s="140"/>
      <c r="Q462" s="140" t="s">
        <v>29</v>
      </c>
      <c r="R462" s="143">
        <f>J462*1</f>
        <v>4</v>
      </c>
      <c r="S462" s="143">
        <f>J462*1.5</f>
        <v>6</v>
      </c>
      <c r="T462" s="143">
        <f>J462*1.5</f>
        <v>6</v>
      </c>
      <c r="U462" s="143">
        <f>J462*1</f>
        <v>4</v>
      </c>
      <c r="V462" s="143">
        <f>R462+S462+T462+U462</f>
        <v>20</v>
      </c>
    </row>
    <row r="463" spans="1:22" s="128" customFormat="1" ht="15.6" hidden="1" x14ac:dyDescent="0.3">
      <c r="A463" s="142" t="s">
        <v>477</v>
      </c>
      <c r="B463" s="142">
        <v>780</v>
      </c>
      <c r="C463" s="141">
        <v>45779</v>
      </c>
      <c r="D463" s="140">
        <f>WEEKNUM(C463)</f>
        <v>18</v>
      </c>
      <c r="E463" s="158" t="s">
        <v>498</v>
      </c>
      <c r="F463" s="140" t="s">
        <v>637</v>
      </c>
      <c r="G463" s="142" t="s">
        <v>487</v>
      </c>
      <c r="H463" s="140" t="s">
        <v>51</v>
      </c>
      <c r="I463" s="140" t="s">
        <v>46</v>
      </c>
      <c r="J463" s="140">
        <v>250</v>
      </c>
      <c r="K463" s="156">
        <v>23.5</v>
      </c>
      <c r="L463" s="156">
        <f>K463*J463</f>
        <v>5875</v>
      </c>
      <c r="M463" s="143">
        <v>0</v>
      </c>
      <c r="N463" s="141">
        <v>45800</v>
      </c>
      <c r="O463" s="157">
        <f>WEEKNUM(N463)</f>
        <v>21</v>
      </c>
      <c r="P463" s="143"/>
      <c r="Q463" s="140" t="s">
        <v>29</v>
      </c>
      <c r="R463" s="143">
        <f>J463*0.25</f>
        <v>62.5</v>
      </c>
      <c r="S463" s="143">
        <f>J463*1</f>
        <v>250</v>
      </c>
      <c r="T463" s="143">
        <f>J463*1.84</f>
        <v>460</v>
      </c>
      <c r="U463" s="143">
        <f>J463*0.5</f>
        <v>125</v>
      </c>
      <c r="V463" s="156">
        <f>SUM(R463:U463)</f>
        <v>897.5</v>
      </c>
    </row>
    <row r="464" spans="1:22" s="128" customFormat="1" ht="15.6" hidden="1" x14ac:dyDescent="0.3">
      <c r="A464" s="142" t="s">
        <v>474</v>
      </c>
      <c r="B464" s="142">
        <v>1215</v>
      </c>
      <c r="C464" s="141">
        <v>45779</v>
      </c>
      <c r="D464" s="140">
        <f>WEEKNUM(C464)</f>
        <v>18</v>
      </c>
      <c r="E464" s="140" t="s">
        <v>475</v>
      </c>
      <c r="F464" s="140" t="s">
        <v>209</v>
      </c>
      <c r="G464" s="140" t="s">
        <v>747</v>
      </c>
      <c r="H464" s="140" t="s">
        <v>74</v>
      </c>
      <c r="I464" s="140" t="s">
        <v>46</v>
      </c>
      <c r="J464" s="140">
        <v>50</v>
      </c>
      <c r="K464" s="156">
        <v>35</v>
      </c>
      <c r="L464" s="156">
        <f>K464*J464</f>
        <v>1750</v>
      </c>
      <c r="M464" s="143">
        <v>0</v>
      </c>
      <c r="N464" s="141">
        <v>45813</v>
      </c>
      <c r="O464" s="157">
        <f>WEEKNUM(N464)</f>
        <v>23</v>
      </c>
      <c r="P464" s="143"/>
      <c r="Q464" s="140" t="s">
        <v>29</v>
      </c>
      <c r="R464" s="143">
        <f>J464*0.25</f>
        <v>12.5</v>
      </c>
      <c r="S464" s="143">
        <f>J464*1</f>
        <v>50</v>
      </c>
      <c r="T464" s="143">
        <f>J464*1.5</f>
        <v>75</v>
      </c>
      <c r="U464" s="143">
        <f>J464*0.5</f>
        <v>25</v>
      </c>
      <c r="V464" s="156">
        <f>SUM(R464:U464)</f>
        <v>162.5</v>
      </c>
    </row>
    <row r="465" spans="1:22" s="128" customFormat="1" ht="15.6" hidden="1" x14ac:dyDescent="0.3">
      <c r="A465" s="142" t="s">
        <v>474</v>
      </c>
      <c r="B465" s="142">
        <v>1215</v>
      </c>
      <c r="C465" s="141">
        <v>45779</v>
      </c>
      <c r="D465" s="140">
        <f>WEEKNUM(C465)</f>
        <v>18</v>
      </c>
      <c r="E465" s="140" t="s">
        <v>475</v>
      </c>
      <c r="F465" s="140" t="s">
        <v>209</v>
      </c>
      <c r="G465" s="142" t="s">
        <v>311</v>
      </c>
      <c r="H465" s="140" t="s">
        <v>51</v>
      </c>
      <c r="I465" s="140" t="s">
        <v>46</v>
      </c>
      <c r="J465" s="140">
        <v>50</v>
      </c>
      <c r="K465" s="156">
        <v>20</v>
      </c>
      <c r="L465" s="156">
        <f>K465*J465</f>
        <v>1000</v>
      </c>
      <c r="M465" s="143">
        <v>0</v>
      </c>
      <c r="N465" s="141">
        <v>45813</v>
      </c>
      <c r="O465" s="157">
        <f>WEEKNUM(N465)</f>
        <v>23</v>
      </c>
      <c r="P465" s="143"/>
      <c r="Q465" s="140" t="s">
        <v>29</v>
      </c>
      <c r="R465" s="143">
        <f>J465*0.25</f>
        <v>12.5</v>
      </c>
      <c r="S465" s="143">
        <f>J465*1</f>
        <v>50</v>
      </c>
      <c r="T465" s="143">
        <f>J465*1.5</f>
        <v>75</v>
      </c>
      <c r="U465" s="143">
        <f>J465*0.5</f>
        <v>25</v>
      </c>
      <c r="V465" s="143">
        <f>R465+S465+T465+U465</f>
        <v>162.5</v>
      </c>
    </row>
    <row r="466" spans="1:22" s="128" customFormat="1" ht="15.6" hidden="1" x14ac:dyDescent="0.3">
      <c r="A466" s="142" t="s">
        <v>491</v>
      </c>
      <c r="B466" s="142">
        <v>1216</v>
      </c>
      <c r="C466" s="141">
        <v>45782</v>
      </c>
      <c r="D466" s="140">
        <f>WEEKNUM(C466)</f>
        <v>19</v>
      </c>
      <c r="E466" s="142" t="s">
        <v>68</v>
      </c>
      <c r="F466" s="142" t="s">
        <v>591</v>
      </c>
      <c r="G466" s="142" t="s">
        <v>311</v>
      </c>
      <c r="H466" s="140" t="s">
        <v>51</v>
      </c>
      <c r="I466" s="142" t="s">
        <v>46</v>
      </c>
      <c r="J466" s="157">
        <v>20</v>
      </c>
      <c r="K466" s="143">
        <v>25</v>
      </c>
      <c r="L466" s="143">
        <f>K466*J466</f>
        <v>500</v>
      </c>
      <c r="M466" s="143">
        <v>0</v>
      </c>
      <c r="N466" s="141">
        <v>45812</v>
      </c>
      <c r="O466" s="157">
        <f>WEEKNUM(N466)</f>
        <v>23</v>
      </c>
      <c r="P466" s="140"/>
      <c r="Q466" s="140" t="s">
        <v>29</v>
      </c>
      <c r="R466" s="143">
        <f>J466*0.25</f>
        <v>5</v>
      </c>
      <c r="S466" s="143">
        <f>J466*1</f>
        <v>20</v>
      </c>
      <c r="T466" s="143">
        <f>J466*1.5</f>
        <v>30</v>
      </c>
      <c r="U466" s="143">
        <f>J466*0.5</f>
        <v>10</v>
      </c>
      <c r="V466" s="143">
        <f>R466+S466+T466+U466</f>
        <v>65</v>
      </c>
    </row>
    <row r="467" spans="1:22" s="128" customFormat="1" ht="15.6" hidden="1" x14ac:dyDescent="0.3">
      <c r="A467" s="142" t="s">
        <v>491</v>
      </c>
      <c r="B467" s="142">
        <v>1216</v>
      </c>
      <c r="C467" s="141">
        <v>45782</v>
      </c>
      <c r="D467" s="140">
        <f>WEEKNUM(C467)</f>
        <v>19</v>
      </c>
      <c r="E467" s="142" t="s">
        <v>68</v>
      </c>
      <c r="F467" s="142" t="s">
        <v>591</v>
      </c>
      <c r="G467" s="142" t="s">
        <v>408</v>
      </c>
      <c r="H467" s="140" t="s">
        <v>80</v>
      </c>
      <c r="I467" s="142" t="s">
        <v>46</v>
      </c>
      <c r="J467" s="157">
        <v>10</v>
      </c>
      <c r="K467" s="143">
        <v>21</v>
      </c>
      <c r="L467" s="143">
        <f>K467*J467</f>
        <v>210</v>
      </c>
      <c r="M467" s="143">
        <v>0</v>
      </c>
      <c r="N467" s="141">
        <v>45812</v>
      </c>
      <c r="O467" s="157">
        <f>WEEKNUM(N467)</f>
        <v>23</v>
      </c>
      <c r="P467" s="140"/>
      <c r="Q467" s="140" t="s">
        <v>29</v>
      </c>
      <c r="R467" s="156">
        <f>J467*0.25</f>
        <v>2.5</v>
      </c>
      <c r="S467" s="156">
        <f>J467*1</f>
        <v>10</v>
      </c>
      <c r="T467" s="156">
        <f>J467*1.2</f>
        <v>12</v>
      </c>
      <c r="U467" s="156">
        <f>J467*0.5</f>
        <v>5</v>
      </c>
      <c r="V467" s="156">
        <f>R467+S467+T467+U467</f>
        <v>29.5</v>
      </c>
    </row>
    <row r="468" spans="1:22" s="128" customFormat="1" ht="15.6" hidden="1" x14ac:dyDescent="0.3">
      <c r="A468" s="142" t="s">
        <v>491</v>
      </c>
      <c r="B468" s="142">
        <v>1216</v>
      </c>
      <c r="C468" s="141">
        <v>45782</v>
      </c>
      <c r="D468" s="140">
        <f>WEEKNUM(C468)</f>
        <v>19</v>
      </c>
      <c r="E468" s="142" t="s">
        <v>68</v>
      </c>
      <c r="F468" s="142" t="s">
        <v>591</v>
      </c>
      <c r="G468" s="140" t="s">
        <v>503</v>
      </c>
      <c r="H468" s="140" t="s">
        <v>354</v>
      </c>
      <c r="I468" s="142" t="s">
        <v>46</v>
      </c>
      <c r="J468" s="157">
        <v>30</v>
      </c>
      <c r="K468" s="143">
        <v>36.75</v>
      </c>
      <c r="L468" s="143">
        <f>K468*J468</f>
        <v>1102.5</v>
      </c>
      <c r="M468" s="143">
        <v>0</v>
      </c>
      <c r="N468" s="141">
        <v>45812</v>
      </c>
      <c r="O468" s="157">
        <f>WEEKNUM(N468)</f>
        <v>23</v>
      </c>
      <c r="P468" s="140"/>
      <c r="Q468" s="140" t="s">
        <v>29</v>
      </c>
      <c r="R468" s="143">
        <f>J468*0.25</f>
        <v>7.5</v>
      </c>
      <c r="S468" s="143">
        <f>J468*1</f>
        <v>30</v>
      </c>
      <c r="T468" s="143">
        <f>J468*1.5</f>
        <v>45</v>
      </c>
      <c r="U468" s="143">
        <f>J468*0.5</f>
        <v>15</v>
      </c>
      <c r="V468" s="143">
        <f>R468+S468+T468+U468</f>
        <v>97.5</v>
      </c>
    </row>
    <row r="469" spans="1:22" s="128" customFormat="1" ht="15.6" hidden="1" x14ac:dyDescent="0.3">
      <c r="A469" s="142" t="s">
        <v>491</v>
      </c>
      <c r="B469" s="142">
        <v>1216</v>
      </c>
      <c r="C469" s="141">
        <v>45782</v>
      </c>
      <c r="D469" s="140">
        <f>WEEKNUM(C469)</f>
        <v>19</v>
      </c>
      <c r="E469" s="142" t="s">
        <v>68</v>
      </c>
      <c r="F469" s="142" t="s">
        <v>591</v>
      </c>
      <c r="G469" s="142" t="s">
        <v>301</v>
      </c>
      <c r="H469" s="140" t="s">
        <v>74</v>
      </c>
      <c r="I469" s="142" t="s">
        <v>46</v>
      </c>
      <c r="J469" s="157">
        <v>12</v>
      </c>
      <c r="K469" s="143">
        <v>36.75</v>
      </c>
      <c r="L469" s="143">
        <f>K469*J469</f>
        <v>441</v>
      </c>
      <c r="M469" s="143">
        <v>0</v>
      </c>
      <c r="N469" s="141">
        <v>45812</v>
      </c>
      <c r="O469" s="157">
        <f>WEEKNUM(N469)</f>
        <v>23</v>
      </c>
      <c r="P469" s="140"/>
      <c r="Q469" s="140" t="s">
        <v>29</v>
      </c>
      <c r="R469" s="143">
        <f>J469*1</f>
        <v>12</v>
      </c>
      <c r="S469" s="143">
        <f>J469*1.5</f>
        <v>18</v>
      </c>
      <c r="T469" s="143">
        <f>J469*1.5</f>
        <v>18</v>
      </c>
      <c r="U469" s="143">
        <f>J469*1</f>
        <v>12</v>
      </c>
      <c r="V469" s="143">
        <f>R469+S469+T469+U469</f>
        <v>60</v>
      </c>
    </row>
    <row r="470" spans="1:22" s="128" customFormat="1" ht="15.6" hidden="1" x14ac:dyDescent="0.3">
      <c r="A470" s="142" t="s">
        <v>477</v>
      </c>
      <c r="B470" s="142">
        <v>781</v>
      </c>
      <c r="C470" s="141">
        <v>45782</v>
      </c>
      <c r="D470" s="140">
        <f>WEEKNUM(C470)</f>
        <v>19</v>
      </c>
      <c r="E470" s="140" t="s">
        <v>478</v>
      </c>
      <c r="F470" s="142" t="s">
        <v>821</v>
      </c>
      <c r="G470" s="142" t="s">
        <v>822</v>
      </c>
      <c r="H470" s="142" t="s">
        <v>95</v>
      </c>
      <c r="I470" s="142" t="s">
        <v>46</v>
      </c>
      <c r="J470" s="157">
        <v>1000</v>
      </c>
      <c r="K470" s="143">
        <v>3.15</v>
      </c>
      <c r="L470" s="143">
        <f>K470*J470</f>
        <v>3150</v>
      </c>
      <c r="M470" s="143">
        <v>0</v>
      </c>
      <c r="N470" s="141">
        <v>45810</v>
      </c>
      <c r="O470" s="157">
        <f>WEEKNUM(N470)</f>
        <v>23</v>
      </c>
      <c r="P470" s="140"/>
      <c r="Q470" s="140" t="s">
        <v>29</v>
      </c>
      <c r="R470" s="156">
        <f>J470*0.4</f>
        <v>400</v>
      </c>
      <c r="S470" s="143">
        <f>J470*0.3</f>
        <v>300</v>
      </c>
      <c r="T470" s="156">
        <f>J470*0.5</f>
        <v>500</v>
      </c>
      <c r="U470" s="156">
        <f>J470*1</f>
        <v>1000</v>
      </c>
      <c r="V470" s="156">
        <f>R470+S470+T470+U470</f>
        <v>2200</v>
      </c>
    </row>
    <row r="471" spans="1:22" s="128" customFormat="1" ht="15.6" hidden="1" x14ac:dyDescent="0.3">
      <c r="A471" s="142" t="s">
        <v>491</v>
      </c>
      <c r="B471" s="142">
        <v>1214</v>
      </c>
      <c r="C471" s="141">
        <v>45782</v>
      </c>
      <c r="D471" s="140">
        <f>WEEKNUM(C471)</f>
        <v>19</v>
      </c>
      <c r="E471" s="158" t="s">
        <v>68</v>
      </c>
      <c r="F471" s="140" t="s">
        <v>365</v>
      </c>
      <c r="G471" s="142" t="s">
        <v>311</v>
      </c>
      <c r="H471" s="140" t="s">
        <v>51</v>
      </c>
      <c r="I471" s="140" t="s">
        <v>46</v>
      </c>
      <c r="J471" s="140">
        <v>8</v>
      </c>
      <c r="K471" s="156">
        <v>25</v>
      </c>
      <c r="L471" s="156">
        <f>K471*J471</f>
        <v>200</v>
      </c>
      <c r="M471" s="143">
        <v>0</v>
      </c>
      <c r="N471" s="141">
        <v>45809</v>
      </c>
      <c r="O471" s="157">
        <f>WEEKNUM(N471)</f>
        <v>23</v>
      </c>
      <c r="P471" s="143"/>
      <c r="Q471" s="140" t="s">
        <v>29</v>
      </c>
      <c r="R471" s="143">
        <f>J471*0.25</f>
        <v>2</v>
      </c>
      <c r="S471" s="143">
        <f>J471*1</f>
        <v>8</v>
      </c>
      <c r="T471" s="143">
        <f>J471*1.5</f>
        <v>12</v>
      </c>
      <c r="U471" s="143">
        <f>J471*0.5</f>
        <v>4</v>
      </c>
      <c r="V471" s="143">
        <f>R471+S471+T471+U471</f>
        <v>26</v>
      </c>
    </row>
    <row r="472" spans="1:22" s="128" customFormat="1" ht="15.6" hidden="1" x14ac:dyDescent="0.3">
      <c r="A472" s="142" t="s">
        <v>491</v>
      </c>
      <c r="B472" s="142">
        <v>1214</v>
      </c>
      <c r="C472" s="141">
        <v>45782</v>
      </c>
      <c r="D472" s="140">
        <f>WEEKNUM(C472)</f>
        <v>19</v>
      </c>
      <c r="E472" s="158" t="s">
        <v>68</v>
      </c>
      <c r="F472" s="140" t="s">
        <v>365</v>
      </c>
      <c r="G472" s="142" t="s">
        <v>374</v>
      </c>
      <c r="H472" s="140" t="s">
        <v>74</v>
      </c>
      <c r="I472" s="140" t="s">
        <v>46</v>
      </c>
      <c r="J472" s="140">
        <v>4</v>
      </c>
      <c r="K472" s="156">
        <v>47.5</v>
      </c>
      <c r="L472" s="156">
        <f>K472*J472</f>
        <v>190</v>
      </c>
      <c r="M472" s="143">
        <v>0</v>
      </c>
      <c r="N472" s="141">
        <v>45809</v>
      </c>
      <c r="O472" s="157">
        <f>WEEKNUM(N472)</f>
        <v>23</v>
      </c>
      <c r="P472" s="143"/>
      <c r="Q472" s="140" t="s">
        <v>29</v>
      </c>
      <c r="R472" s="143">
        <f>J472*1</f>
        <v>4</v>
      </c>
      <c r="S472" s="143">
        <f>J472*1.5</f>
        <v>6</v>
      </c>
      <c r="T472" s="143">
        <f>J472*1.5</f>
        <v>6</v>
      </c>
      <c r="U472" s="143">
        <f>J472*1</f>
        <v>4</v>
      </c>
      <c r="V472" s="143">
        <f>R472+S472+T472+U472</f>
        <v>20</v>
      </c>
    </row>
    <row r="473" spans="1:22" s="128" customFormat="1" ht="15.6" hidden="1" x14ac:dyDescent="0.3">
      <c r="A473" s="142" t="s">
        <v>491</v>
      </c>
      <c r="B473" s="142">
        <v>1214</v>
      </c>
      <c r="C473" s="141">
        <v>45782</v>
      </c>
      <c r="D473" s="140">
        <f>WEEKNUM(C473)</f>
        <v>19</v>
      </c>
      <c r="E473" s="158" t="s">
        <v>68</v>
      </c>
      <c r="F473" s="140" t="s">
        <v>365</v>
      </c>
      <c r="G473" s="142" t="s">
        <v>339</v>
      </c>
      <c r="H473" s="140" t="s">
        <v>340</v>
      </c>
      <c r="I473" s="140" t="s">
        <v>46</v>
      </c>
      <c r="J473" s="140">
        <v>4</v>
      </c>
      <c r="K473" s="156">
        <v>65</v>
      </c>
      <c r="L473" s="156">
        <f>K473*J473</f>
        <v>260</v>
      </c>
      <c r="M473" s="143">
        <v>0</v>
      </c>
      <c r="N473" s="141">
        <v>45809</v>
      </c>
      <c r="O473" s="157">
        <f>WEEKNUM(N473)</f>
        <v>23</v>
      </c>
      <c r="P473" s="143"/>
      <c r="Q473" s="140" t="s">
        <v>29</v>
      </c>
      <c r="R473" s="143">
        <f>J473*0.25</f>
        <v>1</v>
      </c>
      <c r="S473" s="143">
        <f>J473*1</f>
        <v>4</v>
      </c>
      <c r="T473" s="143">
        <f>J473*1.5</f>
        <v>6</v>
      </c>
      <c r="U473" s="143">
        <f>J473*0.5</f>
        <v>2</v>
      </c>
      <c r="V473" s="143">
        <f>R473+S473+T473+U473</f>
        <v>13</v>
      </c>
    </row>
    <row r="474" spans="1:22" s="128" customFormat="1" ht="15.6" hidden="1" x14ac:dyDescent="0.3">
      <c r="A474" s="142" t="s">
        <v>491</v>
      </c>
      <c r="B474" s="142">
        <v>1214</v>
      </c>
      <c r="C474" s="141">
        <v>45782</v>
      </c>
      <c r="D474" s="140">
        <f>WEEKNUM(C474)</f>
        <v>19</v>
      </c>
      <c r="E474" s="158" t="s">
        <v>68</v>
      </c>
      <c r="F474" s="140" t="s">
        <v>365</v>
      </c>
      <c r="G474" s="140" t="s">
        <v>87</v>
      </c>
      <c r="H474" s="140" t="s">
        <v>74</v>
      </c>
      <c r="I474" s="140" t="s">
        <v>46</v>
      </c>
      <c r="J474" s="140">
        <v>1</v>
      </c>
      <c r="K474" s="156">
        <v>36.75</v>
      </c>
      <c r="L474" s="156">
        <f>K474*J474</f>
        <v>36.75</v>
      </c>
      <c r="M474" s="143">
        <v>0</v>
      </c>
      <c r="N474" s="141">
        <v>45809</v>
      </c>
      <c r="O474" s="157">
        <f>WEEKNUM(N474)</f>
        <v>23</v>
      </c>
      <c r="P474" s="143"/>
      <c r="Q474" s="140" t="s">
        <v>29</v>
      </c>
      <c r="R474" s="143">
        <f>J474*1</f>
        <v>1</v>
      </c>
      <c r="S474" s="143">
        <f>J474*1.5</f>
        <v>1.5</v>
      </c>
      <c r="T474" s="143">
        <f>J474*1.5</f>
        <v>1.5</v>
      </c>
      <c r="U474" s="143">
        <f>J474*1</f>
        <v>1</v>
      </c>
      <c r="V474" s="143">
        <f>R474+S474+T474+U474</f>
        <v>5</v>
      </c>
    </row>
    <row r="475" spans="1:22" s="128" customFormat="1" ht="15.6" hidden="1" x14ac:dyDescent="0.3">
      <c r="A475" s="142" t="s">
        <v>491</v>
      </c>
      <c r="B475" s="142">
        <v>1214</v>
      </c>
      <c r="C475" s="141">
        <v>45782</v>
      </c>
      <c r="D475" s="140">
        <f>WEEKNUM(C475)</f>
        <v>19</v>
      </c>
      <c r="E475" s="158" t="s">
        <v>68</v>
      </c>
      <c r="F475" s="140" t="s">
        <v>365</v>
      </c>
      <c r="G475" s="140" t="s">
        <v>508</v>
      </c>
      <c r="H475" s="140" t="s">
        <v>78</v>
      </c>
      <c r="I475" s="140" t="s">
        <v>46</v>
      </c>
      <c r="J475" s="140">
        <v>3</v>
      </c>
      <c r="K475" s="156">
        <v>65</v>
      </c>
      <c r="L475" s="156">
        <f>K475*J475</f>
        <v>195</v>
      </c>
      <c r="M475" s="143">
        <v>0</v>
      </c>
      <c r="N475" s="141">
        <v>45809</v>
      </c>
      <c r="O475" s="157">
        <f>WEEKNUM(N475)</f>
        <v>23</v>
      </c>
      <c r="P475" s="143"/>
      <c r="Q475" s="140" t="s">
        <v>29</v>
      </c>
      <c r="R475" s="143">
        <f>J475*1</f>
        <v>3</v>
      </c>
      <c r="S475" s="143">
        <f>J475*0</f>
        <v>0</v>
      </c>
      <c r="T475" s="143">
        <f>J475*3</f>
        <v>9</v>
      </c>
      <c r="U475" s="143">
        <f>J475*1</f>
        <v>3</v>
      </c>
      <c r="V475" s="143">
        <f>R475+S475+T475+U475</f>
        <v>15</v>
      </c>
    </row>
    <row r="476" spans="1:22" s="128" customFormat="1" ht="15.6" hidden="1" x14ac:dyDescent="0.3">
      <c r="A476" s="142" t="s">
        <v>491</v>
      </c>
      <c r="B476" s="142">
        <v>1214</v>
      </c>
      <c r="C476" s="141">
        <v>45782</v>
      </c>
      <c r="D476" s="140">
        <f>WEEKNUM(C476)</f>
        <v>19</v>
      </c>
      <c r="E476" s="158" t="s">
        <v>68</v>
      </c>
      <c r="F476" s="140" t="s">
        <v>365</v>
      </c>
      <c r="G476" s="140" t="s">
        <v>503</v>
      </c>
      <c r="H476" s="140" t="s">
        <v>354</v>
      </c>
      <c r="I476" s="140" t="s">
        <v>46</v>
      </c>
      <c r="J476" s="140">
        <v>1</v>
      </c>
      <c r="K476" s="156">
        <v>36.5</v>
      </c>
      <c r="L476" s="156">
        <f>K476*J476</f>
        <v>36.5</v>
      </c>
      <c r="M476" s="143">
        <v>0</v>
      </c>
      <c r="N476" s="141">
        <v>45809</v>
      </c>
      <c r="O476" s="157">
        <f>WEEKNUM(N476)</f>
        <v>23</v>
      </c>
      <c r="P476" s="143"/>
      <c r="Q476" s="140" t="s">
        <v>29</v>
      </c>
      <c r="R476" s="143">
        <f>J476*0.25</f>
        <v>0.25</v>
      </c>
      <c r="S476" s="143">
        <f>J476*1</f>
        <v>1</v>
      </c>
      <c r="T476" s="143">
        <f>J476*1.5</f>
        <v>1.5</v>
      </c>
      <c r="U476" s="143">
        <f>J476*0.5</f>
        <v>0.5</v>
      </c>
      <c r="V476" s="143">
        <f>R476+S476+T476+U476</f>
        <v>3.25</v>
      </c>
    </row>
    <row r="477" spans="1:22" s="128" customFormat="1" ht="15.6" hidden="1" x14ac:dyDescent="0.3">
      <c r="A477" s="142" t="s">
        <v>491</v>
      </c>
      <c r="B477" s="142">
        <v>1214</v>
      </c>
      <c r="C477" s="141">
        <v>45782</v>
      </c>
      <c r="D477" s="140">
        <f>WEEKNUM(C477)</f>
        <v>19</v>
      </c>
      <c r="E477" s="158" t="s">
        <v>68</v>
      </c>
      <c r="F477" s="140" t="s">
        <v>365</v>
      </c>
      <c r="G477" s="142" t="s">
        <v>505</v>
      </c>
      <c r="H477" s="140" t="s">
        <v>78</v>
      </c>
      <c r="I477" s="142" t="s">
        <v>61</v>
      </c>
      <c r="J477" s="140">
        <v>2</v>
      </c>
      <c r="K477" s="156">
        <v>75</v>
      </c>
      <c r="L477" s="156">
        <f>K477*J477</f>
        <v>150</v>
      </c>
      <c r="M477" s="143">
        <v>0</v>
      </c>
      <c r="N477" s="141">
        <v>45809</v>
      </c>
      <c r="O477" s="157">
        <f>WEEKNUM(N477)</f>
        <v>23</v>
      </c>
      <c r="P477" s="143"/>
      <c r="Q477" s="140" t="s">
        <v>29</v>
      </c>
      <c r="R477" s="156">
        <f>J477*50</f>
        <v>100</v>
      </c>
      <c r="S477" s="156">
        <v>0</v>
      </c>
      <c r="T477" s="156">
        <f>J477*3</f>
        <v>6</v>
      </c>
      <c r="U477" s="156">
        <f>J477*0.5</f>
        <v>1</v>
      </c>
      <c r="V477" s="156">
        <f>R477+S477+T477+U477</f>
        <v>107</v>
      </c>
    </row>
    <row r="478" spans="1:22" s="128" customFormat="1" ht="15.6" hidden="1" x14ac:dyDescent="0.3">
      <c r="A478" s="142" t="s">
        <v>477</v>
      </c>
      <c r="B478" s="142">
        <v>1217</v>
      </c>
      <c r="C478" s="141">
        <v>45783</v>
      </c>
      <c r="D478" s="140">
        <f>WEEKNUM(C478)</f>
        <v>19</v>
      </c>
      <c r="E478" s="142" t="s">
        <v>498</v>
      </c>
      <c r="F478" s="140" t="s">
        <v>446</v>
      </c>
      <c r="G478" s="142" t="s">
        <v>595</v>
      </c>
      <c r="H478" s="140" t="s">
        <v>51</v>
      </c>
      <c r="I478" s="142" t="s">
        <v>46</v>
      </c>
      <c r="J478" s="157">
        <v>2500</v>
      </c>
      <c r="K478" s="143">
        <v>23.5</v>
      </c>
      <c r="L478" s="143">
        <f>K478*J478</f>
        <v>58750</v>
      </c>
      <c r="M478" s="143">
        <v>0</v>
      </c>
      <c r="N478" s="141">
        <v>45824</v>
      </c>
      <c r="O478" s="157">
        <f>WEEKNUM(N478)</f>
        <v>25</v>
      </c>
      <c r="P478" s="140"/>
      <c r="Q478" s="140" t="s">
        <v>29</v>
      </c>
      <c r="R478" s="143">
        <f>J478*0.25</f>
        <v>625</v>
      </c>
      <c r="S478" s="143">
        <f>J478*1</f>
        <v>2500</v>
      </c>
      <c r="T478" s="143">
        <f>J478*1</f>
        <v>2500</v>
      </c>
      <c r="U478" s="143">
        <f>J478*0.5</f>
        <v>1250</v>
      </c>
      <c r="V478" s="143">
        <f>R478+S478+T478+U478</f>
        <v>6875</v>
      </c>
    </row>
    <row r="479" spans="1:22" s="128" customFormat="1" ht="15.6" hidden="1" x14ac:dyDescent="0.3">
      <c r="A479" s="142" t="s">
        <v>477</v>
      </c>
      <c r="B479" s="142">
        <v>783</v>
      </c>
      <c r="C479" s="141">
        <v>45784</v>
      </c>
      <c r="D479" s="140">
        <f>WEEKNUM(C479)</f>
        <v>19</v>
      </c>
      <c r="E479" s="140" t="s">
        <v>475</v>
      </c>
      <c r="F479" s="142" t="s">
        <v>779</v>
      </c>
      <c r="G479" s="142" t="s">
        <v>311</v>
      </c>
      <c r="H479" s="140" t="s">
        <v>51</v>
      </c>
      <c r="I479" s="142" t="s">
        <v>46</v>
      </c>
      <c r="J479" s="157">
        <v>100</v>
      </c>
      <c r="K479" s="143">
        <v>16</v>
      </c>
      <c r="L479" s="143">
        <f>K479*J479</f>
        <v>1600</v>
      </c>
      <c r="M479" s="143">
        <v>0</v>
      </c>
      <c r="N479" s="141">
        <v>45812</v>
      </c>
      <c r="O479" s="157">
        <f>WEEKNUM(N479)</f>
        <v>23</v>
      </c>
      <c r="P479" s="140"/>
      <c r="Q479" s="140" t="s">
        <v>29</v>
      </c>
      <c r="R479" s="143">
        <f>J479*0.25</f>
        <v>25</v>
      </c>
      <c r="S479" s="143">
        <f>J479*1</f>
        <v>100</v>
      </c>
      <c r="T479" s="143">
        <f>J479*1.5</f>
        <v>150</v>
      </c>
      <c r="U479" s="143">
        <f>J479*0.5</f>
        <v>50</v>
      </c>
      <c r="V479" s="143">
        <f>R479+S479+T479+U479</f>
        <v>325</v>
      </c>
    </row>
    <row r="480" spans="1:22" s="128" customFormat="1" ht="15.6" hidden="1" x14ac:dyDescent="0.3">
      <c r="A480" s="142" t="s">
        <v>477</v>
      </c>
      <c r="B480" s="142">
        <v>784</v>
      </c>
      <c r="C480" s="141">
        <v>45784</v>
      </c>
      <c r="D480" s="140">
        <f>WEEKNUM(C480)</f>
        <v>19</v>
      </c>
      <c r="E480" s="140" t="s">
        <v>475</v>
      </c>
      <c r="F480" s="142" t="s">
        <v>950</v>
      </c>
      <c r="G480" s="142" t="s">
        <v>489</v>
      </c>
      <c r="H480" s="140" t="s">
        <v>51</v>
      </c>
      <c r="I480" s="142" t="s">
        <v>61</v>
      </c>
      <c r="J480" s="157">
        <v>10</v>
      </c>
      <c r="K480" s="143">
        <v>100</v>
      </c>
      <c r="L480" s="143">
        <f>K480*J480</f>
        <v>1000</v>
      </c>
      <c r="M480" s="143">
        <v>0</v>
      </c>
      <c r="N480" s="141">
        <v>45812</v>
      </c>
      <c r="O480" s="157">
        <f>WEEKNUM(N480)</f>
        <v>23</v>
      </c>
      <c r="P480" s="140"/>
      <c r="Q480" s="140" t="s">
        <v>29</v>
      </c>
      <c r="R480" s="143">
        <f>J480*1</f>
        <v>10</v>
      </c>
      <c r="S480" s="143">
        <f>J480*1</f>
        <v>10</v>
      </c>
      <c r="T480" s="143">
        <f>J480*3</f>
        <v>30</v>
      </c>
      <c r="U480" s="143">
        <f>J480*1</f>
        <v>10</v>
      </c>
      <c r="V480" s="156">
        <f>SUM(R480:U480)</f>
        <v>60</v>
      </c>
    </row>
    <row r="481" spans="1:22" s="128" customFormat="1" ht="15.6" hidden="1" x14ac:dyDescent="0.3">
      <c r="A481" s="142" t="s">
        <v>491</v>
      </c>
      <c r="B481" s="142">
        <v>1218</v>
      </c>
      <c r="C481" s="141">
        <v>45784</v>
      </c>
      <c r="D481" s="140">
        <f>WEEKNUM(C481)</f>
        <v>19</v>
      </c>
      <c r="E481" s="142" t="s">
        <v>68</v>
      </c>
      <c r="F481" s="142" t="s">
        <v>370</v>
      </c>
      <c r="G481" s="142" t="s">
        <v>311</v>
      </c>
      <c r="H481" s="140" t="s">
        <v>51</v>
      </c>
      <c r="I481" s="142" t="s">
        <v>46</v>
      </c>
      <c r="J481" s="157">
        <v>6</v>
      </c>
      <c r="K481" s="143">
        <v>25</v>
      </c>
      <c r="L481" s="143">
        <f>K481*J481</f>
        <v>150</v>
      </c>
      <c r="M481" s="143">
        <v>0</v>
      </c>
      <c r="N481" s="141">
        <v>45815</v>
      </c>
      <c r="O481" s="157">
        <f>WEEKNUM(N481)</f>
        <v>23</v>
      </c>
      <c r="P481" s="140"/>
      <c r="Q481" s="140" t="s">
        <v>29</v>
      </c>
      <c r="R481" s="143">
        <f>J481*0.25</f>
        <v>1.5</v>
      </c>
      <c r="S481" s="143">
        <f>J481*1</f>
        <v>6</v>
      </c>
      <c r="T481" s="143">
        <f>J481*1.5</f>
        <v>9</v>
      </c>
      <c r="U481" s="143">
        <f>J481*0.5</f>
        <v>3</v>
      </c>
      <c r="V481" s="143">
        <f>R481+S481+T481+U481</f>
        <v>19.5</v>
      </c>
    </row>
    <row r="482" spans="1:22" s="128" customFormat="1" ht="15.6" hidden="1" x14ac:dyDescent="0.3">
      <c r="A482" s="142" t="s">
        <v>491</v>
      </c>
      <c r="B482" s="142">
        <v>1218</v>
      </c>
      <c r="C482" s="141">
        <v>45784</v>
      </c>
      <c r="D482" s="140">
        <f>WEEKNUM(C482)</f>
        <v>19</v>
      </c>
      <c r="E482" s="142" t="s">
        <v>68</v>
      </c>
      <c r="F482" s="142" t="s">
        <v>370</v>
      </c>
      <c r="G482" s="142" t="s">
        <v>301</v>
      </c>
      <c r="H482" s="140" t="s">
        <v>74</v>
      </c>
      <c r="I482" s="142" t="s">
        <v>46</v>
      </c>
      <c r="J482" s="157">
        <v>18</v>
      </c>
      <c r="K482" s="143">
        <v>36.75</v>
      </c>
      <c r="L482" s="143">
        <f>K482*J482</f>
        <v>661.5</v>
      </c>
      <c r="M482" s="143">
        <v>0</v>
      </c>
      <c r="N482" s="141">
        <v>45815</v>
      </c>
      <c r="O482" s="157">
        <f>WEEKNUM(N482)</f>
        <v>23</v>
      </c>
      <c r="P482" s="140"/>
      <c r="Q482" s="140" t="s">
        <v>29</v>
      </c>
      <c r="R482" s="143">
        <f>J482*1</f>
        <v>18</v>
      </c>
      <c r="S482" s="143">
        <f>J482*1.5</f>
        <v>27</v>
      </c>
      <c r="T482" s="143">
        <f>J482*1.5</f>
        <v>27</v>
      </c>
      <c r="U482" s="143">
        <f>J482*1</f>
        <v>18</v>
      </c>
      <c r="V482" s="143">
        <f>R482+S482+T482+U482</f>
        <v>90</v>
      </c>
    </row>
    <row r="483" spans="1:22" s="128" customFormat="1" ht="15.6" hidden="1" x14ac:dyDescent="0.3">
      <c r="A483" s="142" t="s">
        <v>491</v>
      </c>
      <c r="B483" s="142">
        <v>1218</v>
      </c>
      <c r="C483" s="141">
        <v>45784</v>
      </c>
      <c r="D483" s="140">
        <f>WEEKNUM(C483)</f>
        <v>19</v>
      </c>
      <c r="E483" s="142" t="s">
        <v>68</v>
      </c>
      <c r="F483" s="142" t="s">
        <v>370</v>
      </c>
      <c r="G483" s="142" t="s">
        <v>408</v>
      </c>
      <c r="H483" s="140" t="s">
        <v>80</v>
      </c>
      <c r="I483" s="142" t="s">
        <v>46</v>
      </c>
      <c r="J483" s="157">
        <v>4</v>
      </c>
      <c r="K483" s="143">
        <v>21</v>
      </c>
      <c r="L483" s="143">
        <f>K483*J483</f>
        <v>84</v>
      </c>
      <c r="M483" s="143">
        <v>0</v>
      </c>
      <c r="N483" s="141">
        <v>45815</v>
      </c>
      <c r="O483" s="157">
        <f>WEEKNUM(N483)</f>
        <v>23</v>
      </c>
      <c r="P483" s="140"/>
      <c r="Q483" s="140" t="s">
        <v>29</v>
      </c>
      <c r="R483" s="156">
        <f>J483*0.25</f>
        <v>1</v>
      </c>
      <c r="S483" s="156">
        <f>J483*1</f>
        <v>4</v>
      </c>
      <c r="T483" s="156">
        <f>J483*1.2</f>
        <v>4.8</v>
      </c>
      <c r="U483" s="156">
        <f>J483*0.5</f>
        <v>2</v>
      </c>
      <c r="V483" s="156">
        <f>R483+S483+T483+U483</f>
        <v>11.8</v>
      </c>
    </row>
    <row r="484" spans="1:22" s="128" customFormat="1" ht="15.6" hidden="1" x14ac:dyDescent="0.3">
      <c r="A484" s="142" t="s">
        <v>477</v>
      </c>
      <c r="B484" s="142">
        <v>787</v>
      </c>
      <c r="C484" s="141">
        <v>45785</v>
      </c>
      <c r="D484" s="140">
        <f>WEEKNUM(C484)</f>
        <v>19</v>
      </c>
      <c r="E484" s="140" t="s">
        <v>475</v>
      </c>
      <c r="F484" s="142" t="s">
        <v>694</v>
      </c>
      <c r="G484" s="142" t="s">
        <v>552</v>
      </c>
      <c r="H484" s="140" t="s">
        <v>494</v>
      </c>
      <c r="I484" s="142" t="s">
        <v>46</v>
      </c>
      <c r="J484" s="157">
        <v>100</v>
      </c>
      <c r="K484" s="143">
        <v>20</v>
      </c>
      <c r="L484" s="143">
        <f>K484*J484</f>
        <v>2000</v>
      </c>
      <c r="M484" s="143">
        <v>0</v>
      </c>
      <c r="N484" s="141">
        <v>45817</v>
      </c>
      <c r="O484" s="157">
        <f>WEEKNUM(N484)</f>
        <v>24</v>
      </c>
      <c r="P484" s="140"/>
      <c r="Q484" s="140" t="s">
        <v>29</v>
      </c>
      <c r="R484" s="143">
        <f>J484*0.25</f>
        <v>25</v>
      </c>
      <c r="S484" s="143">
        <f>J484*0.7</f>
        <v>70</v>
      </c>
      <c r="T484" s="143">
        <f>J484*1</f>
        <v>100</v>
      </c>
      <c r="U484" s="143">
        <f>J484*0.5</f>
        <v>50</v>
      </c>
      <c r="V484" s="143">
        <f>R484+S484+T484+U484</f>
        <v>245</v>
      </c>
    </row>
    <row r="485" spans="1:22" s="128" customFormat="1" ht="15.6" hidden="1" x14ac:dyDescent="0.3">
      <c r="A485" s="142" t="s">
        <v>477</v>
      </c>
      <c r="B485" s="142">
        <v>787</v>
      </c>
      <c r="C485" s="141">
        <v>45785</v>
      </c>
      <c r="D485" s="140">
        <f>WEEKNUM(C485)</f>
        <v>19</v>
      </c>
      <c r="E485" s="140" t="s">
        <v>475</v>
      </c>
      <c r="F485" s="142" t="s">
        <v>694</v>
      </c>
      <c r="G485" s="142" t="s">
        <v>311</v>
      </c>
      <c r="H485" s="140" t="s">
        <v>51</v>
      </c>
      <c r="I485" s="142" t="s">
        <v>46</v>
      </c>
      <c r="J485" s="157">
        <v>100</v>
      </c>
      <c r="K485" s="143">
        <v>16</v>
      </c>
      <c r="L485" s="143">
        <f>K485*J485</f>
        <v>1600</v>
      </c>
      <c r="M485" s="143">
        <v>0</v>
      </c>
      <c r="N485" s="141">
        <v>45817</v>
      </c>
      <c r="O485" s="157">
        <f>WEEKNUM(N485)</f>
        <v>24</v>
      </c>
      <c r="P485" s="140"/>
      <c r="Q485" s="140" t="s">
        <v>29</v>
      </c>
      <c r="R485" s="143">
        <f>J485*0.25</f>
        <v>25</v>
      </c>
      <c r="S485" s="143">
        <f>J485*1</f>
        <v>100</v>
      </c>
      <c r="T485" s="143">
        <f>J485*1.5</f>
        <v>150</v>
      </c>
      <c r="U485" s="143">
        <f>J485*0.5</f>
        <v>50</v>
      </c>
      <c r="V485" s="143">
        <f>R485+S485+T485+U485</f>
        <v>325</v>
      </c>
    </row>
    <row r="486" spans="1:22" s="128" customFormat="1" ht="15.6" hidden="1" x14ac:dyDescent="0.3">
      <c r="A486" s="142" t="s">
        <v>477</v>
      </c>
      <c r="B486" s="142">
        <v>786</v>
      </c>
      <c r="C486" s="141">
        <v>45785</v>
      </c>
      <c r="D486" s="140">
        <f>WEEKNUM(C486)</f>
        <v>19</v>
      </c>
      <c r="E486" s="142" t="s">
        <v>817</v>
      </c>
      <c r="F486" s="142" t="s">
        <v>818</v>
      </c>
      <c r="G486" s="142" t="s">
        <v>816</v>
      </c>
      <c r="H486" s="142" t="s">
        <v>304</v>
      </c>
      <c r="I486" s="142" t="s">
        <v>61</v>
      </c>
      <c r="J486" s="157">
        <v>50</v>
      </c>
      <c r="K486" s="143">
        <v>30</v>
      </c>
      <c r="L486" s="143">
        <f>K486*J486</f>
        <v>1500</v>
      </c>
      <c r="M486" s="143">
        <v>0</v>
      </c>
      <c r="N486" s="141">
        <v>45800</v>
      </c>
      <c r="O486" s="157">
        <f>WEEKNUM(N486)</f>
        <v>21</v>
      </c>
      <c r="P486" s="140"/>
      <c r="Q486" s="140" t="s">
        <v>29</v>
      </c>
      <c r="R486" s="143">
        <f>J486*0.25</f>
        <v>12.5</v>
      </c>
      <c r="S486" s="143">
        <f>J486*0.5</f>
        <v>25</v>
      </c>
      <c r="T486" s="143">
        <f>J486*1.5</f>
        <v>75</v>
      </c>
      <c r="U486" s="143">
        <f>J486*0.5</f>
        <v>25</v>
      </c>
      <c r="V486" s="143">
        <f>R486+S486+T486+U486</f>
        <v>137.5</v>
      </c>
    </row>
    <row r="487" spans="1:22" s="128" customFormat="1" ht="15.6" hidden="1" x14ac:dyDescent="0.3">
      <c r="A487" s="142" t="s">
        <v>477</v>
      </c>
      <c r="B487" s="142">
        <v>1219</v>
      </c>
      <c r="C487" s="141">
        <v>45785</v>
      </c>
      <c r="D487" s="140">
        <f>WEEKNUM(C487)</f>
        <v>19</v>
      </c>
      <c r="E487" s="140" t="s">
        <v>475</v>
      </c>
      <c r="F487" s="142" t="s">
        <v>888</v>
      </c>
      <c r="G487" s="142" t="s">
        <v>167</v>
      </c>
      <c r="H487" s="140" t="s">
        <v>74</v>
      </c>
      <c r="I487" s="142" t="s">
        <v>46</v>
      </c>
      <c r="J487" s="157">
        <v>175</v>
      </c>
      <c r="K487" s="143">
        <v>18.5</v>
      </c>
      <c r="L487" s="143">
        <f>K487*J487</f>
        <v>3237.5</v>
      </c>
      <c r="M487" s="143">
        <v>0</v>
      </c>
      <c r="N487" s="141">
        <v>45817</v>
      </c>
      <c r="O487" s="157">
        <f>WEEKNUM(N487)</f>
        <v>24</v>
      </c>
      <c r="P487" s="140"/>
      <c r="Q487" s="140" t="s">
        <v>29</v>
      </c>
      <c r="R487" s="143">
        <f>J487*0.25</f>
        <v>43.75</v>
      </c>
      <c r="S487" s="143">
        <f>J487*1</f>
        <v>175</v>
      </c>
      <c r="T487" s="143">
        <f>J487*1.5</f>
        <v>262.5</v>
      </c>
      <c r="U487" s="143">
        <f>J487*0.5</f>
        <v>87.5</v>
      </c>
      <c r="V487" s="143">
        <f>R487+S487+T487+U487</f>
        <v>568.75</v>
      </c>
    </row>
    <row r="488" spans="1:22" s="128" customFormat="1" ht="15.6" hidden="1" x14ac:dyDescent="0.3">
      <c r="A488" s="142" t="s">
        <v>491</v>
      </c>
      <c r="B488" s="142">
        <v>1220</v>
      </c>
      <c r="C488" s="141">
        <v>45790</v>
      </c>
      <c r="D488" s="140">
        <f>WEEKNUM(C488)</f>
        <v>20</v>
      </c>
      <c r="E488" s="142" t="s">
        <v>68</v>
      </c>
      <c r="F488" s="142" t="s">
        <v>371</v>
      </c>
      <c r="G488" s="140" t="s">
        <v>356</v>
      </c>
      <c r="H488" s="140" t="s">
        <v>321</v>
      </c>
      <c r="I488" s="142" t="s">
        <v>46</v>
      </c>
      <c r="J488" s="157">
        <v>3</v>
      </c>
      <c r="K488" s="143">
        <v>85</v>
      </c>
      <c r="L488" s="143">
        <f>K488*J488</f>
        <v>255</v>
      </c>
      <c r="M488" s="143">
        <v>0</v>
      </c>
      <c r="N488" s="141">
        <v>45793</v>
      </c>
      <c r="O488" s="157">
        <f>WEEKNUM(N488)</f>
        <v>20</v>
      </c>
      <c r="P488" s="140"/>
      <c r="Q488" s="140" t="s">
        <v>29</v>
      </c>
      <c r="R488" s="156">
        <f>J488*0.25</f>
        <v>0.75</v>
      </c>
      <c r="S488" s="156">
        <f>PRODUCT(1.5,J488)</f>
        <v>4.5</v>
      </c>
      <c r="T488" s="156">
        <f>PRODUCT(1.5,J488)</f>
        <v>4.5</v>
      </c>
      <c r="U488" s="156">
        <f>J488*0.5</f>
        <v>1.5</v>
      </c>
      <c r="V488" s="156">
        <f>R488+S488+T488+U488</f>
        <v>11.25</v>
      </c>
    </row>
    <row r="489" spans="1:22" s="128" customFormat="1" ht="15.6" hidden="1" x14ac:dyDescent="0.3">
      <c r="A489" s="142" t="s">
        <v>491</v>
      </c>
      <c r="B489" s="142">
        <v>1220</v>
      </c>
      <c r="C489" s="141">
        <v>45790</v>
      </c>
      <c r="D489" s="140">
        <f>WEEKNUM(C489)</f>
        <v>20</v>
      </c>
      <c r="E489" s="142" t="s">
        <v>68</v>
      </c>
      <c r="F489" s="142" t="s">
        <v>371</v>
      </c>
      <c r="G489" s="142" t="s">
        <v>87</v>
      </c>
      <c r="H489" s="140" t="s">
        <v>74</v>
      </c>
      <c r="I489" s="142" t="s">
        <v>46</v>
      </c>
      <c r="J489" s="157">
        <v>2</v>
      </c>
      <c r="K489" s="143">
        <v>36.75</v>
      </c>
      <c r="L489" s="143">
        <f>K489*J489</f>
        <v>73.5</v>
      </c>
      <c r="M489" s="143">
        <v>0</v>
      </c>
      <c r="N489" s="141">
        <v>45793</v>
      </c>
      <c r="O489" s="157">
        <f>WEEKNUM(N489)</f>
        <v>20</v>
      </c>
      <c r="P489" s="140"/>
      <c r="Q489" s="140" t="s">
        <v>29</v>
      </c>
      <c r="R489" s="143">
        <f>J489*0.25</f>
        <v>0.5</v>
      </c>
      <c r="S489" s="143">
        <f>J489*1</f>
        <v>2</v>
      </c>
      <c r="T489" s="143">
        <f>J489*1.5</f>
        <v>3</v>
      </c>
      <c r="U489" s="143">
        <f>J489*0.5</f>
        <v>1</v>
      </c>
      <c r="V489" s="143">
        <f>R489+S489+T489+U489</f>
        <v>6.5</v>
      </c>
    </row>
    <row r="490" spans="1:22" s="128" customFormat="1" ht="15.6" hidden="1" x14ac:dyDescent="0.3">
      <c r="A490" s="142" t="s">
        <v>491</v>
      </c>
      <c r="B490" s="142">
        <v>1220</v>
      </c>
      <c r="C490" s="141">
        <v>45790</v>
      </c>
      <c r="D490" s="140">
        <f>WEEKNUM(C490)</f>
        <v>20</v>
      </c>
      <c r="E490" s="142" t="s">
        <v>68</v>
      </c>
      <c r="F490" s="142" t="s">
        <v>371</v>
      </c>
      <c r="G490" s="140" t="s">
        <v>508</v>
      </c>
      <c r="H490" s="140" t="s">
        <v>78</v>
      </c>
      <c r="I490" s="142" t="s">
        <v>46</v>
      </c>
      <c r="J490" s="157">
        <v>2</v>
      </c>
      <c r="K490" s="143">
        <v>65</v>
      </c>
      <c r="L490" s="143">
        <f>K490*J490</f>
        <v>130</v>
      </c>
      <c r="M490" s="143">
        <v>0</v>
      </c>
      <c r="N490" s="141">
        <v>45793</v>
      </c>
      <c r="O490" s="157">
        <f>WEEKNUM(N490)</f>
        <v>20</v>
      </c>
      <c r="P490" s="140"/>
      <c r="Q490" s="140" t="s">
        <v>29</v>
      </c>
      <c r="R490" s="143">
        <f>PRODUCT(0.25,J490)</f>
        <v>0.5</v>
      </c>
      <c r="S490" s="143">
        <f>PRODUCT(0,J490)</f>
        <v>0</v>
      </c>
      <c r="T490" s="143">
        <f>PRODUCT(3,J490)</f>
        <v>6</v>
      </c>
      <c r="U490" s="143">
        <f>PRODUCT(0.5,J490)</f>
        <v>1</v>
      </c>
      <c r="V490" s="143">
        <f>SUM(R490:U490)</f>
        <v>7.5</v>
      </c>
    </row>
    <row r="491" spans="1:22" s="128" customFormat="1" ht="15.6" hidden="1" x14ac:dyDescent="0.3">
      <c r="A491" s="142" t="s">
        <v>491</v>
      </c>
      <c r="B491" s="142">
        <v>1220</v>
      </c>
      <c r="C491" s="141">
        <v>45790</v>
      </c>
      <c r="D491" s="140">
        <f>WEEKNUM(C491)</f>
        <v>20</v>
      </c>
      <c r="E491" s="142" t="s">
        <v>68</v>
      </c>
      <c r="F491" s="142" t="s">
        <v>371</v>
      </c>
      <c r="G491" s="142" t="s">
        <v>505</v>
      </c>
      <c r="H491" s="140" t="s">
        <v>78</v>
      </c>
      <c r="I491" s="142" t="s">
        <v>61</v>
      </c>
      <c r="J491" s="157">
        <v>2</v>
      </c>
      <c r="K491" s="143">
        <v>75</v>
      </c>
      <c r="L491" s="143">
        <f>K491*J491</f>
        <v>150</v>
      </c>
      <c r="M491" s="143">
        <v>0</v>
      </c>
      <c r="N491" s="141">
        <v>45793</v>
      </c>
      <c r="O491" s="157">
        <f>WEEKNUM(N491)</f>
        <v>20</v>
      </c>
      <c r="P491" s="140"/>
      <c r="Q491" s="140" t="s">
        <v>29</v>
      </c>
      <c r="R491" s="143">
        <f>PRODUCT(0.25,J491)</f>
        <v>0.5</v>
      </c>
      <c r="S491" s="143">
        <f>PRODUCT(0,J491)</f>
        <v>0</v>
      </c>
      <c r="T491" s="143">
        <f>PRODUCT(3,J491)</f>
        <v>6</v>
      </c>
      <c r="U491" s="143">
        <f>PRODUCT(0.5,J491)</f>
        <v>1</v>
      </c>
      <c r="V491" s="143">
        <f>SUM(R491:U491)</f>
        <v>7.5</v>
      </c>
    </row>
    <row r="492" spans="1:22" s="128" customFormat="1" ht="15.6" hidden="1" x14ac:dyDescent="0.3">
      <c r="A492" s="142" t="s">
        <v>491</v>
      </c>
      <c r="B492" s="142">
        <v>1220</v>
      </c>
      <c r="C492" s="141">
        <v>45790</v>
      </c>
      <c r="D492" s="140">
        <f>WEEKNUM(C492)</f>
        <v>20</v>
      </c>
      <c r="E492" s="142" t="s">
        <v>68</v>
      </c>
      <c r="F492" s="142" t="s">
        <v>371</v>
      </c>
      <c r="G492" s="140" t="s">
        <v>503</v>
      </c>
      <c r="H492" s="142" t="s">
        <v>354</v>
      </c>
      <c r="I492" s="142" t="s">
        <v>46</v>
      </c>
      <c r="J492" s="157">
        <v>5</v>
      </c>
      <c r="K492" s="143">
        <v>36.75</v>
      </c>
      <c r="L492" s="143">
        <f>K492*J492</f>
        <v>183.75</v>
      </c>
      <c r="M492" s="143">
        <v>0</v>
      </c>
      <c r="N492" s="141">
        <v>45793</v>
      </c>
      <c r="O492" s="157">
        <f>WEEKNUM(N492)</f>
        <v>20</v>
      </c>
      <c r="P492" s="140"/>
      <c r="Q492" s="140" t="s">
        <v>29</v>
      </c>
      <c r="R492" s="143">
        <f>PRODUCT(0.25,J492)</f>
        <v>1.25</v>
      </c>
      <c r="S492" s="143">
        <f>PRODUCT(1.5,J492)</f>
        <v>7.5</v>
      </c>
      <c r="T492" s="143">
        <f>PRODUCT(1.5,J492)</f>
        <v>7.5</v>
      </c>
      <c r="U492" s="143">
        <f>PRODUCT(0.5,J492)</f>
        <v>2.5</v>
      </c>
      <c r="V492" s="143">
        <f>SUM(R492:U492)</f>
        <v>18.75</v>
      </c>
    </row>
    <row r="493" spans="1:22" s="128" customFormat="1" ht="15.6" hidden="1" x14ac:dyDescent="0.3">
      <c r="A493" s="142" t="s">
        <v>491</v>
      </c>
      <c r="B493" s="142">
        <v>1220</v>
      </c>
      <c r="C493" s="141">
        <v>45790</v>
      </c>
      <c r="D493" s="140">
        <f>WEEKNUM(C493)</f>
        <v>20</v>
      </c>
      <c r="E493" s="142" t="s">
        <v>68</v>
      </c>
      <c r="F493" s="142" t="s">
        <v>371</v>
      </c>
      <c r="G493" s="142" t="s">
        <v>339</v>
      </c>
      <c r="H493" s="142" t="s">
        <v>340</v>
      </c>
      <c r="I493" s="142" t="s">
        <v>46</v>
      </c>
      <c r="J493" s="157">
        <v>1</v>
      </c>
      <c r="K493" s="143">
        <v>65</v>
      </c>
      <c r="L493" s="143">
        <f>K493*J493</f>
        <v>65</v>
      </c>
      <c r="M493" s="143">
        <v>0</v>
      </c>
      <c r="N493" s="141">
        <v>45793</v>
      </c>
      <c r="O493" s="157">
        <f>WEEKNUM(N493)</f>
        <v>20</v>
      </c>
      <c r="P493" s="140"/>
      <c r="Q493" s="140" t="s">
        <v>29</v>
      </c>
      <c r="R493" s="143">
        <f>PRODUCT(0.25,J493)</f>
        <v>0.25</v>
      </c>
      <c r="S493" s="143">
        <f>PRODUCT(1.5,J493)</f>
        <v>1.5</v>
      </c>
      <c r="T493" s="143">
        <f>PRODUCT(1.5,J493)</f>
        <v>1.5</v>
      </c>
      <c r="U493" s="143">
        <f>PRODUCT(0.5,J493)</f>
        <v>0.5</v>
      </c>
      <c r="V493" s="143">
        <f>SUM(R493:U493)</f>
        <v>3.75</v>
      </c>
    </row>
    <row r="494" spans="1:22" s="128" customFormat="1" ht="15.6" hidden="1" x14ac:dyDescent="0.3">
      <c r="A494" s="142" t="s">
        <v>477</v>
      </c>
      <c r="B494" s="142">
        <v>1222</v>
      </c>
      <c r="C494" s="141">
        <v>45791</v>
      </c>
      <c r="D494" s="140">
        <f>WEEKNUM(C494)</f>
        <v>20</v>
      </c>
      <c r="E494" s="140" t="s">
        <v>475</v>
      </c>
      <c r="F494" s="142" t="s">
        <v>541</v>
      </c>
      <c r="G494" s="142" t="s">
        <v>218</v>
      </c>
      <c r="H494" s="140" t="s">
        <v>74</v>
      </c>
      <c r="I494" s="142" t="s">
        <v>46</v>
      </c>
      <c r="J494" s="157">
        <v>20</v>
      </c>
      <c r="K494" s="143">
        <v>28</v>
      </c>
      <c r="L494" s="143">
        <f>K494*J494</f>
        <v>560</v>
      </c>
      <c r="M494" s="143">
        <v>0</v>
      </c>
      <c r="N494" s="141">
        <v>45801</v>
      </c>
      <c r="O494" s="157">
        <f>WEEKNUM(N494)</f>
        <v>21</v>
      </c>
      <c r="P494" s="140"/>
      <c r="Q494" s="140" t="s">
        <v>29</v>
      </c>
      <c r="R494" s="143">
        <f>J494*0.25</f>
        <v>5</v>
      </c>
      <c r="S494" s="143">
        <f>J494*1</f>
        <v>20</v>
      </c>
      <c r="T494" s="143">
        <f>J494*1.5</f>
        <v>30</v>
      </c>
      <c r="U494" s="143">
        <f>J494*0.5</f>
        <v>10</v>
      </c>
      <c r="V494" s="143">
        <f>R494+S494+T494+U494</f>
        <v>65</v>
      </c>
    </row>
    <row r="495" spans="1:22" s="128" customFormat="1" ht="15.6" hidden="1" x14ac:dyDescent="0.3">
      <c r="A495" s="142" t="s">
        <v>477</v>
      </c>
      <c r="B495" s="142">
        <v>1222</v>
      </c>
      <c r="C495" s="141">
        <v>45791</v>
      </c>
      <c r="D495" s="140">
        <f>WEEKNUM(C495)</f>
        <v>20</v>
      </c>
      <c r="E495" s="140" t="s">
        <v>475</v>
      </c>
      <c r="F495" s="142" t="s">
        <v>541</v>
      </c>
      <c r="G495" s="142" t="s">
        <v>311</v>
      </c>
      <c r="H495" s="140" t="s">
        <v>51</v>
      </c>
      <c r="I495" s="142" t="s">
        <v>46</v>
      </c>
      <c r="J495" s="157">
        <v>100</v>
      </c>
      <c r="K495" s="143">
        <v>17.5</v>
      </c>
      <c r="L495" s="143">
        <f>K495*J495</f>
        <v>1750</v>
      </c>
      <c r="M495" s="143">
        <v>0</v>
      </c>
      <c r="N495" s="141">
        <v>45801</v>
      </c>
      <c r="O495" s="157">
        <f>WEEKNUM(N495)</f>
        <v>21</v>
      </c>
      <c r="P495" s="140"/>
      <c r="Q495" s="140" t="s">
        <v>29</v>
      </c>
      <c r="R495" s="143">
        <f>J495*0.25</f>
        <v>25</v>
      </c>
      <c r="S495" s="143">
        <f>J495*1</f>
        <v>100</v>
      </c>
      <c r="T495" s="143">
        <f>J495*1.5</f>
        <v>150</v>
      </c>
      <c r="U495" s="143">
        <f>J495*0.5</f>
        <v>50</v>
      </c>
      <c r="V495" s="143">
        <f>R495+S495+T495+U495</f>
        <v>325</v>
      </c>
    </row>
    <row r="496" spans="1:22" s="128" customFormat="1" ht="15.6" hidden="1" x14ac:dyDescent="0.3">
      <c r="A496" s="142" t="s">
        <v>477</v>
      </c>
      <c r="B496" s="142">
        <v>788</v>
      </c>
      <c r="C496" s="141">
        <v>45791</v>
      </c>
      <c r="D496" s="140">
        <f>WEEKNUM(C496)</f>
        <v>20</v>
      </c>
      <c r="E496" s="142" t="s">
        <v>980</v>
      </c>
      <c r="F496" s="142" t="s">
        <v>981</v>
      </c>
      <c r="G496" s="142" t="s">
        <v>853</v>
      </c>
      <c r="H496" s="142" t="s">
        <v>95</v>
      </c>
      <c r="I496" s="142" t="s">
        <v>46</v>
      </c>
      <c r="J496" s="157">
        <v>300</v>
      </c>
      <c r="K496" s="143">
        <v>8.9</v>
      </c>
      <c r="L496" s="143">
        <f>K496*J496</f>
        <v>2670</v>
      </c>
      <c r="M496" s="143">
        <v>0</v>
      </c>
      <c r="N496" s="141">
        <v>45800</v>
      </c>
      <c r="O496" s="157">
        <f>WEEKNUM(N496)</f>
        <v>21</v>
      </c>
      <c r="P496" s="140"/>
      <c r="Q496" s="140" t="s">
        <v>29</v>
      </c>
      <c r="R496" s="143">
        <f>J496*1</f>
        <v>300</v>
      </c>
      <c r="S496" s="143">
        <f>J496*0.9</f>
        <v>270</v>
      </c>
      <c r="T496" s="143">
        <f>J496*0.6</f>
        <v>180</v>
      </c>
      <c r="U496" s="143">
        <f>J496*1</f>
        <v>300</v>
      </c>
      <c r="V496" s="143">
        <f>R496+S496+T496+U496</f>
        <v>1050</v>
      </c>
    </row>
    <row r="497" spans="1:22" s="128" customFormat="1" ht="15.6" hidden="1" x14ac:dyDescent="0.3">
      <c r="A497" s="142" t="s">
        <v>477</v>
      </c>
      <c r="B497" s="142">
        <v>789</v>
      </c>
      <c r="C497" s="141">
        <v>45792</v>
      </c>
      <c r="D497" s="140">
        <f>WEEKNUM(C497)</f>
        <v>20</v>
      </c>
      <c r="E497" s="140" t="s">
        <v>475</v>
      </c>
      <c r="F497" s="142" t="s">
        <v>544</v>
      </c>
      <c r="G497" s="142" t="s">
        <v>545</v>
      </c>
      <c r="H497" s="140" t="s">
        <v>74</v>
      </c>
      <c r="I497" s="142" t="s">
        <v>46</v>
      </c>
      <c r="J497" s="157">
        <v>50</v>
      </c>
      <c r="K497" s="143">
        <v>26.5</v>
      </c>
      <c r="L497" s="143">
        <f>K497*J497</f>
        <v>1325</v>
      </c>
      <c r="M497" s="143">
        <v>0</v>
      </c>
      <c r="N497" s="141">
        <v>45825</v>
      </c>
      <c r="O497" s="157">
        <f>WEEKNUM(N497)</f>
        <v>25</v>
      </c>
      <c r="P497" s="140"/>
      <c r="Q497" s="140" t="s">
        <v>29</v>
      </c>
      <c r="R497" s="143">
        <f>J497*0.25</f>
        <v>12.5</v>
      </c>
      <c r="S497" s="143">
        <f>J497*1</f>
        <v>50</v>
      </c>
      <c r="T497" s="143">
        <f>J497*1.5</f>
        <v>75</v>
      </c>
      <c r="U497" s="143">
        <f>J497*0.5</f>
        <v>25</v>
      </c>
      <c r="V497" s="143">
        <f>R497+S497+T497+U497</f>
        <v>162.5</v>
      </c>
    </row>
    <row r="498" spans="1:22" s="128" customFormat="1" ht="15.6" hidden="1" x14ac:dyDescent="0.3">
      <c r="A498" s="142" t="s">
        <v>477</v>
      </c>
      <c r="B498" s="142">
        <v>789</v>
      </c>
      <c r="C498" s="141">
        <v>45792</v>
      </c>
      <c r="D498" s="140">
        <f>WEEKNUM(C498)</f>
        <v>20</v>
      </c>
      <c r="E498" s="140" t="s">
        <v>475</v>
      </c>
      <c r="F498" s="142" t="s">
        <v>544</v>
      </c>
      <c r="G498" s="142" t="s">
        <v>506</v>
      </c>
      <c r="H498" s="140" t="s">
        <v>74</v>
      </c>
      <c r="I498" s="142" t="s">
        <v>46</v>
      </c>
      <c r="J498" s="157">
        <v>75</v>
      </c>
      <c r="K498" s="143">
        <v>26.5</v>
      </c>
      <c r="L498" s="143">
        <f>K498*J498</f>
        <v>1987.5</v>
      </c>
      <c r="M498" s="143">
        <v>0</v>
      </c>
      <c r="N498" s="141">
        <v>45825</v>
      </c>
      <c r="O498" s="157">
        <f>WEEKNUM(N498)</f>
        <v>25</v>
      </c>
      <c r="P498" s="140"/>
      <c r="Q498" s="140" t="s">
        <v>29</v>
      </c>
      <c r="R498" s="143">
        <f>J498*0.25</f>
        <v>18.75</v>
      </c>
      <c r="S498" s="143">
        <f>J498*1</f>
        <v>75</v>
      </c>
      <c r="T498" s="143">
        <f>J498*1.5</f>
        <v>112.5</v>
      </c>
      <c r="U498" s="143">
        <f>J498*0.5</f>
        <v>37.5</v>
      </c>
      <c r="V498" s="143">
        <f>R498+S498+T498+U498</f>
        <v>243.75</v>
      </c>
    </row>
    <row r="499" spans="1:22" s="128" customFormat="1" ht="15.6" hidden="1" x14ac:dyDescent="0.3">
      <c r="A499" s="142" t="s">
        <v>477</v>
      </c>
      <c r="B499" s="142">
        <v>1223</v>
      </c>
      <c r="C499" s="141">
        <v>45792</v>
      </c>
      <c r="D499" s="140">
        <f>WEEKNUM(C499)</f>
        <v>20</v>
      </c>
      <c r="E499" s="142" t="s">
        <v>498</v>
      </c>
      <c r="F499" s="140" t="s">
        <v>459</v>
      </c>
      <c r="G499" s="142" t="s">
        <v>899</v>
      </c>
      <c r="H499" s="142" t="s">
        <v>900</v>
      </c>
      <c r="I499" s="142" t="s">
        <v>46</v>
      </c>
      <c r="J499" s="157">
        <v>400</v>
      </c>
      <c r="K499" s="143">
        <v>19.5</v>
      </c>
      <c r="L499" s="143">
        <f>K499*J499</f>
        <v>7800</v>
      </c>
      <c r="M499" s="143">
        <v>0</v>
      </c>
      <c r="N499" s="141">
        <v>45825</v>
      </c>
      <c r="O499" s="157">
        <f>WEEKNUM(N499)</f>
        <v>25</v>
      </c>
      <c r="P499" s="140"/>
      <c r="Q499" s="140" t="s">
        <v>29</v>
      </c>
      <c r="R499" s="143">
        <f>J499*0.25</f>
        <v>100</v>
      </c>
      <c r="S499" s="143">
        <f>J499*1</f>
        <v>400</v>
      </c>
      <c r="T499" s="143">
        <f>J499*1.5</f>
        <v>600</v>
      </c>
      <c r="U499" s="143">
        <f>J499*0.5</f>
        <v>200</v>
      </c>
      <c r="V499" s="143">
        <f>R499+S499+T499+U499</f>
        <v>1300</v>
      </c>
    </row>
    <row r="500" spans="1:22" s="128" customFormat="1" ht="15.6" hidden="1" x14ac:dyDescent="0.3">
      <c r="A500" s="142" t="s">
        <v>477</v>
      </c>
      <c r="B500" s="142">
        <v>1224</v>
      </c>
      <c r="C500" s="141">
        <v>45793</v>
      </c>
      <c r="D500" s="140">
        <f>WEEKNUM(C500)</f>
        <v>20</v>
      </c>
      <c r="E500" s="140" t="s">
        <v>475</v>
      </c>
      <c r="F500" s="142" t="s">
        <v>731</v>
      </c>
      <c r="G500" s="142" t="s">
        <v>732</v>
      </c>
      <c r="H500" s="140" t="s">
        <v>60</v>
      </c>
      <c r="I500" s="142" t="s">
        <v>61</v>
      </c>
      <c r="J500" s="157">
        <v>2000</v>
      </c>
      <c r="K500" s="143">
        <v>13</v>
      </c>
      <c r="L500" s="143">
        <f>K500*J500</f>
        <v>26000</v>
      </c>
      <c r="M500" s="143">
        <v>0</v>
      </c>
      <c r="N500" s="141">
        <v>45859</v>
      </c>
      <c r="O500" s="157">
        <f>WEEKNUM(N500)</f>
        <v>30</v>
      </c>
      <c r="P500" s="140"/>
      <c r="Q500" s="140" t="s">
        <v>29</v>
      </c>
      <c r="R500" s="143">
        <f>J500*1</f>
        <v>2000</v>
      </c>
      <c r="S500" s="143">
        <f>J500*2</f>
        <v>4000</v>
      </c>
      <c r="T500" s="143">
        <f>J500*2</f>
        <v>4000</v>
      </c>
      <c r="U500" s="143">
        <f>J500*1</f>
        <v>2000</v>
      </c>
      <c r="V500" s="143">
        <f>R500+S500+T500+U500</f>
        <v>12000</v>
      </c>
    </row>
    <row r="501" spans="1:22" s="128" customFormat="1" ht="15.6" hidden="1" x14ac:dyDescent="0.3">
      <c r="A501" s="142" t="s">
        <v>477</v>
      </c>
      <c r="B501" s="142">
        <v>1224</v>
      </c>
      <c r="C501" s="141">
        <v>45793</v>
      </c>
      <c r="D501" s="140">
        <f>WEEKNUM(C501)</f>
        <v>20</v>
      </c>
      <c r="E501" s="140" t="s">
        <v>475</v>
      </c>
      <c r="F501" s="142" t="s">
        <v>731</v>
      </c>
      <c r="G501" s="142" t="s">
        <v>733</v>
      </c>
      <c r="H501" s="140" t="s">
        <v>60</v>
      </c>
      <c r="I501" s="142" t="s">
        <v>61</v>
      </c>
      <c r="J501" s="157">
        <v>3000</v>
      </c>
      <c r="K501" s="143">
        <v>14.3</v>
      </c>
      <c r="L501" s="143">
        <f>K501*J501</f>
        <v>42900</v>
      </c>
      <c r="M501" s="143">
        <v>0</v>
      </c>
      <c r="N501" s="141">
        <v>45859</v>
      </c>
      <c r="O501" s="157">
        <f>WEEKNUM(N501)</f>
        <v>30</v>
      </c>
      <c r="P501" s="140"/>
      <c r="Q501" s="140" t="s">
        <v>29</v>
      </c>
      <c r="R501" s="143">
        <f>J501*1</f>
        <v>3000</v>
      </c>
      <c r="S501" s="143">
        <f>J501*0.5</f>
        <v>1500</v>
      </c>
      <c r="T501" s="143">
        <f>J501*2.5</f>
        <v>7500</v>
      </c>
      <c r="U501" s="143">
        <f>J501*1</f>
        <v>3000</v>
      </c>
      <c r="V501" s="143">
        <f>R501+S501+T501+U501</f>
        <v>15000</v>
      </c>
    </row>
    <row r="502" spans="1:22" s="128" customFormat="1" ht="15.6" hidden="1" x14ac:dyDescent="0.3">
      <c r="A502" s="142" t="s">
        <v>477</v>
      </c>
      <c r="B502" s="142">
        <v>1224</v>
      </c>
      <c r="C502" s="141">
        <v>45793</v>
      </c>
      <c r="D502" s="140">
        <f>WEEKNUM(C502)</f>
        <v>20</v>
      </c>
      <c r="E502" s="140" t="s">
        <v>475</v>
      </c>
      <c r="F502" s="142" t="s">
        <v>731</v>
      </c>
      <c r="G502" s="142" t="s">
        <v>734</v>
      </c>
      <c r="H502" s="140" t="s">
        <v>60</v>
      </c>
      <c r="I502" s="142" t="s">
        <v>61</v>
      </c>
      <c r="J502" s="157">
        <v>3000</v>
      </c>
      <c r="K502" s="143">
        <v>14.3</v>
      </c>
      <c r="L502" s="143">
        <f>K502*J502</f>
        <v>42900</v>
      </c>
      <c r="M502" s="143">
        <v>0</v>
      </c>
      <c r="N502" s="141">
        <v>45859</v>
      </c>
      <c r="O502" s="157">
        <f>WEEKNUM(N502)</f>
        <v>30</v>
      </c>
      <c r="P502" s="140"/>
      <c r="Q502" s="140" t="s">
        <v>29</v>
      </c>
      <c r="R502" s="143">
        <f>J502*0.25</f>
        <v>750</v>
      </c>
      <c r="S502" s="143">
        <f>J502*0.5</f>
        <v>1500</v>
      </c>
      <c r="T502" s="143">
        <f>J502*2.5</f>
        <v>7500</v>
      </c>
      <c r="U502" s="143">
        <f>J502*1</f>
        <v>3000</v>
      </c>
      <c r="V502" s="143">
        <f>R502+S502+T502+U502</f>
        <v>12750</v>
      </c>
    </row>
    <row r="503" spans="1:22" s="128" customFormat="1" ht="15.6" hidden="1" x14ac:dyDescent="0.3">
      <c r="A503" s="142" t="s">
        <v>477</v>
      </c>
      <c r="B503" s="142">
        <v>790</v>
      </c>
      <c r="C503" s="141">
        <v>45793</v>
      </c>
      <c r="D503" s="140">
        <f>WEEKNUM(C503)</f>
        <v>20</v>
      </c>
      <c r="E503" s="140" t="s">
        <v>475</v>
      </c>
      <c r="F503" s="140" t="s">
        <v>809</v>
      </c>
      <c r="G503" s="142" t="s">
        <v>506</v>
      </c>
      <c r="H503" s="140" t="s">
        <v>74</v>
      </c>
      <c r="I503" s="142" t="s">
        <v>46</v>
      </c>
      <c r="J503" s="157">
        <v>200</v>
      </c>
      <c r="K503" s="143">
        <v>24.5</v>
      </c>
      <c r="L503" s="143">
        <f>K503*J503</f>
        <v>4900</v>
      </c>
      <c r="M503" s="143">
        <v>0</v>
      </c>
      <c r="N503" s="141">
        <v>45826</v>
      </c>
      <c r="O503" s="157">
        <f>WEEKNUM(N503)</f>
        <v>25</v>
      </c>
      <c r="P503" s="140"/>
      <c r="Q503" s="140" t="s">
        <v>29</v>
      </c>
      <c r="R503" s="143">
        <f>J503*0.25</f>
        <v>50</v>
      </c>
      <c r="S503" s="143">
        <f>J503*1</f>
        <v>200</v>
      </c>
      <c r="T503" s="143">
        <f>J503*1.5</f>
        <v>300</v>
      </c>
      <c r="U503" s="143">
        <f>J503*0.5</f>
        <v>100</v>
      </c>
      <c r="V503" s="143">
        <f>R503+S503+T503+U503</f>
        <v>650</v>
      </c>
    </row>
    <row r="504" spans="1:22" s="128" customFormat="1" ht="15.6" hidden="1" x14ac:dyDescent="0.3">
      <c r="A504" s="142" t="s">
        <v>477</v>
      </c>
      <c r="B504" s="142">
        <v>790</v>
      </c>
      <c r="C504" s="141">
        <v>45793</v>
      </c>
      <c r="D504" s="140">
        <f>WEEKNUM(C504)</f>
        <v>20</v>
      </c>
      <c r="E504" s="140" t="s">
        <v>475</v>
      </c>
      <c r="F504" s="140" t="s">
        <v>809</v>
      </c>
      <c r="G504" s="142" t="s">
        <v>495</v>
      </c>
      <c r="H504" s="140" t="s">
        <v>494</v>
      </c>
      <c r="I504" s="142" t="s">
        <v>46</v>
      </c>
      <c r="J504" s="157">
        <v>200</v>
      </c>
      <c r="K504" s="143">
        <v>24.5</v>
      </c>
      <c r="L504" s="143">
        <f>K504*J504</f>
        <v>4900</v>
      </c>
      <c r="M504" s="143">
        <v>0</v>
      </c>
      <c r="N504" s="141">
        <v>45826</v>
      </c>
      <c r="O504" s="157">
        <f>WEEKNUM(N504)</f>
        <v>25</v>
      </c>
      <c r="P504" s="140"/>
      <c r="Q504" s="140" t="s">
        <v>29</v>
      </c>
      <c r="R504" s="143">
        <f>J504*0.25</f>
        <v>50</v>
      </c>
      <c r="S504" s="143">
        <f>J504*1</f>
        <v>200</v>
      </c>
      <c r="T504" s="143">
        <f>J504*1.5</f>
        <v>300</v>
      </c>
      <c r="U504" s="143">
        <f>J504*0.5</f>
        <v>100</v>
      </c>
      <c r="V504" s="143">
        <f>R504+S504+T504+U504</f>
        <v>650</v>
      </c>
    </row>
    <row r="505" spans="1:22" s="128" customFormat="1" ht="15.6" hidden="1" x14ac:dyDescent="0.3">
      <c r="A505" s="142" t="s">
        <v>477</v>
      </c>
      <c r="B505" s="142">
        <v>790</v>
      </c>
      <c r="C505" s="141">
        <v>45793</v>
      </c>
      <c r="D505" s="140">
        <f>WEEKNUM(C505)</f>
        <v>20</v>
      </c>
      <c r="E505" s="140" t="s">
        <v>475</v>
      </c>
      <c r="F505" s="140" t="s">
        <v>809</v>
      </c>
      <c r="G505" s="142" t="s">
        <v>630</v>
      </c>
      <c r="H505" s="142" t="s">
        <v>555</v>
      </c>
      <c r="I505" s="142" t="s">
        <v>46</v>
      </c>
      <c r="J505" s="157">
        <v>50</v>
      </c>
      <c r="K505" s="143">
        <v>26.5</v>
      </c>
      <c r="L505" s="143">
        <f>K505*J505</f>
        <v>1325</v>
      </c>
      <c r="M505" s="143">
        <v>0</v>
      </c>
      <c r="N505" s="141">
        <v>45826</v>
      </c>
      <c r="O505" s="157">
        <f>WEEKNUM(N505)</f>
        <v>25</v>
      </c>
      <c r="P505" s="140"/>
      <c r="Q505" s="140" t="s">
        <v>29</v>
      </c>
      <c r="R505" s="143">
        <f>J505*0.25</f>
        <v>12.5</v>
      </c>
      <c r="S505" s="143">
        <f>J505*1.5</f>
        <v>75</v>
      </c>
      <c r="T505" s="143">
        <f>J505*5.27</f>
        <v>263.5</v>
      </c>
      <c r="U505" s="143">
        <f>J505*0.5</f>
        <v>25</v>
      </c>
      <c r="V505" s="156">
        <f>SUM(R505:U505)</f>
        <v>376</v>
      </c>
    </row>
    <row r="506" spans="1:22" s="128" customFormat="1" ht="15.6" hidden="1" x14ac:dyDescent="0.3">
      <c r="A506" s="142" t="s">
        <v>477</v>
      </c>
      <c r="B506" s="142">
        <v>790</v>
      </c>
      <c r="C506" s="141">
        <v>45793</v>
      </c>
      <c r="D506" s="140">
        <f>WEEKNUM(C506)</f>
        <v>20</v>
      </c>
      <c r="E506" s="140" t="s">
        <v>475</v>
      </c>
      <c r="F506" s="140" t="s">
        <v>809</v>
      </c>
      <c r="G506" s="142" t="s">
        <v>311</v>
      </c>
      <c r="H506" s="140" t="s">
        <v>51</v>
      </c>
      <c r="I506" s="142" t="s">
        <v>46</v>
      </c>
      <c r="J506" s="157">
        <v>50</v>
      </c>
      <c r="K506" s="143">
        <v>14</v>
      </c>
      <c r="L506" s="143">
        <f>K506*J506</f>
        <v>700</v>
      </c>
      <c r="M506" s="143">
        <v>0</v>
      </c>
      <c r="N506" s="141">
        <v>45826</v>
      </c>
      <c r="O506" s="157">
        <f>WEEKNUM(N506)</f>
        <v>25</v>
      </c>
      <c r="P506" s="140"/>
      <c r="Q506" s="140" t="s">
        <v>29</v>
      </c>
      <c r="R506" s="143">
        <f>J506*0.25</f>
        <v>12.5</v>
      </c>
      <c r="S506" s="143">
        <f>J506*1</f>
        <v>50</v>
      </c>
      <c r="T506" s="143">
        <f>J506*1.5</f>
        <v>75</v>
      </c>
      <c r="U506" s="143">
        <f>J506*0.5</f>
        <v>25</v>
      </c>
      <c r="V506" s="143">
        <f>R506+S506+T506+U506</f>
        <v>162.5</v>
      </c>
    </row>
    <row r="507" spans="1:22" s="128" customFormat="1" ht="15.6" hidden="1" x14ac:dyDescent="0.3">
      <c r="A507" s="142" t="s">
        <v>477</v>
      </c>
      <c r="B507" s="142">
        <v>791</v>
      </c>
      <c r="C507" s="141">
        <v>45796</v>
      </c>
      <c r="D507" s="140">
        <f>WEEKNUM(C507)</f>
        <v>21</v>
      </c>
      <c r="E507" s="140" t="s">
        <v>475</v>
      </c>
      <c r="F507" s="142" t="s">
        <v>773</v>
      </c>
      <c r="G507" s="142" t="s">
        <v>598</v>
      </c>
      <c r="H507" s="140" t="s">
        <v>74</v>
      </c>
      <c r="I507" s="142" t="s">
        <v>46</v>
      </c>
      <c r="J507" s="157">
        <v>70</v>
      </c>
      <c r="K507" s="143">
        <v>22.5</v>
      </c>
      <c r="L507" s="143">
        <f>K507*J507</f>
        <v>1575</v>
      </c>
      <c r="M507" s="143">
        <v>0</v>
      </c>
      <c r="N507" s="141">
        <v>45828</v>
      </c>
      <c r="O507" s="157">
        <f>WEEKNUM(N507)</f>
        <v>25</v>
      </c>
      <c r="P507" s="140"/>
      <c r="Q507" s="140" t="s">
        <v>29</v>
      </c>
      <c r="R507" s="143">
        <f>J507*0.25</f>
        <v>17.5</v>
      </c>
      <c r="S507" s="143">
        <f>J507*1</f>
        <v>70</v>
      </c>
      <c r="T507" s="143">
        <f>J507*1.5</f>
        <v>105</v>
      </c>
      <c r="U507" s="143">
        <f>J507*0.5</f>
        <v>35</v>
      </c>
      <c r="V507" s="143">
        <f>R507+S507+T507+U507</f>
        <v>227.5</v>
      </c>
    </row>
    <row r="508" spans="1:22" s="128" customFormat="1" ht="15.6" hidden="1" x14ac:dyDescent="0.3">
      <c r="A508" s="142" t="s">
        <v>491</v>
      </c>
      <c r="B508" s="142">
        <v>1225</v>
      </c>
      <c r="C508" s="141">
        <v>45799</v>
      </c>
      <c r="D508" s="140">
        <f>WEEKNUM(C508)</f>
        <v>21</v>
      </c>
      <c r="E508" s="142" t="s">
        <v>68</v>
      </c>
      <c r="F508" s="195" t="s">
        <v>324</v>
      </c>
      <c r="G508" s="142" t="s">
        <v>301</v>
      </c>
      <c r="H508" s="140" t="s">
        <v>74</v>
      </c>
      <c r="I508" s="142" t="s">
        <v>46</v>
      </c>
      <c r="J508" s="157">
        <v>12</v>
      </c>
      <c r="K508" s="143">
        <v>36.75</v>
      </c>
      <c r="L508" s="143">
        <f>K508*J508</f>
        <v>441</v>
      </c>
      <c r="M508" s="143">
        <v>0</v>
      </c>
      <c r="N508" s="141">
        <v>45829</v>
      </c>
      <c r="O508" s="157">
        <f>WEEKNUM(N508)</f>
        <v>25</v>
      </c>
      <c r="P508" s="140"/>
      <c r="Q508" s="140" t="s">
        <v>29</v>
      </c>
      <c r="R508" s="143">
        <f>J508*0.25</f>
        <v>3</v>
      </c>
      <c r="S508" s="143">
        <f>J508*1</f>
        <v>12</v>
      </c>
      <c r="T508" s="143">
        <f>J508*1.5</f>
        <v>18</v>
      </c>
      <c r="U508" s="143">
        <f>J508*0.5</f>
        <v>6</v>
      </c>
      <c r="V508" s="143">
        <f>R508+S508+T508+U508</f>
        <v>39</v>
      </c>
    </row>
    <row r="509" spans="1:22" s="128" customFormat="1" ht="15.6" hidden="1" x14ac:dyDescent="0.3">
      <c r="A509" s="142" t="s">
        <v>491</v>
      </c>
      <c r="B509" s="142">
        <v>1225</v>
      </c>
      <c r="C509" s="141">
        <v>45799</v>
      </c>
      <c r="D509" s="140">
        <f>WEEKNUM(C509)</f>
        <v>21</v>
      </c>
      <c r="E509" s="142" t="s">
        <v>68</v>
      </c>
      <c r="F509" s="195" t="s">
        <v>324</v>
      </c>
      <c r="G509" s="142" t="s">
        <v>374</v>
      </c>
      <c r="H509" s="140" t="s">
        <v>74</v>
      </c>
      <c r="I509" s="142" t="s">
        <v>46</v>
      </c>
      <c r="J509" s="157">
        <v>4</v>
      </c>
      <c r="K509" s="143">
        <v>47.5</v>
      </c>
      <c r="L509" s="143">
        <f>K509*J509</f>
        <v>190</v>
      </c>
      <c r="M509" s="143">
        <v>0</v>
      </c>
      <c r="N509" s="141">
        <v>45829</v>
      </c>
      <c r="O509" s="157">
        <f>WEEKNUM(N509)</f>
        <v>25</v>
      </c>
      <c r="P509" s="140"/>
      <c r="Q509" s="140" t="s">
        <v>29</v>
      </c>
      <c r="R509" s="143">
        <f>J509*0.25</f>
        <v>1</v>
      </c>
      <c r="S509" s="143">
        <f>J509*1</f>
        <v>4</v>
      </c>
      <c r="T509" s="143">
        <f>J509*1.5</f>
        <v>6</v>
      </c>
      <c r="U509" s="143">
        <f>J509*0.5</f>
        <v>2</v>
      </c>
      <c r="V509" s="143">
        <f>R509+S509+T509+U509</f>
        <v>13</v>
      </c>
    </row>
    <row r="510" spans="1:22" s="128" customFormat="1" ht="15.6" hidden="1" x14ac:dyDescent="0.3">
      <c r="A510" s="142" t="s">
        <v>477</v>
      </c>
      <c r="B510" s="142">
        <v>793</v>
      </c>
      <c r="C510" s="141">
        <v>45800</v>
      </c>
      <c r="D510" s="140">
        <f>WEEKNUM(C510)</f>
        <v>21</v>
      </c>
      <c r="E510" s="140" t="s">
        <v>475</v>
      </c>
      <c r="F510" s="140" t="s">
        <v>761</v>
      </c>
      <c r="G510" s="142" t="s">
        <v>487</v>
      </c>
      <c r="H510" s="140" t="s">
        <v>51</v>
      </c>
      <c r="I510" s="142" t="s">
        <v>46</v>
      </c>
      <c r="J510" s="157">
        <v>500</v>
      </c>
      <c r="K510" s="143">
        <v>19.5</v>
      </c>
      <c r="L510" s="143">
        <f>K510*J510</f>
        <v>9750</v>
      </c>
      <c r="M510" s="143">
        <v>0</v>
      </c>
      <c r="N510" s="141">
        <v>45831</v>
      </c>
      <c r="O510" s="157">
        <f>WEEKNUM(N510)</f>
        <v>26</v>
      </c>
      <c r="P510" s="140"/>
      <c r="Q510" s="140" t="s">
        <v>29</v>
      </c>
      <c r="R510" s="143">
        <f>J510*0.25</f>
        <v>125</v>
      </c>
      <c r="S510" s="143">
        <f>J510*1</f>
        <v>500</v>
      </c>
      <c r="T510" s="143">
        <f>J510*1.84</f>
        <v>920</v>
      </c>
      <c r="U510" s="143">
        <f>J510*0.5</f>
        <v>250</v>
      </c>
      <c r="V510" s="156">
        <f>SUM(R510:U510)</f>
        <v>1795</v>
      </c>
    </row>
    <row r="511" spans="1:22" s="128" customFormat="1" ht="15.6" hidden="1" x14ac:dyDescent="0.3">
      <c r="A511" s="142" t="s">
        <v>477</v>
      </c>
      <c r="B511" s="142">
        <v>794</v>
      </c>
      <c r="C511" s="141">
        <v>45800</v>
      </c>
      <c r="D511" s="140">
        <f>WEEKNUM(C511)</f>
        <v>21</v>
      </c>
      <c r="E511" s="142" t="s">
        <v>498</v>
      </c>
      <c r="F511" s="142" t="s">
        <v>952</v>
      </c>
      <c r="G511" s="142" t="s">
        <v>487</v>
      </c>
      <c r="H511" s="140" t="s">
        <v>51</v>
      </c>
      <c r="I511" s="142" t="s">
        <v>46</v>
      </c>
      <c r="J511" s="157">
        <v>200</v>
      </c>
      <c r="K511" s="143">
        <v>22.5</v>
      </c>
      <c r="L511" s="143">
        <f>K511*J511</f>
        <v>4500</v>
      </c>
      <c r="M511" s="143">
        <v>0</v>
      </c>
      <c r="N511" s="141">
        <v>45830</v>
      </c>
      <c r="O511" s="157">
        <f>WEEKNUM(N511)</f>
        <v>26</v>
      </c>
      <c r="P511" s="140"/>
      <c r="Q511" s="140" t="s">
        <v>29</v>
      </c>
      <c r="R511" s="143">
        <f>J511*0.25</f>
        <v>50</v>
      </c>
      <c r="S511" s="143">
        <f>J511*1</f>
        <v>200</v>
      </c>
      <c r="T511" s="143">
        <f>J511*1.84</f>
        <v>368</v>
      </c>
      <c r="U511" s="143">
        <f>J511*0.5</f>
        <v>100</v>
      </c>
      <c r="V511" s="156">
        <f>SUM(R511:U511)</f>
        <v>718</v>
      </c>
    </row>
    <row r="512" spans="1:22" s="128" customFormat="1" ht="15.6" hidden="1" x14ac:dyDescent="0.3">
      <c r="A512" s="142" t="s">
        <v>477</v>
      </c>
      <c r="B512" s="142">
        <v>792</v>
      </c>
      <c r="C512" s="141">
        <v>45801</v>
      </c>
      <c r="D512" s="140">
        <f>WEEKNUM(C512)</f>
        <v>21</v>
      </c>
      <c r="E512" s="140" t="s">
        <v>475</v>
      </c>
      <c r="F512" s="142" t="s">
        <v>667</v>
      </c>
      <c r="G512" s="142" t="s">
        <v>630</v>
      </c>
      <c r="H512" s="142" t="s">
        <v>555</v>
      </c>
      <c r="I512" s="142" t="s">
        <v>46</v>
      </c>
      <c r="J512" s="157">
        <v>50</v>
      </c>
      <c r="K512" s="143">
        <v>26.5</v>
      </c>
      <c r="L512" s="143">
        <f>'PCP + MO '!K500*J512</f>
        <v>650</v>
      </c>
      <c r="M512" s="143">
        <v>0</v>
      </c>
      <c r="N512" s="141">
        <v>45832</v>
      </c>
      <c r="O512" s="157">
        <f>WEEKNUM(N512)</f>
        <v>26</v>
      </c>
      <c r="P512" s="140"/>
      <c r="Q512" s="140" t="s">
        <v>29</v>
      </c>
      <c r="R512" s="156">
        <f>PRODUCT(0.25,J512)</f>
        <v>12.5</v>
      </c>
      <c r="S512" s="143">
        <f>PRODUCT(1.5,J512)</f>
        <v>75</v>
      </c>
      <c r="T512" s="156">
        <f>PRODUCT(1.5,J512)</f>
        <v>75</v>
      </c>
      <c r="U512" s="156">
        <f>PRODUCT(0.5,J512)</f>
        <v>25</v>
      </c>
      <c r="V512" s="156">
        <f>SUM(R512:U512)</f>
        <v>187.5</v>
      </c>
    </row>
    <row r="513" spans="1:22" s="128" customFormat="1" ht="15.6" hidden="1" x14ac:dyDescent="0.3">
      <c r="A513" s="142" t="s">
        <v>477</v>
      </c>
      <c r="B513" s="142">
        <v>792</v>
      </c>
      <c r="C513" s="141">
        <v>45801</v>
      </c>
      <c r="D513" s="140">
        <f>WEEKNUM(C513)</f>
        <v>21</v>
      </c>
      <c r="E513" s="140" t="s">
        <v>475</v>
      </c>
      <c r="F513" s="142" t="s">
        <v>667</v>
      </c>
      <c r="G513" s="142" t="s">
        <v>311</v>
      </c>
      <c r="H513" s="140" t="s">
        <v>51</v>
      </c>
      <c r="I513" s="142" t="s">
        <v>46</v>
      </c>
      <c r="J513" s="157">
        <v>150</v>
      </c>
      <c r="K513" s="143">
        <v>17.5</v>
      </c>
      <c r="L513" s="143">
        <f>K513*J513</f>
        <v>2625</v>
      </c>
      <c r="M513" s="143">
        <v>0</v>
      </c>
      <c r="N513" s="141">
        <v>45832</v>
      </c>
      <c r="O513" s="157">
        <f>WEEKNUM(N513)</f>
        <v>26</v>
      </c>
      <c r="P513" s="140"/>
      <c r="Q513" s="140" t="s">
        <v>29</v>
      </c>
      <c r="R513" s="143">
        <f>J513*0.25</f>
        <v>37.5</v>
      </c>
      <c r="S513" s="143">
        <f>J513*1</f>
        <v>150</v>
      </c>
      <c r="T513" s="143">
        <f>J513*1.5</f>
        <v>225</v>
      </c>
      <c r="U513" s="143">
        <f>J513*0.5</f>
        <v>75</v>
      </c>
      <c r="V513" s="143">
        <f>R513+S513+T513+U513</f>
        <v>487.5</v>
      </c>
    </row>
    <row r="514" spans="1:22" s="128" customFormat="1" ht="15.6" hidden="1" x14ac:dyDescent="0.3">
      <c r="A514" s="142" t="s">
        <v>477</v>
      </c>
      <c r="B514" s="142">
        <v>792</v>
      </c>
      <c r="C514" s="141">
        <v>45801</v>
      </c>
      <c r="D514" s="140">
        <f>WEEKNUM(C514)</f>
        <v>21</v>
      </c>
      <c r="E514" s="140" t="s">
        <v>475</v>
      </c>
      <c r="F514" s="142" t="s">
        <v>667</v>
      </c>
      <c r="G514" s="142" t="s">
        <v>489</v>
      </c>
      <c r="H514" s="140" t="s">
        <v>51</v>
      </c>
      <c r="I514" s="142" t="s">
        <v>61</v>
      </c>
      <c r="J514" s="157">
        <v>6</v>
      </c>
      <c r="K514" s="143">
        <v>98</v>
      </c>
      <c r="L514" s="143">
        <f>K514*J514</f>
        <v>588</v>
      </c>
      <c r="M514" s="143">
        <v>0</v>
      </c>
      <c r="N514" s="141">
        <v>45832</v>
      </c>
      <c r="O514" s="157">
        <f>WEEKNUM(N514)</f>
        <v>26</v>
      </c>
      <c r="P514" s="140"/>
      <c r="Q514" s="140" t="s">
        <v>29</v>
      </c>
      <c r="R514" s="143">
        <f>J514*1</f>
        <v>6</v>
      </c>
      <c r="S514" s="143">
        <f>J514*1</f>
        <v>6</v>
      </c>
      <c r="T514" s="143">
        <f>J514*3</f>
        <v>18</v>
      </c>
      <c r="U514" s="143">
        <f>J514*1</f>
        <v>6</v>
      </c>
      <c r="V514" s="156">
        <f>SUM(R514:U514)</f>
        <v>36</v>
      </c>
    </row>
    <row r="515" spans="1:22" s="128" customFormat="1" ht="15.6" hidden="1" x14ac:dyDescent="0.3">
      <c r="A515" s="142" t="s">
        <v>477</v>
      </c>
      <c r="B515" s="142">
        <v>1221</v>
      </c>
      <c r="C515" s="141">
        <v>45803</v>
      </c>
      <c r="D515" s="140">
        <f>WEEKNUM(C515)</f>
        <v>22</v>
      </c>
      <c r="E515" s="140" t="s">
        <v>475</v>
      </c>
      <c r="F515" s="142" t="s">
        <v>731</v>
      </c>
      <c r="G515" s="142" t="s">
        <v>735</v>
      </c>
      <c r="H515" s="142" t="s">
        <v>736</v>
      </c>
      <c r="I515" s="142" t="s">
        <v>46</v>
      </c>
      <c r="J515" s="157">
        <v>4026</v>
      </c>
      <c r="K515" s="143">
        <v>22.5</v>
      </c>
      <c r="L515" s="143">
        <f>K515*J515</f>
        <v>90585</v>
      </c>
      <c r="M515" s="143">
        <v>0</v>
      </c>
      <c r="N515" s="141">
        <v>45855</v>
      </c>
      <c r="O515" s="157">
        <f>WEEKNUM(N515)</f>
        <v>29</v>
      </c>
      <c r="P515" s="140"/>
      <c r="Q515" s="140" t="s">
        <v>29</v>
      </c>
      <c r="R515" s="143">
        <f>J515*2</f>
        <v>8052</v>
      </c>
      <c r="S515" s="143">
        <f>J515*1.04</f>
        <v>4187.04</v>
      </c>
      <c r="T515" s="143">
        <f>J515*1.2</f>
        <v>4831.2</v>
      </c>
      <c r="U515" s="143">
        <f>J515*1</f>
        <v>4026</v>
      </c>
      <c r="V515" s="143">
        <f>R515+S515+T515+U515</f>
        <v>21096.240000000002</v>
      </c>
    </row>
    <row r="516" spans="1:22" s="128" customFormat="1" ht="15.6" hidden="1" x14ac:dyDescent="0.3">
      <c r="A516" s="142" t="s">
        <v>477</v>
      </c>
      <c r="B516" s="142">
        <v>795</v>
      </c>
      <c r="C516" s="141">
        <v>45804</v>
      </c>
      <c r="D516" s="140">
        <f>WEEKNUM(C516)</f>
        <v>22</v>
      </c>
      <c r="E516" s="140" t="s">
        <v>475</v>
      </c>
      <c r="F516" s="140" t="s">
        <v>761</v>
      </c>
      <c r="G516" s="142" t="s">
        <v>495</v>
      </c>
      <c r="H516" s="140" t="s">
        <v>494</v>
      </c>
      <c r="I516" s="142" t="s">
        <v>46</v>
      </c>
      <c r="J516" s="157">
        <v>500</v>
      </c>
      <c r="K516" s="143">
        <v>28</v>
      </c>
      <c r="L516" s="143">
        <f>K516*J516</f>
        <v>14000</v>
      </c>
      <c r="M516" s="143">
        <v>0</v>
      </c>
      <c r="N516" s="141">
        <v>45835</v>
      </c>
      <c r="O516" s="157">
        <f>WEEKNUM(N516)</f>
        <v>26</v>
      </c>
      <c r="P516" s="140"/>
      <c r="Q516" s="140" t="s">
        <v>29</v>
      </c>
      <c r="R516" s="143">
        <f>J516*0.25</f>
        <v>125</v>
      </c>
      <c r="S516" s="143">
        <f>J516*1</f>
        <v>500</v>
      </c>
      <c r="T516" s="143">
        <f>J516*1.5</f>
        <v>750</v>
      </c>
      <c r="U516" s="143">
        <f>J516*0.5</f>
        <v>250</v>
      </c>
      <c r="V516" s="143">
        <f>R516+S516+T516+U516</f>
        <v>1625</v>
      </c>
    </row>
    <row r="517" spans="1:22" s="128" customFormat="1" ht="15.6" hidden="1" x14ac:dyDescent="0.3">
      <c r="A517" s="142" t="s">
        <v>477</v>
      </c>
      <c r="B517" s="142">
        <v>796</v>
      </c>
      <c r="C517" s="141">
        <v>45804</v>
      </c>
      <c r="D517" s="140">
        <f>WEEKNUM(C517)</f>
        <v>22</v>
      </c>
      <c r="E517" s="140" t="s">
        <v>475</v>
      </c>
      <c r="F517" s="142" t="s">
        <v>855</v>
      </c>
      <c r="G517" s="142" t="s">
        <v>856</v>
      </c>
      <c r="H517" s="142" t="s">
        <v>555</v>
      </c>
      <c r="I517" s="142" t="s">
        <v>46</v>
      </c>
      <c r="J517" s="157">
        <v>50</v>
      </c>
      <c r="K517" s="143">
        <v>28</v>
      </c>
      <c r="L517" s="143">
        <f>K517*J517</f>
        <v>1400</v>
      </c>
      <c r="M517" s="143">
        <v>0</v>
      </c>
      <c r="N517" s="141">
        <v>45835</v>
      </c>
      <c r="O517" s="157">
        <f>WEEKNUM(N517)</f>
        <v>26</v>
      </c>
      <c r="P517" s="140"/>
      <c r="Q517" s="140" t="s">
        <v>29</v>
      </c>
      <c r="R517" s="143">
        <f>J517*0.25</f>
        <v>12.5</v>
      </c>
      <c r="S517" s="143">
        <f>J517*1.5</f>
        <v>75</v>
      </c>
      <c r="T517" s="143">
        <f>J517*5.27</f>
        <v>263.5</v>
      </c>
      <c r="U517" s="143">
        <f>J517*0.5</f>
        <v>25</v>
      </c>
      <c r="V517" s="156">
        <f>SUM(R517:U517)</f>
        <v>376</v>
      </c>
    </row>
    <row r="518" spans="1:22" s="128" customFormat="1" ht="15.6" hidden="1" x14ac:dyDescent="0.3">
      <c r="A518" s="142" t="s">
        <v>477</v>
      </c>
      <c r="B518" s="142">
        <v>796</v>
      </c>
      <c r="C518" s="141">
        <v>45804</v>
      </c>
      <c r="D518" s="140">
        <f>WEEKNUM(C518)</f>
        <v>22</v>
      </c>
      <c r="E518" s="140" t="s">
        <v>475</v>
      </c>
      <c r="F518" s="142" t="s">
        <v>855</v>
      </c>
      <c r="G518" s="142" t="s">
        <v>857</v>
      </c>
      <c r="H518" s="142" t="s">
        <v>555</v>
      </c>
      <c r="I518" s="142" t="s">
        <v>46</v>
      </c>
      <c r="J518" s="157">
        <v>50</v>
      </c>
      <c r="K518" s="143">
        <v>28</v>
      </c>
      <c r="L518" s="143">
        <f>K518*J518</f>
        <v>1400</v>
      </c>
      <c r="M518" s="143">
        <v>0</v>
      </c>
      <c r="N518" s="141">
        <v>45835</v>
      </c>
      <c r="O518" s="157">
        <f>WEEKNUM(N518)</f>
        <v>26</v>
      </c>
      <c r="P518" s="140"/>
      <c r="Q518" s="140" t="s">
        <v>29</v>
      </c>
      <c r="R518" s="143">
        <f>J518*0.25</f>
        <v>12.5</v>
      </c>
      <c r="S518" s="143">
        <f>J518*1.5</f>
        <v>75</v>
      </c>
      <c r="T518" s="143">
        <f>J518*5.27</f>
        <v>263.5</v>
      </c>
      <c r="U518" s="143">
        <f>J518*0.5</f>
        <v>25</v>
      </c>
      <c r="V518" s="156">
        <f>SUM(R518:U518)</f>
        <v>376</v>
      </c>
    </row>
    <row r="519" spans="1:22" s="128" customFormat="1" ht="15.6" hidden="1" x14ac:dyDescent="0.3">
      <c r="A519" s="142" t="s">
        <v>477</v>
      </c>
      <c r="B519" s="142">
        <v>796</v>
      </c>
      <c r="C519" s="141">
        <v>45804</v>
      </c>
      <c r="D519" s="140">
        <f>WEEKNUM(C519)</f>
        <v>22</v>
      </c>
      <c r="E519" s="140" t="s">
        <v>475</v>
      </c>
      <c r="F519" s="142" t="s">
        <v>855</v>
      </c>
      <c r="G519" s="142" t="s">
        <v>218</v>
      </c>
      <c r="H519" s="140" t="s">
        <v>74</v>
      </c>
      <c r="I519" s="142" t="s">
        <v>46</v>
      </c>
      <c r="J519" s="157">
        <v>100</v>
      </c>
      <c r="K519" s="143">
        <v>27</v>
      </c>
      <c r="L519" s="143">
        <f>K519*J519</f>
        <v>2700</v>
      </c>
      <c r="M519" s="143">
        <v>0</v>
      </c>
      <c r="N519" s="141">
        <v>45835</v>
      </c>
      <c r="O519" s="157">
        <f>WEEKNUM(N519)</f>
        <v>26</v>
      </c>
      <c r="P519" s="140"/>
      <c r="Q519" s="140" t="s">
        <v>29</v>
      </c>
      <c r="R519" s="143">
        <f>J519*0.25</f>
        <v>25</v>
      </c>
      <c r="S519" s="143">
        <f>J519*1</f>
        <v>100</v>
      </c>
      <c r="T519" s="143">
        <f>J519*1.5</f>
        <v>150</v>
      </c>
      <c r="U519" s="143">
        <f>J519*0.5</f>
        <v>50</v>
      </c>
      <c r="V519" s="143">
        <f>R519+S519+T519+U519</f>
        <v>325</v>
      </c>
    </row>
    <row r="520" spans="1:22" s="128" customFormat="1" ht="15.6" hidden="1" x14ac:dyDescent="0.3">
      <c r="A520" s="142" t="s">
        <v>477</v>
      </c>
      <c r="B520" s="142">
        <v>796</v>
      </c>
      <c r="C520" s="141">
        <v>45804</v>
      </c>
      <c r="D520" s="140">
        <f>WEEKNUM(C520)</f>
        <v>22</v>
      </c>
      <c r="E520" s="140" t="s">
        <v>475</v>
      </c>
      <c r="F520" s="142" t="s">
        <v>855</v>
      </c>
      <c r="G520" s="142" t="s">
        <v>489</v>
      </c>
      <c r="H520" s="140" t="s">
        <v>51</v>
      </c>
      <c r="I520" s="142" t="s">
        <v>61</v>
      </c>
      <c r="J520" s="157">
        <v>50</v>
      </c>
      <c r="K520" s="143">
        <v>80</v>
      </c>
      <c r="L520" s="143">
        <f>K520*J520</f>
        <v>4000</v>
      </c>
      <c r="M520" s="143">
        <v>0</v>
      </c>
      <c r="N520" s="141">
        <v>45835</v>
      </c>
      <c r="O520" s="157">
        <f>WEEKNUM(N520)</f>
        <v>26</v>
      </c>
      <c r="P520" s="140"/>
      <c r="Q520" s="140" t="s">
        <v>29</v>
      </c>
      <c r="R520" s="143">
        <f>J520*1</f>
        <v>50</v>
      </c>
      <c r="S520" s="143">
        <f>J520*1</f>
        <v>50</v>
      </c>
      <c r="T520" s="143">
        <f>J520*3</f>
        <v>150</v>
      </c>
      <c r="U520" s="143">
        <f>J520*1</f>
        <v>50</v>
      </c>
      <c r="V520" s="156">
        <f>SUM(R520:U520)</f>
        <v>300</v>
      </c>
    </row>
    <row r="521" spans="1:22" s="128" customFormat="1" ht="15.6" hidden="1" x14ac:dyDescent="0.3">
      <c r="A521" s="142" t="s">
        <v>477</v>
      </c>
      <c r="B521" s="142">
        <v>785</v>
      </c>
      <c r="C521" s="141">
        <v>45804</v>
      </c>
      <c r="D521" s="140">
        <f>WEEKNUM(C521)</f>
        <v>22</v>
      </c>
      <c r="E521" s="140" t="s">
        <v>475</v>
      </c>
      <c r="F521" s="142" t="s">
        <v>938</v>
      </c>
      <c r="G521" s="142" t="s">
        <v>70</v>
      </c>
      <c r="H521" s="140" t="s">
        <v>74</v>
      </c>
      <c r="I521" s="142" t="s">
        <v>46</v>
      </c>
      <c r="J521" s="157">
        <v>100</v>
      </c>
      <c r="K521" s="143">
        <v>31</v>
      </c>
      <c r="L521" s="143">
        <f>K521*J521</f>
        <v>3100</v>
      </c>
      <c r="M521" s="143">
        <v>0</v>
      </c>
      <c r="N521" s="141">
        <v>45820</v>
      </c>
      <c r="O521" s="157">
        <f>WEEKNUM(N521)</f>
        <v>24</v>
      </c>
      <c r="P521" s="140"/>
      <c r="Q521" s="140" t="s">
        <v>29</v>
      </c>
      <c r="R521" s="143">
        <f>J521*1</f>
        <v>100</v>
      </c>
      <c r="S521" s="143">
        <f>J521*1.5</f>
        <v>150</v>
      </c>
      <c r="T521" s="143">
        <f>J521*1.5</f>
        <v>150</v>
      </c>
      <c r="U521" s="143">
        <f>J521*1</f>
        <v>100</v>
      </c>
      <c r="V521" s="143">
        <f>R521+S521+T521+U521</f>
        <v>500</v>
      </c>
    </row>
    <row r="522" spans="1:22" s="128" customFormat="1" ht="15.6" hidden="1" x14ac:dyDescent="0.3">
      <c r="A522" s="142" t="s">
        <v>477</v>
      </c>
      <c r="B522" s="142">
        <v>799</v>
      </c>
      <c r="C522" s="141">
        <v>45805</v>
      </c>
      <c r="D522" s="140">
        <f>WEEKNUM(C522)</f>
        <v>22</v>
      </c>
      <c r="E522" s="142" t="s">
        <v>498</v>
      </c>
      <c r="F522" s="140" t="s">
        <v>499</v>
      </c>
      <c r="G522" s="142" t="s">
        <v>501</v>
      </c>
      <c r="H522" s="140" t="s">
        <v>51</v>
      </c>
      <c r="I522" s="142" t="s">
        <v>61</v>
      </c>
      <c r="J522" s="157">
        <v>100</v>
      </c>
      <c r="K522" s="143">
        <v>16</v>
      </c>
      <c r="L522" s="143">
        <f>K522*J522</f>
        <v>1600</v>
      </c>
      <c r="M522" s="143">
        <v>0</v>
      </c>
      <c r="N522" s="141">
        <v>45836</v>
      </c>
      <c r="O522" s="157">
        <f>WEEKNUM(N522)</f>
        <v>26</v>
      </c>
      <c r="P522" s="140"/>
      <c r="Q522" s="140" t="s">
        <v>29</v>
      </c>
      <c r="R522" s="143">
        <f>J522*0.25</f>
        <v>25</v>
      </c>
      <c r="S522" s="143">
        <f>J522*1</f>
        <v>100</v>
      </c>
      <c r="T522" s="143">
        <f>J522*1</f>
        <v>100</v>
      </c>
      <c r="U522" s="143">
        <f>J522*0.5</f>
        <v>50</v>
      </c>
      <c r="V522" s="143">
        <f>R522+S522+T522+U522</f>
        <v>275</v>
      </c>
    </row>
    <row r="523" spans="1:22" s="128" customFormat="1" ht="15.6" hidden="1" x14ac:dyDescent="0.3">
      <c r="A523" s="142" t="s">
        <v>477</v>
      </c>
      <c r="B523" s="142">
        <v>797</v>
      </c>
      <c r="C523" s="141">
        <v>45805</v>
      </c>
      <c r="D523" s="140">
        <f>WEEKNUM(C523)</f>
        <v>22</v>
      </c>
      <c r="E523" s="142" t="s">
        <v>672</v>
      </c>
      <c r="F523" s="142" t="s">
        <v>673</v>
      </c>
      <c r="G523" s="142" t="s">
        <v>674</v>
      </c>
      <c r="H523" s="140" t="s">
        <v>60</v>
      </c>
      <c r="I523" s="142" t="s">
        <v>61</v>
      </c>
      <c r="J523" s="157">
        <v>400</v>
      </c>
      <c r="K523" s="143">
        <v>17.3</v>
      </c>
      <c r="L523" s="143">
        <f>K523*J523</f>
        <v>6920</v>
      </c>
      <c r="M523" s="143">
        <v>0</v>
      </c>
      <c r="N523" s="141">
        <v>45835</v>
      </c>
      <c r="O523" s="157">
        <f>WEEKNUM(N523)</f>
        <v>26</v>
      </c>
      <c r="P523" s="140"/>
      <c r="Q523" s="140" t="s">
        <v>29</v>
      </c>
      <c r="R523" s="143">
        <f>PRODUCT(0.25,J523)</f>
        <v>100</v>
      </c>
      <c r="S523" s="143">
        <f>PRODUCT(1.5,335)</f>
        <v>502.5</v>
      </c>
      <c r="T523" s="143">
        <f>PRODUCT(1.5,J523)</f>
        <v>600</v>
      </c>
      <c r="U523" s="143">
        <f>PRODUCT(0.5,J523)</f>
        <v>200</v>
      </c>
      <c r="V523" s="143">
        <f>SUM(R523:U523)</f>
        <v>1402.5</v>
      </c>
    </row>
    <row r="524" spans="1:22" s="128" customFormat="1" ht="15.6" hidden="1" x14ac:dyDescent="0.3">
      <c r="A524" s="142" t="s">
        <v>491</v>
      </c>
      <c r="B524" s="142">
        <v>1226</v>
      </c>
      <c r="C524" s="141">
        <v>45805</v>
      </c>
      <c r="D524" s="140">
        <f>WEEKNUM(C524)</f>
        <v>22</v>
      </c>
      <c r="E524" s="142" t="s">
        <v>68</v>
      </c>
      <c r="F524" s="142" t="s">
        <v>363</v>
      </c>
      <c r="G524" s="142" t="s">
        <v>311</v>
      </c>
      <c r="H524" s="140" t="s">
        <v>51</v>
      </c>
      <c r="I524" s="142" t="s">
        <v>46</v>
      </c>
      <c r="J524" s="157">
        <v>2</v>
      </c>
      <c r="K524" s="143">
        <v>36.75</v>
      </c>
      <c r="L524" s="143">
        <f>K524*J524</f>
        <v>73.5</v>
      </c>
      <c r="M524" s="143">
        <v>0</v>
      </c>
      <c r="N524" s="141">
        <v>45835</v>
      </c>
      <c r="O524" s="157">
        <f>WEEKNUM(N524)</f>
        <v>26</v>
      </c>
      <c r="P524" s="140"/>
      <c r="Q524" s="140" t="s">
        <v>29</v>
      </c>
      <c r="R524" s="143">
        <f>J524*0.25</f>
        <v>0.5</v>
      </c>
      <c r="S524" s="143">
        <f>J524*1</f>
        <v>2</v>
      </c>
      <c r="T524" s="143">
        <f>J524*1.5</f>
        <v>3</v>
      </c>
      <c r="U524" s="143">
        <f>J524*0.5</f>
        <v>1</v>
      </c>
      <c r="V524" s="143">
        <f>R524+S524+T524+U524</f>
        <v>6.5</v>
      </c>
    </row>
    <row r="525" spans="1:22" s="128" customFormat="1" ht="15.6" hidden="1" x14ac:dyDescent="0.3">
      <c r="A525" s="142" t="s">
        <v>491</v>
      </c>
      <c r="B525" s="142">
        <v>1226</v>
      </c>
      <c r="C525" s="141">
        <v>45805</v>
      </c>
      <c r="D525" s="140">
        <f>WEEKNUM(C525)</f>
        <v>22</v>
      </c>
      <c r="E525" s="142" t="s">
        <v>68</v>
      </c>
      <c r="F525" s="142" t="s">
        <v>363</v>
      </c>
      <c r="G525" s="142" t="s">
        <v>301</v>
      </c>
      <c r="H525" s="140" t="s">
        <v>74</v>
      </c>
      <c r="I525" s="142" t="s">
        <v>46</v>
      </c>
      <c r="J525" s="157">
        <v>4</v>
      </c>
      <c r="K525" s="143">
        <v>25</v>
      </c>
      <c r="L525" s="143">
        <f>K525*J525</f>
        <v>100</v>
      </c>
      <c r="M525" s="143">
        <v>0</v>
      </c>
      <c r="N525" s="141">
        <v>45835</v>
      </c>
      <c r="O525" s="157">
        <f>WEEKNUM(N525)</f>
        <v>26</v>
      </c>
      <c r="P525" s="140"/>
      <c r="Q525" s="140" t="s">
        <v>29</v>
      </c>
      <c r="R525" s="143">
        <f>J525*0.25</f>
        <v>1</v>
      </c>
      <c r="S525" s="143">
        <f>J525*1</f>
        <v>4</v>
      </c>
      <c r="T525" s="143">
        <f>J525*1.5</f>
        <v>6</v>
      </c>
      <c r="U525" s="143">
        <f>J525*0.5</f>
        <v>2</v>
      </c>
      <c r="V525" s="143">
        <f>R525+S525+T525+U525</f>
        <v>13</v>
      </c>
    </row>
    <row r="526" spans="1:22" s="128" customFormat="1" ht="15.6" hidden="1" x14ac:dyDescent="0.3">
      <c r="A526" s="142" t="s">
        <v>491</v>
      </c>
      <c r="B526" s="142">
        <v>1227</v>
      </c>
      <c r="C526" s="141">
        <v>45807</v>
      </c>
      <c r="D526" s="140">
        <f>WEEKNUM(C526)</f>
        <v>22</v>
      </c>
      <c r="E526" s="142" t="s">
        <v>68</v>
      </c>
      <c r="F526" s="142" t="s">
        <v>372</v>
      </c>
      <c r="G526" s="142" t="s">
        <v>311</v>
      </c>
      <c r="H526" s="140" t="s">
        <v>51</v>
      </c>
      <c r="I526" s="142" t="s">
        <v>46</v>
      </c>
      <c r="J526" s="157">
        <v>6</v>
      </c>
      <c r="K526" s="143">
        <v>25</v>
      </c>
      <c r="L526" s="143">
        <f>K526*J526</f>
        <v>150</v>
      </c>
      <c r="M526" s="143">
        <v>0</v>
      </c>
      <c r="N526" s="141">
        <v>45837</v>
      </c>
      <c r="O526" s="157">
        <f>WEEKNUM(N526)</f>
        <v>27</v>
      </c>
      <c r="P526" s="140"/>
      <c r="Q526" s="140" t="s">
        <v>29</v>
      </c>
      <c r="R526" s="143">
        <f>J526*0.25</f>
        <v>1.5</v>
      </c>
      <c r="S526" s="143">
        <f>J526*1</f>
        <v>6</v>
      </c>
      <c r="T526" s="143">
        <f>J526*1.5</f>
        <v>9</v>
      </c>
      <c r="U526" s="143">
        <f>J526*0.5</f>
        <v>3</v>
      </c>
      <c r="V526" s="143">
        <f>R526+S526+T526+U526</f>
        <v>19.5</v>
      </c>
    </row>
    <row r="527" spans="1:22" s="128" customFormat="1" ht="15.6" hidden="1" x14ac:dyDescent="0.3">
      <c r="A527" s="142" t="s">
        <v>491</v>
      </c>
      <c r="B527" s="142">
        <v>1227</v>
      </c>
      <c r="C527" s="141">
        <v>45807</v>
      </c>
      <c r="D527" s="140">
        <f>WEEKNUM(C527)</f>
        <v>22</v>
      </c>
      <c r="E527" s="142" t="s">
        <v>68</v>
      </c>
      <c r="F527" s="142" t="s">
        <v>372</v>
      </c>
      <c r="G527" s="142" t="s">
        <v>408</v>
      </c>
      <c r="H527" s="140" t="s">
        <v>80</v>
      </c>
      <c r="I527" s="142" t="s">
        <v>46</v>
      </c>
      <c r="J527" s="157">
        <v>3</v>
      </c>
      <c r="K527" s="143">
        <v>21</v>
      </c>
      <c r="L527" s="143">
        <f>K527*J527</f>
        <v>63</v>
      </c>
      <c r="M527" s="143">
        <v>0</v>
      </c>
      <c r="N527" s="141">
        <v>45837</v>
      </c>
      <c r="O527" s="157">
        <f>WEEKNUM(N527)</f>
        <v>27</v>
      </c>
      <c r="P527" s="140"/>
      <c r="Q527" s="140" t="s">
        <v>29</v>
      </c>
      <c r="R527" s="156">
        <f>J527*0.25</f>
        <v>0.75</v>
      </c>
      <c r="S527" s="156">
        <f>J527*1</f>
        <v>3</v>
      </c>
      <c r="T527" s="156">
        <f>J527*1.2</f>
        <v>3.5999999999999996</v>
      </c>
      <c r="U527" s="156">
        <f>J527*0.5</f>
        <v>1.5</v>
      </c>
      <c r="V527" s="156">
        <f>R527+S527+T527+U527</f>
        <v>8.85</v>
      </c>
    </row>
    <row r="528" spans="1:22" s="128" customFormat="1" ht="15.6" hidden="1" x14ac:dyDescent="0.3">
      <c r="A528" s="142" t="s">
        <v>491</v>
      </c>
      <c r="B528" s="142">
        <v>1227</v>
      </c>
      <c r="C528" s="141">
        <v>45807</v>
      </c>
      <c r="D528" s="140">
        <f>WEEKNUM(C528)</f>
        <v>22</v>
      </c>
      <c r="E528" s="142" t="s">
        <v>68</v>
      </c>
      <c r="F528" s="142" t="s">
        <v>372</v>
      </c>
      <c r="G528" s="142" t="s">
        <v>505</v>
      </c>
      <c r="H528" s="140" t="s">
        <v>78</v>
      </c>
      <c r="I528" s="142" t="s">
        <v>61</v>
      </c>
      <c r="J528" s="157">
        <v>2</v>
      </c>
      <c r="K528" s="143">
        <v>75</v>
      </c>
      <c r="L528" s="143">
        <f>K528*J528</f>
        <v>150</v>
      </c>
      <c r="M528" s="143">
        <v>0</v>
      </c>
      <c r="N528" s="141">
        <v>45837</v>
      </c>
      <c r="O528" s="157">
        <f>WEEKNUM(N528)</f>
        <v>27</v>
      </c>
      <c r="P528" s="140"/>
      <c r="Q528" s="140" t="s">
        <v>29</v>
      </c>
      <c r="R528" s="143">
        <f>J528*2</f>
        <v>4</v>
      </c>
      <c r="S528" s="143">
        <f>J528*0</f>
        <v>0</v>
      </c>
      <c r="T528" s="143">
        <f>J528*3</f>
        <v>6</v>
      </c>
      <c r="U528" s="143">
        <f>J528*1</f>
        <v>2</v>
      </c>
      <c r="V528" s="143">
        <f>R528+S528+T528+U528</f>
        <v>12</v>
      </c>
    </row>
    <row r="529" spans="1:22" s="128" customFormat="1" ht="15.6" hidden="1" x14ac:dyDescent="0.3">
      <c r="A529" s="142" t="s">
        <v>491</v>
      </c>
      <c r="B529" s="142">
        <v>1227</v>
      </c>
      <c r="C529" s="141">
        <v>45807</v>
      </c>
      <c r="D529" s="140">
        <f>WEEKNUM(C529)</f>
        <v>22</v>
      </c>
      <c r="E529" s="142" t="s">
        <v>68</v>
      </c>
      <c r="F529" s="142" t="s">
        <v>372</v>
      </c>
      <c r="G529" s="140" t="s">
        <v>508</v>
      </c>
      <c r="H529" s="140" t="s">
        <v>78</v>
      </c>
      <c r="I529" s="142" t="s">
        <v>46</v>
      </c>
      <c r="J529" s="157">
        <v>2</v>
      </c>
      <c r="K529" s="143">
        <v>65</v>
      </c>
      <c r="L529" s="143">
        <f>K529*J529</f>
        <v>130</v>
      </c>
      <c r="M529" s="143">
        <v>0</v>
      </c>
      <c r="N529" s="141">
        <v>45837</v>
      </c>
      <c r="O529" s="157">
        <f>WEEKNUM(N529)</f>
        <v>27</v>
      </c>
      <c r="P529" s="140"/>
      <c r="Q529" s="140" t="s">
        <v>29</v>
      </c>
      <c r="R529" s="143">
        <f>J529*1</f>
        <v>2</v>
      </c>
      <c r="S529" s="143">
        <f>J529*0</f>
        <v>0</v>
      </c>
      <c r="T529" s="143">
        <f>J529*3</f>
        <v>6</v>
      </c>
      <c r="U529" s="143">
        <f>J529*1</f>
        <v>2</v>
      </c>
      <c r="V529" s="143">
        <f>R529+S529+T529+U529</f>
        <v>10</v>
      </c>
    </row>
    <row r="530" spans="1:22" s="128" customFormat="1" ht="15.6" hidden="1" x14ac:dyDescent="0.3">
      <c r="A530" s="142" t="s">
        <v>491</v>
      </c>
      <c r="B530" s="142">
        <v>1227</v>
      </c>
      <c r="C530" s="141">
        <v>45807</v>
      </c>
      <c r="D530" s="140">
        <f>WEEKNUM(C530)</f>
        <v>22</v>
      </c>
      <c r="E530" s="142" t="s">
        <v>68</v>
      </c>
      <c r="F530" s="142" t="s">
        <v>372</v>
      </c>
      <c r="G530" s="140" t="s">
        <v>503</v>
      </c>
      <c r="H530" s="142" t="s">
        <v>354</v>
      </c>
      <c r="I530" s="142" t="s">
        <v>46</v>
      </c>
      <c r="J530" s="157">
        <v>6</v>
      </c>
      <c r="K530" s="143">
        <v>36.75</v>
      </c>
      <c r="L530" s="143">
        <f>K530*J530</f>
        <v>220.5</v>
      </c>
      <c r="M530" s="143">
        <v>0</v>
      </c>
      <c r="N530" s="141">
        <v>45837</v>
      </c>
      <c r="O530" s="157">
        <f>WEEKNUM(N530)</f>
        <v>27</v>
      </c>
      <c r="P530" s="140"/>
      <c r="Q530" s="140" t="s">
        <v>29</v>
      </c>
      <c r="R530" s="143">
        <f>J530*0.25</f>
        <v>1.5</v>
      </c>
      <c r="S530" s="143">
        <f>J530*1</f>
        <v>6</v>
      </c>
      <c r="T530" s="143">
        <f>J530*1.5</f>
        <v>9</v>
      </c>
      <c r="U530" s="143">
        <f>J530*0.5</f>
        <v>3</v>
      </c>
      <c r="V530" s="143">
        <f>R530+S530+T530+U530</f>
        <v>19.5</v>
      </c>
    </row>
    <row r="531" spans="1:22" s="128" customFormat="1" ht="15.6" hidden="1" x14ac:dyDescent="0.3">
      <c r="A531" s="142" t="s">
        <v>491</v>
      </c>
      <c r="B531" s="142">
        <v>1227</v>
      </c>
      <c r="C531" s="141">
        <v>45807</v>
      </c>
      <c r="D531" s="140">
        <f>WEEKNUM(C531)</f>
        <v>22</v>
      </c>
      <c r="E531" s="142" t="s">
        <v>68</v>
      </c>
      <c r="F531" s="142" t="s">
        <v>372</v>
      </c>
      <c r="G531" s="142" t="s">
        <v>301</v>
      </c>
      <c r="H531" s="140" t="s">
        <v>74</v>
      </c>
      <c r="I531" s="142" t="s">
        <v>46</v>
      </c>
      <c r="J531" s="157">
        <v>4</v>
      </c>
      <c r="K531" s="143">
        <v>36.75</v>
      </c>
      <c r="L531" s="143">
        <f>K531*J531</f>
        <v>147</v>
      </c>
      <c r="M531" s="143">
        <v>0</v>
      </c>
      <c r="N531" s="141">
        <v>45837</v>
      </c>
      <c r="O531" s="157">
        <f>WEEKNUM(N531)</f>
        <v>27</v>
      </c>
      <c r="P531" s="140"/>
      <c r="Q531" s="140" t="s">
        <v>29</v>
      </c>
      <c r="R531" s="143">
        <f>J531*0.25</f>
        <v>1</v>
      </c>
      <c r="S531" s="143">
        <f>J531*1</f>
        <v>4</v>
      </c>
      <c r="T531" s="143">
        <f>J531*1.5</f>
        <v>6</v>
      </c>
      <c r="U531" s="143">
        <f>J531*0.5</f>
        <v>2</v>
      </c>
      <c r="V531" s="143">
        <f>R531+S531+T531+U531</f>
        <v>13</v>
      </c>
    </row>
    <row r="532" spans="1:22" s="128" customFormat="1" ht="15.6" hidden="1" x14ac:dyDescent="0.3">
      <c r="A532" s="142" t="s">
        <v>477</v>
      </c>
      <c r="B532" s="142">
        <v>802</v>
      </c>
      <c r="C532" s="141">
        <v>45810</v>
      </c>
      <c r="D532" s="140">
        <f>WEEKNUM(C532)</f>
        <v>23</v>
      </c>
      <c r="E532" s="142" t="s">
        <v>498</v>
      </c>
      <c r="F532" s="140" t="s">
        <v>446</v>
      </c>
      <c r="G532" s="142" t="s">
        <v>70</v>
      </c>
      <c r="H532" s="140" t="s">
        <v>74</v>
      </c>
      <c r="I532" s="142" t="s">
        <v>46</v>
      </c>
      <c r="J532" s="157">
        <v>20</v>
      </c>
      <c r="K532" s="143">
        <v>45</v>
      </c>
      <c r="L532" s="143">
        <f>K532*J532</f>
        <v>900</v>
      </c>
      <c r="M532" s="143">
        <v>0</v>
      </c>
      <c r="N532" s="141">
        <v>45820</v>
      </c>
      <c r="O532" s="157">
        <f>WEEKNUM(N532)</f>
        <v>24</v>
      </c>
      <c r="P532" s="140"/>
      <c r="Q532" s="140" t="s">
        <v>29</v>
      </c>
      <c r="R532" s="143">
        <f>J532*0.25</f>
        <v>5</v>
      </c>
      <c r="S532" s="143">
        <f>J532*1</f>
        <v>20</v>
      </c>
      <c r="T532" s="143">
        <f>J532*1.5</f>
        <v>30</v>
      </c>
      <c r="U532" s="143">
        <f>J532*0.5</f>
        <v>10</v>
      </c>
      <c r="V532" s="143">
        <f>R532+S532+T532+U532</f>
        <v>65</v>
      </c>
    </row>
    <row r="533" spans="1:22" s="128" customFormat="1" ht="15.6" hidden="1" x14ac:dyDescent="0.3">
      <c r="A533" s="142" t="s">
        <v>477</v>
      </c>
      <c r="B533" s="142">
        <v>801</v>
      </c>
      <c r="C533" s="141">
        <v>45810</v>
      </c>
      <c r="D533" s="140">
        <f>WEEKNUM(C533)</f>
        <v>23</v>
      </c>
      <c r="E533" s="142" t="s">
        <v>498</v>
      </c>
      <c r="F533" s="140" t="s">
        <v>637</v>
      </c>
      <c r="G533" s="142" t="s">
        <v>487</v>
      </c>
      <c r="H533" s="140" t="s">
        <v>51</v>
      </c>
      <c r="I533" s="142" t="s">
        <v>46</v>
      </c>
      <c r="J533" s="157">
        <v>250</v>
      </c>
      <c r="K533" s="143">
        <v>23.5</v>
      </c>
      <c r="L533" s="143">
        <f>K533*J533</f>
        <v>5875</v>
      </c>
      <c r="M533" s="143">
        <v>0</v>
      </c>
      <c r="N533" s="141">
        <v>45828</v>
      </c>
      <c r="O533" s="157">
        <f>WEEKNUM(N533)</f>
        <v>25</v>
      </c>
      <c r="P533" s="140"/>
      <c r="Q533" s="140" t="s">
        <v>29</v>
      </c>
      <c r="R533" s="143">
        <f>J533*0.25</f>
        <v>62.5</v>
      </c>
      <c r="S533" s="143">
        <f>J533*1</f>
        <v>250</v>
      </c>
      <c r="T533" s="143">
        <f>J533*1.84</f>
        <v>460</v>
      </c>
      <c r="U533" s="143">
        <f>J533*0.5</f>
        <v>125</v>
      </c>
      <c r="V533" s="156">
        <f>SUM(R533:U533)</f>
        <v>897.5</v>
      </c>
    </row>
    <row r="534" spans="1:22" s="128" customFormat="1" ht="15.6" hidden="1" x14ac:dyDescent="0.3">
      <c r="A534" s="142" t="s">
        <v>491</v>
      </c>
      <c r="B534" s="142">
        <v>1229</v>
      </c>
      <c r="C534" s="141">
        <v>45810</v>
      </c>
      <c r="D534" s="140">
        <f>WEEKNUM(C534)</f>
        <v>23</v>
      </c>
      <c r="E534" s="142" t="s">
        <v>68</v>
      </c>
      <c r="F534" s="142" t="s">
        <v>345</v>
      </c>
      <c r="G534" s="142" t="s">
        <v>87</v>
      </c>
      <c r="H534" s="140" t="s">
        <v>74</v>
      </c>
      <c r="I534" s="142" t="s">
        <v>46</v>
      </c>
      <c r="J534" s="157">
        <v>6</v>
      </c>
      <c r="K534" s="143">
        <v>24.5</v>
      </c>
      <c r="L534" s="143">
        <f>K534*J534</f>
        <v>147</v>
      </c>
      <c r="M534" s="143">
        <v>0</v>
      </c>
      <c r="N534" s="141">
        <v>45840</v>
      </c>
      <c r="O534" s="157">
        <f>WEEKNUM(N534)</f>
        <v>27</v>
      </c>
      <c r="P534" s="140"/>
      <c r="Q534" s="140" t="s">
        <v>29</v>
      </c>
      <c r="R534" s="143">
        <f>J534*0.25</f>
        <v>1.5</v>
      </c>
      <c r="S534" s="143">
        <f>J534*1</f>
        <v>6</v>
      </c>
      <c r="T534" s="143">
        <f>J534*1.5</f>
        <v>9</v>
      </c>
      <c r="U534" s="143">
        <f>J534*0.5</f>
        <v>3</v>
      </c>
      <c r="V534" s="143">
        <f>R534+S534+T534+U534</f>
        <v>19.5</v>
      </c>
    </row>
    <row r="535" spans="1:22" s="128" customFormat="1" ht="15.6" hidden="1" x14ac:dyDescent="0.3">
      <c r="A535" s="142" t="s">
        <v>491</v>
      </c>
      <c r="B535" s="142">
        <v>1229</v>
      </c>
      <c r="C535" s="141">
        <v>45810</v>
      </c>
      <c r="D535" s="140">
        <f>WEEKNUM(C535)</f>
        <v>23</v>
      </c>
      <c r="E535" s="142" t="s">
        <v>68</v>
      </c>
      <c r="F535" s="142" t="s">
        <v>345</v>
      </c>
      <c r="G535" s="142" t="s">
        <v>87</v>
      </c>
      <c r="H535" s="140" t="s">
        <v>74</v>
      </c>
      <c r="I535" s="142" t="s">
        <v>46</v>
      </c>
      <c r="J535" s="157">
        <v>4</v>
      </c>
      <c r="K535" s="143">
        <v>37</v>
      </c>
      <c r="L535" s="143">
        <f>K535*J535</f>
        <v>148</v>
      </c>
      <c r="M535" s="143">
        <v>0</v>
      </c>
      <c r="N535" s="141">
        <v>45840</v>
      </c>
      <c r="O535" s="157">
        <f>WEEKNUM(N535)</f>
        <v>27</v>
      </c>
      <c r="P535" s="140"/>
      <c r="Q535" s="140" t="s">
        <v>29</v>
      </c>
      <c r="R535" s="143">
        <f>J535*0.25</f>
        <v>1</v>
      </c>
      <c r="S535" s="143">
        <f>J535*1</f>
        <v>4</v>
      </c>
      <c r="T535" s="143">
        <f>J535*1.5</f>
        <v>6</v>
      </c>
      <c r="U535" s="143">
        <f>J535*0.5</f>
        <v>2</v>
      </c>
      <c r="V535" s="143">
        <f>R535+S535+T535+U535</f>
        <v>13</v>
      </c>
    </row>
    <row r="536" spans="1:22" s="128" customFormat="1" ht="15.6" hidden="1" x14ac:dyDescent="0.3">
      <c r="A536" s="142" t="s">
        <v>491</v>
      </c>
      <c r="B536" s="142">
        <v>1229</v>
      </c>
      <c r="C536" s="141">
        <v>45810</v>
      </c>
      <c r="D536" s="140">
        <f>WEEKNUM(C536)</f>
        <v>23</v>
      </c>
      <c r="E536" s="142" t="s">
        <v>68</v>
      </c>
      <c r="F536" s="142" t="s">
        <v>345</v>
      </c>
      <c r="G536" s="140" t="s">
        <v>356</v>
      </c>
      <c r="H536" s="140" t="s">
        <v>321</v>
      </c>
      <c r="I536" s="142" t="s">
        <v>46</v>
      </c>
      <c r="J536" s="157">
        <v>3</v>
      </c>
      <c r="K536" s="143">
        <v>78</v>
      </c>
      <c r="L536" s="143">
        <f>K536*J536</f>
        <v>234</v>
      </c>
      <c r="M536" s="143">
        <v>0</v>
      </c>
      <c r="N536" s="141">
        <v>45840</v>
      </c>
      <c r="O536" s="157">
        <f>WEEKNUM(N536)</f>
        <v>27</v>
      </c>
      <c r="P536" s="140"/>
      <c r="Q536" s="140" t="s">
        <v>29</v>
      </c>
      <c r="R536" s="156">
        <f>J536*0.25</f>
        <v>0.75</v>
      </c>
      <c r="S536" s="156">
        <f>PRODUCT(1.5,J536)</f>
        <v>4.5</v>
      </c>
      <c r="T536" s="156">
        <f>PRODUCT(1.5,J536)</f>
        <v>4.5</v>
      </c>
      <c r="U536" s="156">
        <f>J536*0.5</f>
        <v>1.5</v>
      </c>
      <c r="V536" s="156">
        <f>R536+S536+T536+U536</f>
        <v>11.25</v>
      </c>
    </row>
    <row r="537" spans="1:22" s="128" customFormat="1" ht="15.6" hidden="1" x14ac:dyDescent="0.3">
      <c r="A537" s="142" t="s">
        <v>491</v>
      </c>
      <c r="B537" s="142">
        <v>1229</v>
      </c>
      <c r="C537" s="141">
        <v>45810</v>
      </c>
      <c r="D537" s="140">
        <f>WEEKNUM(C537)</f>
        <v>23</v>
      </c>
      <c r="E537" s="142" t="s">
        <v>68</v>
      </c>
      <c r="F537" s="142" t="s">
        <v>345</v>
      </c>
      <c r="G537" s="142" t="s">
        <v>311</v>
      </c>
      <c r="H537" s="140" t="s">
        <v>51</v>
      </c>
      <c r="I537" s="142" t="s">
        <v>46</v>
      </c>
      <c r="J537" s="157">
        <v>3</v>
      </c>
      <c r="K537" s="143">
        <v>25</v>
      </c>
      <c r="L537" s="143">
        <f>K537*J537</f>
        <v>75</v>
      </c>
      <c r="M537" s="143">
        <v>0</v>
      </c>
      <c r="N537" s="141">
        <v>45840</v>
      </c>
      <c r="O537" s="157">
        <f>WEEKNUM(N537)</f>
        <v>27</v>
      </c>
      <c r="P537" s="140"/>
      <c r="Q537" s="140" t="s">
        <v>29</v>
      </c>
      <c r="R537" s="143">
        <f>J537*0.25</f>
        <v>0.75</v>
      </c>
      <c r="S537" s="143">
        <f>J537*1</f>
        <v>3</v>
      </c>
      <c r="T537" s="143">
        <f>J537*1.5</f>
        <v>4.5</v>
      </c>
      <c r="U537" s="143">
        <f>J537*0.5</f>
        <v>1.5</v>
      </c>
      <c r="V537" s="143">
        <f>R537+S537+T537+U537</f>
        <v>9.75</v>
      </c>
    </row>
    <row r="538" spans="1:22" s="128" customFormat="1" ht="15.6" hidden="1" x14ac:dyDescent="0.3">
      <c r="A538" s="142" t="s">
        <v>477</v>
      </c>
      <c r="B538" s="142">
        <v>800</v>
      </c>
      <c r="C538" s="141">
        <v>45810</v>
      </c>
      <c r="D538" s="140">
        <f>WEEKNUM(C538)</f>
        <v>23</v>
      </c>
      <c r="E538" s="140" t="s">
        <v>478</v>
      </c>
      <c r="F538" s="140" t="s">
        <v>444</v>
      </c>
      <c r="G538" s="130" t="s">
        <v>638</v>
      </c>
      <c r="H538" s="140" t="s">
        <v>60</v>
      </c>
      <c r="I538" s="142" t="s">
        <v>61</v>
      </c>
      <c r="J538" s="157">
        <v>300</v>
      </c>
      <c r="K538" s="143">
        <v>23</v>
      </c>
      <c r="L538" s="143">
        <f>K538*J538</f>
        <v>6900</v>
      </c>
      <c r="M538" s="143">
        <v>0</v>
      </c>
      <c r="N538" s="141">
        <v>45835</v>
      </c>
      <c r="O538" s="157">
        <f>WEEKNUM(N538)</f>
        <v>26</v>
      </c>
      <c r="P538" s="140"/>
      <c r="Q538" s="140" t="s">
        <v>29</v>
      </c>
      <c r="R538" s="143">
        <f>J538*2</f>
        <v>600</v>
      </c>
      <c r="S538" s="143">
        <f>J538*0.6</f>
        <v>180</v>
      </c>
      <c r="T538" s="143">
        <f>J538*5</f>
        <v>1500</v>
      </c>
      <c r="U538" s="143">
        <f>J538*0.5</f>
        <v>150</v>
      </c>
      <c r="V538" s="143">
        <f>R538+S538+T538+U538</f>
        <v>2430</v>
      </c>
    </row>
    <row r="539" spans="1:22" s="128" customFormat="1" ht="15.6" hidden="1" x14ac:dyDescent="0.3">
      <c r="A539" s="142" t="s">
        <v>477</v>
      </c>
      <c r="B539" s="142">
        <v>805</v>
      </c>
      <c r="C539" s="141">
        <v>45811</v>
      </c>
      <c r="D539" s="140">
        <f>WEEKNUM(C539)</f>
        <v>23</v>
      </c>
      <c r="E539" s="140" t="s">
        <v>475</v>
      </c>
      <c r="F539" s="142" t="s">
        <v>537</v>
      </c>
      <c r="G539" s="142" t="s">
        <v>339</v>
      </c>
      <c r="H539" s="142" t="s">
        <v>340</v>
      </c>
      <c r="I539" s="142" t="s">
        <v>46</v>
      </c>
      <c r="J539" s="157">
        <v>120</v>
      </c>
      <c r="K539" s="143">
        <v>43</v>
      </c>
      <c r="L539" s="143">
        <f>K539*J539</f>
        <v>5160</v>
      </c>
      <c r="M539" s="143">
        <v>0</v>
      </c>
      <c r="N539" s="141">
        <v>45840</v>
      </c>
      <c r="O539" s="157">
        <f>WEEKNUM(N539)</f>
        <v>27</v>
      </c>
      <c r="P539" s="140"/>
      <c r="Q539" s="140" t="s">
        <v>29</v>
      </c>
      <c r="R539" s="143">
        <v>0</v>
      </c>
      <c r="S539" s="143">
        <f>J539*1</f>
        <v>120</v>
      </c>
      <c r="T539" s="143">
        <v>0</v>
      </c>
      <c r="U539" s="143">
        <f>J539*0.5</f>
        <v>60</v>
      </c>
      <c r="V539" s="143">
        <f>R539+S539+T539+U539</f>
        <v>180</v>
      </c>
    </row>
    <row r="540" spans="1:22" s="128" customFormat="1" ht="15.6" hidden="1" x14ac:dyDescent="0.3">
      <c r="A540" s="142" t="s">
        <v>477</v>
      </c>
      <c r="B540" s="142">
        <v>804</v>
      </c>
      <c r="C540" s="141">
        <v>45811</v>
      </c>
      <c r="D540" s="140">
        <f>WEEKNUM(C540)</f>
        <v>23</v>
      </c>
      <c r="E540" s="140" t="s">
        <v>475</v>
      </c>
      <c r="F540" s="142" t="s">
        <v>812</v>
      </c>
      <c r="G540" s="142" t="s">
        <v>218</v>
      </c>
      <c r="H540" s="140" t="s">
        <v>74</v>
      </c>
      <c r="I540" s="142" t="s">
        <v>46</v>
      </c>
      <c r="J540" s="157">
        <v>22</v>
      </c>
      <c r="K540" s="143">
        <v>45</v>
      </c>
      <c r="L540" s="143">
        <f>K540*J540</f>
        <v>990</v>
      </c>
      <c r="M540" s="143">
        <v>0</v>
      </c>
      <c r="N540" s="141">
        <v>45820</v>
      </c>
      <c r="O540" s="157">
        <f>WEEKNUM(N540)</f>
        <v>24</v>
      </c>
      <c r="P540" s="140"/>
      <c r="Q540" s="140" t="s">
        <v>29</v>
      </c>
      <c r="R540" s="143">
        <f>J540*0.25</f>
        <v>5.5</v>
      </c>
      <c r="S540" s="143">
        <f>J540*1</f>
        <v>22</v>
      </c>
      <c r="T540" s="143">
        <f>J540*1.5</f>
        <v>33</v>
      </c>
      <c r="U540" s="143">
        <f>J540*0.5</f>
        <v>11</v>
      </c>
      <c r="V540" s="143">
        <f>R540+S540+T540+U540</f>
        <v>71.5</v>
      </c>
    </row>
    <row r="541" spans="1:22" s="128" customFormat="1" ht="15.6" hidden="1" x14ac:dyDescent="0.3">
      <c r="A541" s="142" t="s">
        <v>477</v>
      </c>
      <c r="B541" s="142">
        <v>806</v>
      </c>
      <c r="C541" s="141">
        <v>45813</v>
      </c>
      <c r="D541" s="140">
        <f>WEEKNUM(C541)</f>
        <v>23</v>
      </c>
      <c r="E541" s="142" t="s">
        <v>498</v>
      </c>
      <c r="F541" s="142" t="s">
        <v>550</v>
      </c>
      <c r="G541" s="142" t="s">
        <v>487</v>
      </c>
      <c r="H541" s="140" t="s">
        <v>51</v>
      </c>
      <c r="I541" s="142" t="s">
        <v>46</v>
      </c>
      <c r="J541" s="157">
        <v>100</v>
      </c>
      <c r="K541" s="143">
        <v>27</v>
      </c>
      <c r="L541" s="143">
        <f>K541*J541</f>
        <v>2700</v>
      </c>
      <c r="M541" s="143">
        <v>0</v>
      </c>
      <c r="N541" s="141">
        <v>45845</v>
      </c>
      <c r="O541" s="157">
        <f>WEEKNUM(N541)</f>
        <v>28</v>
      </c>
      <c r="P541" s="140"/>
      <c r="Q541" s="140" t="s">
        <v>29</v>
      </c>
      <c r="R541" s="143">
        <f>J541*0.25</f>
        <v>25</v>
      </c>
      <c r="S541" s="143">
        <f>J541*1</f>
        <v>100</v>
      </c>
      <c r="T541" s="143">
        <f>J541*1.84</f>
        <v>184</v>
      </c>
      <c r="U541" s="143">
        <f>J541*0.5</f>
        <v>50</v>
      </c>
      <c r="V541" s="156">
        <f>SUM(R541:U541)</f>
        <v>359</v>
      </c>
    </row>
    <row r="542" spans="1:22" s="128" customFormat="1" ht="15.6" hidden="1" x14ac:dyDescent="0.3">
      <c r="A542" s="142" t="s">
        <v>491</v>
      </c>
      <c r="B542" s="142">
        <v>1230</v>
      </c>
      <c r="C542" s="141">
        <v>45813</v>
      </c>
      <c r="D542" s="140">
        <f>WEEKNUM(C542)</f>
        <v>23</v>
      </c>
      <c r="E542" s="142" t="s">
        <v>68</v>
      </c>
      <c r="F542" s="142" t="s">
        <v>329</v>
      </c>
      <c r="G542" s="142" t="s">
        <v>301</v>
      </c>
      <c r="H542" s="140" t="s">
        <v>74</v>
      </c>
      <c r="I542" s="142" t="s">
        <v>46</v>
      </c>
      <c r="J542" s="157">
        <v>3</v>
      </c>
      <c r="K542" s="143">
        <v>36.75</v>
      </c>
      <c r="L542" s="143">
        <f>K542*J542</f>
        <v>110.25</v>
      </c>
      <c r="M542" s="143">
        <v>0</v>
      </c>
      <c r="N542" s="141">
        <v>45843</v>
      </c>
      <c r="O542" s="157">
        <f>WEEKNUM(N542)</f>
        <v>27</v>
      </c>
      <c r="P542" s="140"/>
      <c r="Q542" s="140" t="s">
        <v>29</v>
      </c>
      <c r="R542" s="143">
        <f>J542*0.25</f>
        <v>0.75</v>
      </c>
      <c r="S542" s="143">
        <f>J542*1</f>
        <v>3</v>
      </c>
      <c r="T542" s="143">
        <f>J542*1.5</f>
        <v>4.5</v>
      </c>
      <c r="U542" s="143">
        <f>J542*0.5</f>
        <v>1.5</v>
      </c>
      <c r="V542" s="143">
        <f>R542+S542+T542+U542</f>
        <v>9.75</v>
      </c>
    </row>
    <row r="543" spans="1:22" s="128" customFormat="1" ht="15.6" hidden="1" x14ac:dyDescent="0.3">
      <c r="A543" s="142" t="s">
        <v>491</v>
      </c>
      <c r="B543" s="142">
        <v>1230</v>
      </c>
      <c r="C543" s="141">
        <v>45813</v>
      </c>
      <c r="D543" s="140">
        <f>WEEKNUM(C543)</f>
        <v>23</v>
      </c>
      <c r="E543" s="142" t="s">
        <v>68</v>
      </c>
      <c r="F543" s="142" t="s">
        <v>329</v>
      </c>
      <c r="G543" s="142" t="s">
        <v>311</v>
      </c>
      <c r="H543" s="140" t="s">
        <v>51</v>
      </c>
      <c r="I543" s="142" t="s">
        <v>46</v>
      </c>
      <c r="J543" s="157">
        <v>4</v>
      </c>
      <c r="K543" s="143">
        <v>25</v>
      </c>
      <c r="L543" s="143">
        <f>K543*J543</f>
        <v>100</v>
      </c>
      <c r="M543" s="143">
        <v>0</v>
      </c>
      <c r="N543" s="141">
        <v>45843</v>
      </c>
      <c r="O543" s="157">
        <f>WEEKNUM(N543)</f>
        <v>27</v>
      </c>
      <c r="P543" s="140"/>
      <c r="Q543" s="140" t="s">
        <v>29</v>
      </c>
      <c r="R543" s="143">
        <f>J543*0.25</f>
        <v>1</v>
      </c>
      <c r="S543" s="143">
        <f>J543*1</f>
        <v>4</v>
      </c>
      <c r="T543" s="143">
        <f>J543*1.5</f>
        <v>6</v>
      </c>
      <c r="U543" s="143">
        <f>J543*0.5</f>
        <v>2</v>
      </c>
      <c r="V543" s="143">
        <f>R543+S543+T543+U543</f>
        <v>13</v>
      </c>
    </row>
    <row r="544" spans="1:22" s="128" customFormat="1" ht="15.6" hidden="1" x14ac:dyDescent="0.3">
      <c r="A544" s="142" t="s">
        <v>491</v>
      </c>
      <c r="B544" s="142">
        <v>1230</v>
      </c>
      <c r="C544" s="141">
        <v>45813</v>
      </c>
      <c r="D544" s="140">
        <f>WEEKNUM(C544)</f>
        <v>23</v>
      </c>
      <c r="E544" s="142" t="s">
        <v>68</v>
      </c>
      <c r="F544" s="142" t="s">
        <v>329</v>
      </c>
      <c r="G544" s="142" t="s">
        <v>374</v>
      </c>
      <c r="H544" s="140" t="s">
        <v>74</v>
      </c>
      <c r="I544" s="142" t="s">
        <v>46</v>
      </c>
      <c r="J544" s="157">
        <v>2</v>
      </c>
      <c r="K544" s="143">
        <v>47.5</v>
      </c>
      <c r="L544" s="143">
        <f>K544*J544</f>
        <v>95</v>
      </c>
      <c r="M544" s="143">
        <v>0</v>
      </c>
      <c r="N544" s="141">
        <v>45843</v>
      </c>
      <c r="O544" s="157">
        <f>WEEKNUM(N544)</f>
        <v>27</v>
      </c>
      <c r="P544" s="140"/>
      <c r="Q544" s="140" t="s">
        <v>29</v>
      </c>
      <c r="R544" s="143">
        <f>J544*0.25</f>
        <v>0.5</v>
      </c>
      <c r="S544" s="143">
        <f>J544*1</f>
        <v>2</v>
      </c>
      <c r="T544" s="143">
        <f>J544*1.5</f>
        <v>3</v>
      </c>
      <c r="U544" s="143">
        <f>J544*0.5</f>
        <v>1</v>
      </c>
      <c r="V544" s="143">
        <f>R544+S544+T544+U544</f>
        <v>6.5</v>
      </c>
    </row>
    <row r="545" spans="1:22" s="128" customFormat="1" ht="15.6" hidden="1" x14ac:dyDescent="0.3">
      <c r="A545" s="142" t="s">
        <v>491</v>
      </c>
      <c r="B545" s="142">
        <v>1230</v>
      </c>
      <c r="C545" s="141">
        <v>45813</v>
      </c>
      <c r="D545" s="140">
        <f>WEEKNUM(C545)</f>
        <v>23</v>
      </c>
      <c r="E545" s="142" t="s">
        <v>68</v>
      </c>
      <c r="F545" s="142" t="s">
        <v>329</v>
      </c>
      <c r="G545" s="140" t="s">
        <v>356</v>
      </c>
      <c r="H545" s="140" t="s">
        <v>321</v>
      </c>
      <c r="I545" s="142" t="s">
        <v>46</v>
      </c>
      <c r="J545" s="157">
        <v>1</v>
      </c>
      <c r="K545" s="143">
        <v>85</v>
      </c>
      <c r="L545" s="143">
        <f>K545*J545</f>
        <v>85</v>
      </c>
      <c r="M545" s="143">
        <v>0</v>
      </c>
      <c r="N545" s="141">
        <v>45843</v>
      </c>
      <c r="O545" s="157">
        <f>WEEKNUM(N545)</f>
        <v>27</v>
      </c>
      <c r="P545" s="140"/>
      <c r="Q545" s="140" t="s">
        <v>29</v>
      </c>
      <c r="R545" s="156">
        <f>J545*0.25</f>
        <v>0.25</v>
      </c>
      <c r="S545" s="156">
        <f>PRODUCT(1.5,J545)</f>
        <v>1.5</v>
      </c>
      <c r="T545" s="156">
        <f>PRODUCT(1.5,J545)</f>
        <v>1.5</v>
      </c>
      <c r="U545" s="156">
        <f>J545*0.5</f>
        <v>0.5</v>
      </c>
      <c r="V545" s="156">
        <f>R545+S545+T545+U545</f>
        <v>3.75</v>
      </c>
    </row>
    <row r="546" spans="1:22" s="128" customFormat="1" ht="15.6" hidden="1" x14ac:dyDescent="0.3">
      <c r="A546" s="142" t="s">
        <v>477</v>
      </c>
      <c r="B546" s="142">
        <v>808</v>
      </c>
      <c r="C546" s="141">
        <v>45813</v>
      </c>
      <c r="D546" s="140">
        <f>WEEKNUM(C546)</f>
        <v>23</v>
      </c>
      <c r="E546" s="140" t="s">
        <v>478</v>
      </c>
      <c r="F546" s="142" t="s">
        <v>832</v>
      </c>
      <c r="G546" s="142" t="s">
        <v>837</v>
      </c>
      <c r="H546" s="142" t="s">
        <v>95</v>
      </c>
      <c r="I546" s="142" t="s">
        <v>46</v>
      </c>
      <c r="J546" s="157">
        <v>100</v>
      </c>
      <c r="K546" s="143">
        <v>17</v>
      </c>
      <c r="L546" s="143">
        <f>K546*J546</f>
        <v>1700</v>
      </c>
      <c r="M546" s="143">
        <v>0</v>
      </c>
      <c r="N546" s="141">
        <v>45845</v>
      </c>
      <c r="O546" s="157">
        <f>WEEKNUM(N546)</f>
        <v>28</v>
      </c>
      <c r="P546" s="140"/>
      <c r="Q546" s="140" t="s">
        <v>29</v>
      </c>
      <c r="R546" s="143">
        <f>J546*0.25</f>
        <v>25</v>
      </c>
      <c r="S546" s="143">
        <f>J546*0.5</f>
        <v>50</v>
      </c>
      <c r="T546" s="143">
        <f>J546*0.8</f>
        <v>80</v>
      </c>
      <c r="U546" s="143">
        <f>J546*0.25</f>
        <v>25</v>
      </c>
      <c r="V546" s="143">
        <f>R546+S546+T546+U546</f>
        <v>180</v>
      </c>
    </row>
    <row r="547" spans="1:22" s="128" customFormat="1" ht="15.6" hidden="1" x14ac:dyDescent="0.3">
      <c r="A547" s="142" t="s">
        <v>491</v>
      </c>
      <c r="B547" s="142">
        <v>1231</v>
      </c>
      <c r="C547" s="141">
        <v>45813</v>
      </c>
      <c r="D547" s="140">
        <f>WEEKNUM(C547)</f>
        <v>23</v>
      </c>
      <c r="E547" s="142" t="s">
        <v>68</v>
      </c>
      <c r="F547" s="142" t="s">
        <v>359</v>
      </c>
      <c r="G547" s="142" t="s">
        <v>311</v>
      </c>
      <c r="H547" s="140" t="s">
        <v>51</v>
      </c>
      <c r="I547" s="142" t="s">
        <v>46</v>
      </c>
      <c r="J547" s="157">
        <v>4</v>
      </c>
      <c r="K547" s="143">
        <v>25</v>
      </c>
      <c r="L547" s="143">
        <f>K547*J547</f>
        <v>100</v>
      </c>
      <c r="M547" s="143">
        <v>0</v>
      </c>
      <c r="N547" s="141">
        <v>45843</v>
      </c>
      <c r="O547" s="157">
        <f>WEEKNUM(N547)</f>
        <v>27</v>
      </c>
      <c r="P547" s="140"/>
      <c r="Q547" s="140" t="s">
        <v>29</v>
      </c>
      <c r="R547" s="143">
        <f>J547*0.25</f>
        <v>1</v>
      </c>
      <c r="S547" s="143">
        <f>J547*1</f>
        <v>4</v>
      </c>
      <c r="T547" s="143">
        <f>J547*1.5</f>
        <v>6</v>
      </c>
      <c r="U547" s="143">
        <f>J547*0.5</f>
        <v>2</v>
      </c>
      <c r="V547" s="143">
        <f>R547+S547+T547+U547</f>
        <v>13</v>
      </c>
    </row>
    <row r="548" spans="1:22" s="128" customFormat="1" ht="15.6" hidden="1" x14ac:dyDescent="0.3">
      <c r="A548" s="142" t="s">
        <v>491</v>
      </c>
      <c r="B548" s="142">
        <v>1231</v>
      </c>
      <c r="C548" s="141">
        <v>45813</v>
      </c>
      <c r="D548" s="140">
        <f>WEEKNUM(C548)</f>
        <v>23</v>
      </c>
      <c r="E548" s="142" t="s">
        <v>68</v>
      </c>
      <c r="F548" s="142" t="s">
        <v>359</v>
      </c>
      <c r="G548" s="142" t="s">
        <v>408</v>
      </c>
      <c r="H548" s="140" t="s">
        <v>80</v>
      </c>
      <c r="I548" s="142" t="s">
        <v>46</v>
      </c>
      <c r="J548" s="157">
        <v>4</v>
      </c>
      <c r="K548" s="143">
        <v>21</v>
      </c>
      <c r="L548" s="143">
        <f>K548*J548</f>
        <v>84</v>
      </c>
      <c r="M548" s="143">
        <v>0</v>
      </c>
      <c r="N548" s="141">
        <v>45843</v>
      </c>
      <c r="O548" s="157">
        <f>WEEKNUM(N548)</f>
        <v>27</v>
      </c>
      <c r="P548" s="140"/>
      <c r="Q548" s="140" t="s">
        <v>29</v>
      </c>
      <c r="R548" s="156">
        <f>J548*0.25</f>
        <v>1</v>
      </c>
      <c r="S548" s="156">
        <f>J548*1</f>
        <v>4</v>
      </c>
      <c r="T548" s="156">
        <f>J548*1.2</f>
        <v>4.8</v>
      </c>
      <c r="U548" s="156">
        <f>J548*0.5</f>
        <v>2</v>
      </c>
      <c r="V548" s="156">
        <f>R548+S548+T548+U548</f>
        <v>11.8</v>
      </c>
    </row>
    <row r="549" spans="1:22" s="128" customFormat="1" ht="15.6" hidden="1" x14ac:dyDescent="0.3">
      <c r="A549" s="142" t="s">
        <v>491</v>
      </c>
      <c r="B549" s="142">
        <v>1231</v>
      </c>
      <c r="C549" s="141">
        <v>45813</v>
      </c>
      <c r="D549" s="140">
        <f>WEEKNUM(C549)</f>
        <v>23</v>
      </c>
      <c r="E549" s="142" t="s">
        <v>68</v>
      </c>
      <c r="F549" s="142" t="s">
        <v>359</v>
      </c>
      <c r="G549" s="140" t="s">
        <v>356</v>
      </c>
      <c r="H549" s="140" t="s">
        <v>321</v>
      </c>
      <c r="I549" s="142" t="s">
        <v>46</v>
      </c>
      <c r="J549" s="157">
        <v>2</v>
      </c>
      <c r="K549" s="143">
        <v>78</v>
      </c>
      <c r="L549" s="143">
        <f>K549*J549</f>
        <v>156</v>
      </c>
      <c r="M549" s="143">
        <v>0</v>
      </c>
      <c r="N549" s="141">
        <v>45843</v>
      </c>
      <c r="O549" s="157">
        <f>WEEKNUM(N549)</f>
        <v>27</v>
      </c>
      <c r="P549" s="140"/>
      <c r="Q549" s="140" t="s">
        <v>29</v>
      </c>
      <c r="R549" s="156">
        <f>J549*0.25</f>
        <v>0.5</v>
      </c>
      <c r="S549" s="156">
        <f>PRODUCT(1.5,J549)</f>
        <v>3</v>
      </c>
      <c r="T549" s="156">
        <f>PRODUCT(1.5,J549)</f>
        <v>3</v>
      </c>
      <c r="U549" s="156">
        <f>J549*0.5</f>
        <v>1</v>
      </c>
      <c r="V549" s="156">
        <f>R549+S549+T549+U549</f>
        <v>7.5</v>
      </c>
    </row>
    <row r="550" spans="1:22" s="128" customFormat="1" ht="15.6" hidden="1" x14ac:dyDescent="0.3">
      <c r="A550" s="142" t="s">
        <v>477</v>
      </c>
      <c r="B550" s="142">
        <v>807</v>
      </c>
      <c r="C550" s="141">
        <v>45814</v>
      </c>
      <c r="D550" s="140">
        <f>WEEKNUM(C550)</f>
        <v>23</v>
      </c>
      <c r="E550" s="142" t="s">
        <v>498</v>
      </c>
      <c r="F550" s="140" t="s">
        <v>446</v>
      </c>
      <c r="G550" s="142" t="s">
        <v>70</v>
      </c>
      <c r="H550" s="140" t="s">
        <v>74</v>
      </c>
      <c r="I550" s="142" t="s">
        <v>46</v>
      </c>
      <c r="J550" s="157">
        <v>199</v>
      </c>
      <c r="K550" s="143">
        <v>28</v>
      </c>
      <c r="L550" s="143">
        <f>K550*J550</f>
        <v>5572</v>
      </c>
      <c r="M550" s="143">
        <v>0</v>
      </c>
      <c r="N550" s="141">
        <v>45845</v>
      </c>
      <c r="O550" s="157">
        <f>WEEKNUM(N550)</f>
        <v>28</v>
      </c>
      <c r="P550" s="140"/>
      <c r="Q550" s="140" t="s">
        <v>29</v>
      </c>
      <c r="R550" s="143">
        <f>J550*0.25</f>
        <v>49.75</v>
      </c>
      <c r="S550" s="143">
        <f>J550*1</f>
        <v>199</v>
      </c>
      <c r="T550" s="143">
        <f>J550*1.5</f>
        <v>298.5</v>
      </c>
      <c r="U550" s="143">
        <f>J550*0.5</f>
        <v>99.5</v>
      </c>
      <c r="V550" s="143">
        <f>R550+S550+T550+U550</f>
        <v>646.75</v>
      </c>
    </row>
    <row r="551" spans="1:22" s="128" customFormat="1" ht="15.6" hidden="1" x14ac:dyDescent="0.3">
      <c r="A551" s="142" t="s">
        <v>477</v>
      </c>
      <c r="B551" s="142">
        <v>817</v>
      </c>
      <c r="C551" s="141">
        <v>45814</v>
      </c>
      <c r="D551" s="140">
        <f>WEEKNUM(C551)</f>
        <v>23</v>
      </c>
      <c r="E551" s="142" t="s">
        <v>498</v>
      </c>
      <c r="F551" s="140" t="s">
        <v>637</v>
      </c>
      <c r="G551" s="142" t="s">
        <v>559</v>
      </c>
      <c r="H551" s="142" t="s">
        <v>38</v>
      </c>
      <c r="I551" s="142" t="s">
        <v>46</v>
      </c>
      <c r="J551" s="157">
        <v>50</v>
      </c>
      <c r="K551" s="143">
        <v>50</v>
      </c>
      <c r="L551" s="143">
        <f>K551*J551</f>
        <v>2500</v>
      </c>
      <c r="M551" s="143">
        <v>0</v>
      </c>
      <c r="N551" s="141">
        <v>45849</v>
      </c>
      <c r="O551" s="157">
        <f>WEEKNUM(N551)</f>
        <v>28</v>
      </c>
      <c r="P551" s="140"/>
      <c r="Q551" s="140" t="s">
        <v>29</v>
      </c>
      <c r="R551" s="143">
        <f>J551*0.25</f>
        <v>12.5</v>
      </c>
      <c r="S551" s="143">
        <f>J551*1</f>
        <v>50</v>
      </c>
      <c r="T551" s="143">
        <f>J551*10</f>
        <v>500</v>
      </c>
      <c r="U551" s="143">
        <f>J551*0.5</f>
        <v>25</v>
      </c>
      <c r="V551" s="156">
        <f>SUM(R551:U551)</f>
        <v>587.5</v>
      </c>
    </row>
    <row r="552" spans="1:22" s="128" customFormat="1" ht="15.6" hidden="1" x14ac:dyDescent="0.3">
      <c r="A552" s="142" t="s">
        <v>477</v>
      </c>
      <c r="B552" s="142">
        <v>181</v>
      </c>
      <c r="C552" s="141">
        <v>45817</v>
      </c>
      <c r="D552" s="140">
        <f>WEEKNUM(C552)</f>
        <v>24</v>
      </c>
      <c r="E552" s="142" t="s">
        <v>498</v>
      </c>
      <c r="F552" s="140" t="s">
        <v>446</v>
      </c>
      <c r="G552" s="142" t="s">
        <v>155</v>
      </c>
      <c r="H552" s="140" t="s">
        <v>51</v>
      </c>
      <c r="I552" s="142" t="s">
        <v>46</v>
      </c>
      <c r="J552" s="157">
        <v>2500</v>
      </c>
      <c r="K552" s="143">
        <v>23.5</v>
      </c>
      <c r="L552" s="143">
        <f>K552*J552</f>
        <v>58750</v>
      </c>
      <c r="M552" s="143">
        <v>0</v>
      </c>
      <c r="N552" s="141">
        <v>45842</v>
      </c>
      <c r="O552" s="157">
        <f>WEEKNUM(N552)</f>
        <v>27</v>
      </c>
      <c r="P552" s="140"/>
      <c r="Q552" s="140" t="s">
        <v>29</v>
      </c>
      <c r="R552" s="143">
        <f>J552*0.25</f>
        <v>625</v>
      </c>
      <c r="S552" s="143">
        <f>J552*1</f>
        <v>2500</v>
      </c>
      <c r="T552" s="143">
        <f>J552*1.84</f>
        <v>4600</v>
      </c>
      <c r="U552" s="143">
        <f>J552*0.5</f>
        <v>1250</v>
      </c>
      <c r="V552" s="156">
        <f>SUM(R552:U552)</f>
        <v>8975</v>
      </c>
    </row>
    <row r="553" spans="1:22" s="128" customFormat="1" ht="15.6" hidden="1" x14ac:dyDescent="0.3">
      <c r="A553" s="142" t="s">
        <v>477</v>
      </c>
      <c r="B553" s="142">
        <v>809</v>
      </c>
      <c r="C553" s="141">
        <v>45817</v>
      </c>
      <c r="D553" s="140">
        <f>WEEKNUM(C553)</f>
        <v>24</v>
      </c>
      <c r="E553" s="142" t="s">
        <v>498</v>
      </c>
      <c r="F553" s="142" t="s">
        <v>647</v>
      </c>
      <c r="G553" s="142" t="s">
        <v>648</v>
      </c>
      <c r="H553" s="140" t="s">
        <v>51</v>
      </c>
      <c r="I553" s="142" t="s">
        <v>46</v>
      </c>
      <c r="J553" s="157">
        <v>150</v>
      </c>
      <c r="K553" s="143">
        <v>23</v>
      </c>
      <c r="L553" s="143">
        <f>K553*J553</f>
        <v>3450</v>
      </c>
      <c r="M553" s="143">
        <v>0</v>
      </c>
      <c r="N553" s="141">
        <v>45846</v>
      </c>
      <c r="O553" s="157">
        <f>WEEKNUM(N553)</f>
        <v>28</v>
      </c>
      <c r="P553" s="140"/>
      <c r="Q553" s="140" t="s">
        <v>29</v>
      </c>
      <c r="R553" s="143">
        <f>J553*0.25</f>
        <v>37.5</v>
      </c>
      <c r="S553" s="143">
        <f>J553*1</f>
        <v>150</v>
      </c>
      <c r="T553" s="143">
        <f>J553*1.84</f>
        <v>276</v>
      </c>
      <c r="U553" s="143">
        <f>J553*0.5</f>
        <v>75</v>
      </c>
      <c r="V553" s="156">
        <f>SUM(R553:U553)</f>
        <v>538.5</v>
      </c>
    </row>
    <row r="554" spans="1:22" s="128" customFormat="1" ht="15.6" hidden="1" x14ac:dyDescent="0.3">
      <c r="A554" s="142" t="s">
        <v>477</v>
      </c>
      <c r="B554" s="142">
        <v>810</v>
      </c>
      <c r="C554" s="141">
        <v>45817</v>
      </c>
      <c r="D554" s="140">
        <f>WEEKNUM(C554)</f>
        <v>24</v>
      </c>
      <c r="E554" s="140" t="s">
        <v>475</v>
      </c>
      <c r="F554" s="142" t="s">
        <v>700</v>
      </c>
      <c r="G554" s="142" t="s">
        <v>701</v>
      </c>
      <c r="H554" s="140" t="s">
        <v>494</v>
      </c>
      <c r="I554" s="142" t="s">
        <v>46</v>
      </c>
      <c r="J554" s="157">
        <v>300</v>
      </c>
      <c r="K554" s="143">
        <v>24.5</v>
      </c>
      <c r="L554" s="143">
        <f>K554*J554</f>
        <v>7350</v>
      </c>
      <c r="M554" s="143">
        <v>0</v>
      </c>
      <c r="N554" s="141">
        <v>45846</v>
      </c>
      <c r="O554" s="157">
        <f>WEEKNUM(N554)</f>
        <v>28</v>
      </c>
      <c r="P554" s="140"/>
      <c r="Q554" s="140" t="s">
        <v>29</v>
      </c>
      <c r="R554" s="143">
        <f>J554*0.25</f>
        <v>75</v>
      </c>
      <c r="S554" s="143">
        <f>J554*1</f>
        <v>300</v>
      </c>
      <c r="T554" s="143">
        <f>J554*1.5</f>
        <v>450</v>
      </c>
      <c r="U554" s="143">
        <f>J554*0.5</f>
        <v>150</v>
      </c>
      <c r="V554" s="143">
        <f>R554+S554+T554+U554</f>
        <v>975</v>
      </c>
    </row>
    <row r="555" spans="1:22" s="128" customFormat="1" ht="15.6" hidden="1" x14ac:dyDescent="0.3">
      <c r="A555" s="142" t="s">
        <v>477</v>
      </c>
      <c r="B555" s="142">
        <v>810</v>
      </c>
      <c r="C555" s="141">
        <v>45817</v>
      </c>
      <c r="D555" s="140">
        <f>WEEKNUM(C555)</f>
        <v>24</v>
      </c>
      <c r="E555" s="140" t="s">
        <v>475</v>
      </c>
      <c r="F555" s="142" t="s">
        <v>700</v>
      </c>
      <c r="G555" s="142" t="s">
        <v>702</v>
      </c>
      <c r="H555" s="142" t="s">
        <v>555</v>
      </c>
      <c r="I555" s="142" t="s">
        <v>61</v>
      </c>
      <c r="J555" s="157">
        <v>300</v>
      </c>
      <c r="K555" s="143">
        <v>27.5</v>
      </c>
      <c r="L555" s="143">
        <f>K555*J555</f>
        <v>8250</v>
      </c>
      <c r="M555" s="143">
        <v>0</v>
      </c>
      <c r="N555" s="141">
        <v>45846</v>
      </c>
      <c r="O555" s="157">
        <f>WEEKNUM(N555)</f>
        <v>28</v>
      </c>
      <c r="P555" s="140"/>
      <c r="Q555" s="140" t="s">
        <v>29</v>
      </c>
      <c r="R555" s="143">
        <f>J555*0.25</f>
        <v>75</v>
      </c>
      <c r="S555" s="143">
        <f>J555*1.5</f>
        <v>450</v>
      </c>
      <c r="T555" s="143">
        <f>J555*5.27</f>
        <v>1580.9999999999998</v>
      </c>
      <c r="U555" s="143">
        <f>J555*0.5</f>
        <v>150</v>
      </c>
      <c r="V555" s="156">
        <f>SUM(R555:U555)</f>
        <v>2256</v>
      </c>
    </row>
    <row r="556" spans="1:22" s="128" customFormat="1" ht="15.6" hidden="1" x14ac:dyDescent="0.3">
      <c r="A556" s="142" t="s">
        <v>477</v>
      </c>
      <c r="B556" s="142">
        <v>815</v>
      </c>
      <c r="C556" s="141">
        <v>45818</v>
      </c>
      <c r="D556" s="140">
        <f>WEEKNUM(C556)</f>
        <v>24</v>
      </c>
      <c r="E556" s="140" t="s">
        <v>475</v>
      </c>
      <c r="F556" s="142" t="s">
        <v>628</v>
      </c>
      <c r="G556" s="142" t="s">
        <v>218</v>
      </c>
      <c r="H556" s="140" t="s">
        <v>74</v>
      </c>
      <c r="I556" s="142" t="s">
        <v>46</v>
      </c>
      <c r="J556" s="157">
        <v>250</v>
      </c>
      <c r="K556" s="143">
        <v>25</v>
      </c>
      <c r="L556" s="143">
        <f>K556*J556</f>
        <v>6250</v>
      </c>
      <c r="M556" s="143">
        <v>0</v>
      </c>
      <c r="N556" s="141">
        <v>45848</v>
      </c>
      <c r="O556" s="157">
        <f>WEEKNUM(N556)</f>
        <v>28</v>
      </c>
      <c r="P556" s="140"/>
      <c r="Q556" s="140" t="s">
        <v>29</v>
      </c>
      <c r="R556" s="143">
        <f>J556*0.25</f>
        <v>62.5</v>
      </c>
      <c r="S556" s="143">
        <f>J556*1</f>
        <v>250</v>
      </c>
      <c r="T556" s="143">
        <f>J556*1.5</f>
        <v>375</v>
      </c>
      <c r="U556" s="143">
        <f>J556*0.5</f>
        <v>125</v>
      </c>
      <c r="V556" s="143">
        <f>R556+S556+T556+U556</f>
        <v>812.5</v>
      </c>
    </row>
    <row r="557" spans="1:22" s="128" customFormat="1" ht="15.6" hidden="1" x14ac:dyDescent="0.3">
      <c r="A557" s="142" t="s">
        <v>477</v>
      </c>
      <c r="B557" s="142">
        <v>815</v>
      </c>
      <c r="C557" s="141">
        <v>45818</v>
      </c>
      <c r="D557" s="140">
        <f>WEEKNUM(C557)</f>
        <v>24</v>
      </c>
      <c r="E557" s="140" t="s">
        <v>475</v>
      </c>
      <c r="F557" s="142" t="s">
        <v>628</v>
      </c>
      <c r="G557" s="142" t="s">
        <v>629</v>
      </c>
      <c r="H557" s="142" t="s">
        <v>304</v>
      </c>
      <c r="I557" s="142" t="s">
        <v>46</v>
      </c>
      <c r="J557" s="157">
        <v>250</v>
      </c>
      <c r="K557" s="143">
        <v>18.5</v>
      </c>
      <c r="L557" s="143">
        <f>K557*J557</f>
        <v>4625</v>
      </c>
      <c r="M557" s="143">
        <v>0</v>
      </c>
      <c r="N557" s="141">
        <v>45848</v>
      </c>
      <c r="O557" s="157">
        <f>WEEKNUM(N557)</f>
        <v>28</v>
      </c>
      <c r="P557" s="140"/>
      <c r="Q557" s="140" t="s">
        <v>29</v>
      </c>
      <c r="R557" s="143">
        <f>J557*0.25</f>
        <v>62.5</v>
      </c>
      <c r="S557" s="143">
        <f>J557*1</f>
        <v>250</v>
      </c>
      <c r="T557" s="143">
        <f>J557*1</f>
        <v>250</v>
      </c>
      <c r="U557" s="143">
        <f>J557*0.5</f>
        <v>125</v>
      </c>
      <c r="V557" s="156">
        <f>SUM(R557:U557)</f>
        <v>687.5</v>
      </c>
    </row>
    <row r="558" spans="1:22" s="128" customFormat="1" ht="15.6" hidden="1" x14ac:dyDescent="0.3">
      <c r="A558" s="142" t="s">
        <v>477</v>
      </c>
      <c r="B558" s="142">
        <v>815</v>
      </c>
      <c r="C558" s="141">
        <v>45818</v>
      </c>
      <c r="D558" s="140">
        <f>WEEKNUM(C558)</f>
        <v>24</v>
      </c>
      <c r="E558" s="140" t="s">
        <v>475</v>
      </c>
      <c r="F558" s="142" t="s">
        <v>628</v>
      </c>
      <c r="G558" s="142" t="s">
        <v>630</v>
      </c>
      <c r="H558" s="142" t="s">
        <v>555</v>
      </c>
      <c r="I558" s="142" t="s">
        <v>46</v>
      </c>
      <c r="J558" s="157">
        <v>50</v>
      </c>
      <c r="K558" s="143">
        <v>25</v>
      </c>
      <c r="L558" s="143">
        <f>K558*J558</f>
        <v>1250</v>
      </c>
      <c r="M558" s="143">
        <v>0</v>
      </c>
      <c r="N558" s="141">
        <v>45848</v>
      </c>
      <c r="O558" s="157">
        <f>WEEKNUM(N558)</f>
        <v>28</v>
      </c>
      <c r="P558" s="140"/>
      <c r="Q558" s="140" t="s">
        <v>29</v>
      </c>
      <c r="R558" s="143">
        <f>J558*0.25</f>
        <v>12.5</v>
      </c>
      <c r="S558" s="143">
        <f>J558*1.5</f>
        <v>75</v>
      </c>
      <c r="T558" s="143">
        <f>J558*5.27</f>
        <v>263.5</v>
      </c>
      <c r="U558" s="143">
        <f>J558*0.5</f>
        <v>25</v>
      </c>
      <c r="V558" s="156">
        <f>SUM(R558:U558)</f>
        <v>376</v>
      </c>
    </row>
    <row r="559" spans="1:22" s="128" customFormat="1" ht="15.6" hidden="1" x14ac:dyDescent="0.3">
      <c r="A559" s="142" t="s">
        <v>477</v>
      </c>
      <c r="B559" s="142">
        <v>2</v>
      </c>
      <c r="C559" s="141">
        <v>45818</v>
      </c>
      <c r="D559" s="140">
        <f>WEEKNUM(C559)</f>
        <v>24</v>
      </c>
      <c r="E559" s="140" t="s">
        <v>475</v>
      </c>
      <c r="F559" s="142" t="s">
        <v>794</v>
      </c>
      <c r="G559" s="142" t="s">
        <v>796</v>
      </c>
      <c r="H559" s="140" t="s">
        <v>51</v>
      </c>
      <c r="I559" s="142" t="s">
        <v>61</v>
      </c>
      <c r="J559" s="157">
        <v>200</v>
      </c>
      <c r="K559" s="143">
        <v>34</v>
      </c>
      <c r="L559" s="143">
        <f>K559*J559</f>
        <v>6800</v>
      </c>
      <c r="M559" s="143">
        <v>0</v>
      </c>
      <c r="N559" s="141">
        <v>45847</v>
      </c>
      <c r="O559" s="157">
        <f>WEEKNUM(N559)</f>
        <v>28</v>
      </c>
      <c r="P559" s="140"/>
      <c r="Q559" s="140" t="s">
        <v>29</v>
      </c>
      <c r="R559" s="143">
        <f>J559*0.25</f>
        <v>50</v>
      </c>
      <c r="S559" s="143">
        <f>J559*1</f>
        <v>200</v>
      </c>
      <c r="T559" s="143">
        <f>J559*1.5</f>
        <v>300</v>
      </c>
      <c r="U559" s="143">
        <f>J559*0.5</f>
        <v>100</v>
      </c>
      <c r="V559" s="143">
        <f>R559+S559+T559+U559</f>
        <v>650</v>
      </c>
    </row>
    <row r="560" spans="1:22" s="128" customFormat="1" ht="15.6" hidden="1" x14ac:dyDescent="0.3">
      <c r="A560" s="142" t="s">
        <v>477</v>
      </c>
      <c r="B560" s="142">
        <v>2</v>
      </c>
      <c r="C560" s="141">
        <v>45818</v>
      </c>
      <c r="D560" s="140">
        <f>WEEKNUM(C560)</f>
        <v>24</v>
      </c>
      <c r="E560" s="140" t="s">
        <v>475</v>
      </c>
      <c r="F560" s="142" t="s">
        <v>794</v>
      </c>
      <c r="G560" s="142" t="s">
        <v>646</v>
      </c>
      <c r="H560" s="140" t="s">
        <v>494</v>
      </c>
      <c r="I560" s="142" t="s">
        <v>46</v>
      </c>
      <c r="J560" s="157">
        <v>100</v>
      </c>
      <c r="K560" s="143">
        <v>27.5</v>
      </c>
      <c r="L560" s="143">
        <f>K560*J560</f>
        <v>2750</v>
      </c>
      <c r="M560" s="143">
        <v>0</v>
      </c>
      <c r="N560" s="141">
        <v>45847</v>
      </c>
      <c r="O560" s="157">
        <f>WEEKNUM(N560)</f>
        <v>28</v>
      </c>
      <c r="P560" s="140"/>
      <c r="Q560" s="140" t="s">
        <v>29</v>
      </c>
      <c r="R560" s="143">
        <f>J560*0.25</f>
        <v>25</v>
      </c>
      <c r="S560" s="143">
        <f>J560*1</f>
        <v>100</v>
      </c>
      <c r="T560" s="143">
        <f>J560*1.5</f>
        <v>150</v>
      </c>
      <c r="U560" s="143">
        <f>J560*0.5</f>
        <v>50</v>
      </c>
      <c r="V560" s="143">
        <f>R560+S560+T560+U560</f>
        <v>325</v>
      </c>
    </row>
    <row r="561" spans="1:22" s="128" customFormat="1" ht="15.6" hidden="1" x14ac:dyDescent="0.3">
      <c r="A561" s="142" t="s">
        <v>477</v>
      </c>
      <c r="B561" s="142">
        <v>3</v>
      </c>
      <c r="C561" s="141">
        <v>45818</v>
      </c>
      <c r="D561" s="140">
        <f>WEEKNUM(C561)</f>
        <v>24</v>
      </c>
      <c r="E561" s="140" t="s">
        <v>475</v>
      </c>
      <c r="F561" s="142" t="s">
        <v>794</v>
      </c>
      <c r="G561" s="142" t="s">
        <v>646</v>
      </c>
      <c r="H561" s="140" t="s">
        <v>494</v>
      </c>
      <c r="I561" s="142" t="s">
        <v>46</v>
      </c>
      <c r="J561" s="157">
        <v>100</v>
      </c>
      <c r="K561" s="143">
        <v>27.5</v>
      </c>
      <c r="L561" s="143">
        <f>K561*J561</f>
        <v>2750</v>
      </c>
      <c r="M561" s="143">
        <v>0</v>
      </c>
      <c r="N561" s="141">
        <v>45847</v>
      </c>
      <c r="O561" s="157">
        <f>WEEKNUM(N561)</f>
        <v>28</v>
      </c>
      <c r="P561" s="140"/>
      <c r="Q561" s="140" t="s">
        <v>29</v>
      </c>
      <c r="R561" s="143">
        <f>J561*0.25</f>
        <v>25</v>
      </c>
      <c r="S561" s="143">
        <f>J561*1</f>
        <v>100</v>
      </c>
      <c r="T561" s="143">
        <f>J561*1.5</f>
        <v>150</v>
      </c>
      <c r="U561" s="143">
        <f>J561*0.5</f>
        <v>50</v>
      </c>
      <c r="V561" s="143">
        <f>R561+S561+T561+U561</f>
        <v>325</v>
      </c>
    </row>
    <row r="562" spans="1:22" s="128" customFormat="1" ht="15.6" hidden="1" x14ac:dyDescent="0.3">
      <c r="A562" s="142" t="s">
        <v>477</v>
      </c>
      <c r="B562" s="142">
        <v>4</v>
      </c>
      <c r="C562" s="141">
        <v>45818</v>
      </c>
      <c r="D562" s="140">
        <f>WEEKNUM(C562)</f>
        <v>24</v>
      </c>
      <c r="E562" s="140" t="s">
        <v>475</v>
      </c>
      <c r="F562" s="142" t="s">
        <v>794</v>
      </c>
      <c r="G562" s="142" t="s">
        <v>796</v>
      </c>
      <c r="H562" s="140" t="s">
        <v>51</v>
      </c>
      <c r="I562" s="142" t="s">
        <v>61</v>
      </c>
      <c r="J562" s="157">
        <v>196</v>
      </c>
      <c r="K562" s="143">
        <v>34</v>
      </c>
      <c r="L562" s="143">
        <f>K562*J562</f>
        <v>6664</v>
      </c>
      <c r="M562" s="143">
        <v>0</v>
      </c>
      <c r="N562" s="141">
        <v>45888</v>
      </c>
      <c r="O562" s="157">
        <f>WEEKNUM(N562)</f>
        <v>34</v>
      </c>
      <c r="P562" s="142"/>
      <c r="Q562" s="140" t="s">
        <v>29</v>
      </c>
      <c r="R562" s="143">
        <f>J562*0.25</f>
        <v>49</v>
      </c>
      <c r="S562" s="143">
        <f>J562*1</f>
        <v>196</v>
      </c>
      <c r="T562" s="143">
        <f>J562*1.5</f>
        <v>294</v>
      </c>
      <c r="U562" s="143">
        <f>J562*0.5</f>
        <v>98</v>
      </c>
      <c r="V562" s="143">
        <f>R562+S562+T562+U562</f>
        <v>637</v>
      </c>
    </row>
    <row r="563" spans="1:22" s="128" customFormat="1" ht="15.6" hidden="1" x14ac:dyDescent="0.3">
      <c r="A563" s="142" t="s">
        <v>477</v>
      </c>
      <c r="B563" s="142">
        <v>5</v>
      </c>
      <c r="C563" s="141">
        <v>45818</v>
      </c>
      <c r="D563" s="140">
        <f>WEEKNUM(C563)</f>
        <v>24</v>
      </c>
      <c r="E563" s="140" t="s">
        <v>475</v>
      </c>
      <c r="F563" s="142" t="s">
        <v>794</v>
      </c>
      <c r="G563" s="142" t="s">
        <v>646</v>
      </c>
      <c r="H563" s="140" t="s">
        <v>494</v>
      </c>
      <c r="I563" s="142" t="s">
        <v>46</v>
      </c>
      <c r="J563" s="157">
        <v>15</v>
      </c>
      <c r="K563" s="143">
        <v>27.5</v>
      </c>
      <c r="L563" s="143">
        <f>K563*J563</f>
        <v>412.5</v>
      </c>
      <c r="M563" s="143">
        <v>0</v>
      </c>
      <c r="N563" s="141">
        <v>45847</v>
      </c>
      <c r="O563" s="157">
        <f>WEEKNUM(N563)</f>
        <v>28</v>
      </c>
      <c r="P563" s="140"/>
      <c r="Q563" s="140" t="s">
        <v>29</v>
      </c>
      <c r="R563" s="143">
        <f>J563*0.25</f>
        <v>3.75</v>
      </c>
      <c r="S563" s="143">
        <f>J563*1</f>
        <v>15</v>
      </c>
      <c r="T563" s="143">
        <f>J563*1.5</f>
        <v>22.5</v>
      </c>
      <c r="U563" s="143">
        <f>J563*0.5</f>
        <v>7.5</v>
      </c>
      <c r="V563" s="143">
        <f>R563+S563+T563+U563</f>
        <v>48.75</v>
      </c>
    </row>
    <row r="564" spans="1:22" s="128" customFormat="1" ht="15.6" hidden="1" x14ac:dyDescent="0.3">
      <c r="A564" s="142" t="s">
        <v>477</v>
      </c>
      <c r="B564" s="142">
        <v>813</v>
      </c>
      <c r="C564" s="141">
        <v>45818</v>
      </c>
      <c r="D564" s="140">
        <f>WEEKNUM(C564)</f>
        <v>24</v>
      </c>
      <c r="E564" s="140" t="s">
        <v>475</v>
      </c>
      <c r="F564" s="140" t="s">
        <v>809</v>
      </c>
      <c r="G564" s="142" t="s">
        <v>506</v>
      </c>
      <c r="H564" s="140" t="s">
        <v>74</v>
      </c>
      <c r="I564" s="142" t="s">
        <v>46</v>
      </c>
      <c r="J564" s="157">
        <v>120</v>
      </c>
      <c r="K564" s="143">
        <v>24.5</v>
      </c>
      <c r="L564" s="143">
        <f>K564*J564</f>
        <v>2940</v>
      </c>
      <c r="M564" s="143">
        <v>0</v>
      </c>
      <c r="N564" s="141">
        <v>45846</v>
      </c>
      <c r="O564" s="157">
        <f>WEEKNUM(N564)</f>
        <v>28</v>
      </c>
      <c r="P564" s="140"/>
      <c r="Q564" s="140" t="s">
        <v>29</v>
      </c>
      <c r="R564" s="143">
        <f>J564*0.25</f>
        <v>30</v>
      </c>
      <c r="S564" s="143">
        <f>J564*1</f>
        <v>120</v>
      </c>
      <c r="T564" s="143">
        <f>J564*1.5</f>
        <v>180</v>
      </c>
      <c r="U564" s="143">
        <f>J564*0.5</f>
        <v>60</v>
      </c>
      <c r="V564" s="143">
        <f>R564+S564+T564+U564</f>
        <v>390</v>
      </c>
    </row>
    <row r="565" spans="1:22" s="128" customFormat="1" ht="15.6" hidden="1" x14ac:dyDescent="0.3">
      <c r="A565" s="142" t="s">
        <v>477</v>
      </c>
      <c r="B565" s="142">
        <v>814</v>
      </c>
      <c r="C565" s="141">
        <v>45818</v>
      </c>
      <c r="D565" s="140">
        <f>WEEKNUM(C565)</f>
        <v>24</v>
      </c>
      <c r="E565" s="140" t="s">
        <v>475</v>
      </c>
      <c r="F565" s="140" t="s">
        <v>809</v>
      </c>
      <c r="G565" s="142" t="s">
        <v>630</v>
      </c>
      <c r="H565" s="142" t="s">
        <v>555</v>
      </c>
      <c r="I565" s="142" t="s">
        <v>46</v>
      </c>
      <c r="J565" s="157">
        <v>200</v>
      </c>
      <c r="K565" s="143">
        <v>24.5</v>
      </c>
      <c r="L565" s="143">
        <f>K565*J565</f>
        <v>4900</v>
      </c>
      <c r="M565" s="143">
        <v>0</v>
      </c>
      <c r="N565" s="141">
        <v>45846</v>
      </c>
      <c r="O565" s="157">
        <f>WEEKNUM(N565)</f>
        <v>28</v>
      </c>
      <c r="P565" s="140"/>
      <c r="Q565" s="140" t="s">
        <v>29</v>
      </c>
      <c r="R565" s="143">
        <f>J565*0.25</f>
        <v>50</v>
      </c>
      <c r="S565" s="143">
        <f>J565*1.5</f>
        <v>300</v>
      </c>
      <c r="T565" s="143">
        <f>J565*5.27</f>
        <v>1054</v>
      </c>
      <c r="U565" s="143">
        <f>J565*0.5</f>
        <v>100</v>
      </c>
      <c r="V565" s="156">
        <f>SUM(R565:U565)</f>
        <v>1504</v>
      </c>
    </row>
    <row r="566" spans="1:22" s="128" customFormat="1" ht="15.6" hidden="1" x14ac:dyDescent="0.3">
      <c r="A566" s="142" t="s">
        <v>477</v>
      </c>
      <c r="B566" s="142">
        <v>814</v>
      </c>
      <c r="C566" s="141">
        <v>45818</v>
      </c>
      <c r="D566" s="140">
        <f>WEEKNUM(C566)</f>
        <v>24</v>
      </c>
      <c r="E566" s="140" t="s">
        <v>475</v>
      </c>
      <c r="F566" s="140" t="s">
        <v>809</v>
      </c>
      <c r="G566" s="142" t="s">
        <v>311</v>
      </c>
      <c r="H566" s="140" t="s">
        <v>51</v>
      </c>
      <c r="I566" s="142" t="s">
        <v>46</v>
      </c>
      <c r="J566" s="157">
        <v>200</v>
      </c>
      <c r="K566" s="143">
        <v>14</v>
      </c>
      <c r="L566" s="143">
        <f>K566*J566</f>
        <v>2800</v>
      </c>
      <c r="M566" s="143">
        <v>0</v>
      </c>
      <c r="N566" s="141">
        <v>45846</v>
      </c>
      <c r="O566" s="157">
        <f>WEEKNUM(N566)</f>
        <v>28</v>
      </c>
      <c r="P566" s="140"/>
      <c r="Q566" s="140" t="s">
        <v>29</v>
      </c>
      <c r="R566" s="143">
        <f>J566*0.25</f>
        <v>50</v>
      </c>
      <c r="S566" s="143">
        <f>J566*1</f>
        <v>200</v>
      </c>
      <c r="T566" s="143">
        <f>J566*1.5</f>
        <v>300</v>
      </c>
      <c r="U566" s="143">
        <f>J566*0.5</f>
        <v>100</v>
      </c>
      <c r="V566" s="143">
        <f>R566+S566+T566+U566</f>
        <v>650</v>
      </c>
    </row>
    <row r="567" spans="1:22" s="128" customFormat="1" ht="15.6" hidden="1" x14ac:dyDescent="0.3">
      <c r="A567" s="142" t="s">
        <v>477</v>
      </c>
      <c r="B567" s="142">
        <v>814</v>
      </c>
      <c r="C567" s="141">
        <v>45818</v>
      </c>
      <c r="D567" s="140">
        <f>WEEKNUM(C567)</f>
        <v>24</v>
      </c>
      <c r="E567" s="140" t="s">
        <v>475</v>
      </c>
      <c r="F567" s="140" t="s">
        <v>809</v>
      </c>
      <c r="G567" s="142" t="s">
        <v>506</v>
      </c>
      <c r="H567" s="140" t="s">
        <v>74</v>
      </c>
      <c r="I567" s="142" t="s">
        <v>46</v>
      </c>
      <c r="J567" s="157">
        <v>200</v>
      </c>
      <c r="K567" s="143">
        <v>24.5</v>
      </c>
      <c r="L567" s="143">
        <f>K567*J567</f>
        <v>4900</v>
      </c>
      <c r="M567" s="143">
        <v>0</v>
      </c>
      <c r="N567" s="141">
        <v>45846</v>
      </c>
      <c r="O567" s="157">
        <f>WEEKNUM(N567)</f>
        <v>28</v>
      </c>
      <c r="P567" s="140"/>
      <c r="Q567" s="140" t="s">
        <v>29</v>
      </c>
      <c r="R567" s="143">
        <f>J567*0.25</f>
        <v>50</v>
      </c>
      <c r="S567" s="143">
        <f>J567*1</f>
        <v>200</v>
      </c>
      <c r="T567" s="143">
        <f>J567*1.5</f>
        <v>300</v>
      </c>
      <c r="U567" s="143">
        <f>J567*0.5</f>
        <v>100</v>
      </c>
      <c r="V567" s="143">
        <f>R567+S567+T567+U567</f>
        <v>650</v>
      </c>
    </row>
    <row r="568" spans="1:22" s="128" customFormat="1" ht="15.6" hidden="1" x14ac:dyDescent="0.3">
      <c r="A568" s="142" t="s">
        <v>477</v>
      </c>
      <c r="B568" s="142">
        <v>811</v>
      </c>
      <c r="C568" s="141">
        <v>45818</v>
      </c>
      <c r="D568" s="140">
        <f>WEEKNUM(C568)</f>
        <v>24</v>
      </c>
      <c r="E568" s="142" t="s">
        <v>498</v>
      </c>
      <c r="F568" s="140" t="s">
        <v>883</v>
      </c>
      <c r="G568" s="142" t="s">
        <v>559</v>
      </c>
      <c r="H568" s="142" t="s">
        <v>38</v>
      </c>
      <c r="I568" s="142" t="s">
        <v>46</v>
      </c>
      <c r="J568" s="157">
        <v>200</v>
      </c>
      <c r="K568" s="143">
        <v>50</v>
      </c>
      <c r="L568" s="143">
        <f>K568*J568</f>
        <v>10000</v>
      </c>
      <c r="M568" s="143">
        <v>0</v>
      </c>
      <c r="N568" s="141">
        <v>45847</v>
      </c>
      <c r="O568" s="157">
        <f>WEEKNUM(N568)</f>
        <v>28</v>
      </c>
      <c r="P568" s="140"/>
      <c r="Q568" s="140" t="s">
        <v>29</v>
      </c>
      <c r="R568" s="143">
        <f>J568*0.25</f>
        <v>50</v>
      </c>
      <c r="S568" s="143">
        <f>J568*1</f>
        <v>200</v>
      </c>
      <c r="T568" s="143">
        <f>J568*10</f>
        <v>2000</v>
      </c>
      <c r="U568" s="143">
        <f>J568*0.5</f>
        <v>100</v>
      </c>
      <c r="V568" s="156">
        <f>SUM(R568:U568)</f>
        <v>2350</v>
      </c>
    </row>
    <row r="569" spans="1:22" s="128" customFormat="1" ht="15.6" hidden="1" x14ac:dyDescent="0.3">
      <c r="A569" s="132" t="s">
        <v>509</v>
      </c>
      <c r="B569" s="132">
        <v>183</v>
      </c>
      <c r="C569" s="131">
        <v>45818</v>
      </c>
      <c r="D569" s="140">
        <f>WEEKNUM(C569)</f>
        <v>24</v>
      </c>
      <c r="E569" s="132" t="s">
        <v>68</v>
      </c>
      <c r="F569" s="130" t="s">
        <v>373</v>
      </c>
      <c r="G569" s="142" t="s">
        <v>311</v>
      </c>
      <c r="H569" s="132" t="s">
        <v>51</v>
      </c>
      <c r="I569" s="132" t="s">
        <v>46</v>
      </c>
      <c r="J569" s="132">
        <v>3</v>
      </c>
      <c r="K569" s="133">
        <v>25</v>
      </c>
      <c r="L569" s="133">
        <f>K569*J569</f>
        <v>75</v>
      </c>
      <c r="M569" s="143">
        <v>0</v>
      </c>
      <c r="N569" s="131">
        <v>45818</v>
      </c>
      <c r="O569" s="157">
        <f>WEEKNUM(N569)</f>
        <v>24</v>
      </c>
      <c r="P569" s="130"/>
      <c r="Q569" s="140" t="s">
        <v>29</v>
      </c>
      <c r="R569" s="133"/>
      <c r="S569" s="133"/>
      <c r="T569" s="133"/>
      <c r="U569" s="133"/>
      <c r="V569" s="133"/>
    </row>
    <row r="570" spans="1:22" s="128" customFormat="1" ht="15.6" hidden="1" x14ac:dyDescent="0.3">
      <c r="A570" s="132" t="s">
        <v>509</v>
      </c>
      <c r="B570" s="132">
        <v>183</v>
      </c>
      <c r="C570" s="131">
        <v>45818</v>
      </c>
      <c r="D570" s="140">
        <f>WEEKNUM(C570)</f>
        <v>24</v>
      </c>
      <c r="E570" s="132" t="s">
        <v>68</v>
      </c>
      <c r="F570" s="130" t="s">
        <v>373</v>
      </c>
      <c r="G570" s="140" t="s">
        <v>508</v>
      </c>
      <c r="H570" s="132" t="s">
        <v>190</v>
      </c>
      <c r="I570" s="132" t="s">
        <v>46</v>
      </c>
      <c r="J570" s="132">
        <v>1</v>
      </c>
      <c r="K570" s="133">
        <v>65</v>
      </c>
      <c r="L570" s="133">
        <f>K570*J570</f>
        <v>65</v>
      </c>
      <c r="M570" s="143">
        <v>0</v>
      </c>
      <c r="N570" s="131">
        <v>45818</v>
      </c>
      <c r="O570" s="157">
        <f>WEEKNUM(N570)</f>
        <v>24</v>
      </c>
      <c r="P570" s="130"/>
      <c r="Q570" s="140" t="s">
        <v>29</v>
      </c>
      <c r="R570" s="133"/>
      <c r="S570" s="133"/>
      <c r="T570" s="133"/>
      <c r="U570" s="133"/>
      <c r="V570" s="133"/>
    </row>
    <row r="571" spans="1:22" s="128" customFormat="1" ht="15.6" hidden="1" x14ac:dyDescent="0.3">
      <c r="A571" s="132" t="s">
        <v>509</v>
      </c>
      <c r="B571" s="132">
        <v>183</v>
      </c>
      <c r="C571" s="131">
        <v>45818</v>
      </c>
      <c r="D571" s="140">
        <f>WEEKNUM(C571)</f>
        <v>24</v>
      </c>
      <c r="E571" s="132" t="s">
        <v>68</v>
      </c>
      <c r="F571" s="130" t="s">
        <v>373</v>
      </c>
      <c r="G571" s="142" t="s">
        <v>408</v>
      </c>
      <c r="H571" s="132" t="s">
        <v>80</v>
      </c>
      <c r="I571" s="132" t="s">
        <v>46</v>
      </c>
      <c r="J571" s="132">
        <v>3</v>
      </c>
      <c r="K571" s="133">
        <v>21</v>
      </c>
      <c r="L571" s="133">
        <f>K571*J571</f>
        <v>63</v>
      </c>
      <c r="M571" s="143">
        <v>0</v>
      </c>
      <c r="N571" s="131">
        <v>45818</v>
      </c>
      <c r="O571" s="157">
        <f>WEEKNUM(N571)</f>
        <v>24</v>
      </c>
      <c r="P571" s="130"/>
      <c r="Q571" s="140" t="s">
        <v>29</v>
      </c>
      <c r="R571" s="133"/>
      <c r="S571" s="133"/>
      <c r="T571" s="133"/>
      <c r="U571" s="133"/>
      <c r="V571" s="133"/>
    </row>
    <row r="572" spans="1:22" s="128" customFormat="1" ht="15.6" hidden="1" x14ac:dyDescent="0.3">
      <c r="A572" s="132" t="s">
        <v>509</v>
      </c>
      <c r="B572" s="132">
        <v>183</v>
      </c>
      <c r="C572" s="131">
        <v>45818</v>
      </c>
      <c r="D572" s="140">
        <f>WEEKNUM(C572)</f>
        <v>24</v>
      </c>
      <c r="E572" s="132" t="s">
        <v>68</v>
      </c>
      <c r="F572" s="130" t="s">
        <v>373</v>
      </c>
      <c r="G572" s="132" t="s">
        <v>356</v>
      </c>
      <c r="H572" s="132" t="s">
        <v>321</v>
      </c>
      <c r="I572" s="132" t="s">
        <v>46</v>
      </c>
      <c r="J572" s="132">
        <v>2</v>
      </c>
      <c r="K572" s="133">
        <v>85</v>
      </c>
      <c r="L572" s="133">
        <f>K572*J572</f>
        <v>170</v>
      </c>
      <c r="M572" s="143">
        <v>0</v>
      </c>
      <c r="N572" s="131">
        <v>45818</v>
      </c>
      <c r="O572" s="157">
        <f>WEEKNUM(N572)</f>
        <v>24</v>
      </c>
      <c r="P572" s="130"/>
      <c r="Q572" s="140" t="s">
        <v>29</v>
      </c>
      <c r="R572" s="133"/>
      <c r="S572" s="133"/>
      <c r="T572" s="133"/>
      <c r="U572" s="133"/>
      <c r="V572" s="133"/>
    </row>
    <row r="573" spans="1:22" s="128" customFormat="1" ht="15.6" hidden="1" x14ac:dyDescent="0.3">
      <c r="A573" s="132" t="s">
        <v>509</v>
      </c>
      <c r="B573" s="132">
        <v>183</v>
      </c>
      <c r="C573" s="131">
        <v>45818</v>
      </c>
      <c r="D573" s="140">
        <f>WEEKNUM(C573)</f>
        <v>24</v>
      </c>
      <c r="E573" s="132" t="s">
        <v>68</v>
      </c>
      <c r="F573" s="130" t="s">
        <v>373</v>
      </c>
      <c r="G573" s="132" t="s">
        <v>374</v>
      </c>
      <c r="H573" s="132" t="s">
        <v>74</v>
      </c>
      <c r="I573" s="132" t="s">
        <v>46</v>
      </c>
      <c r="J573" s="132">
        <v>4</v>
      </c>
      <c r="K573" s="133">
        <v>47.5</v>
      </c>
      <c r="L573" s="133">
        <f>K573*J573</f>
        <v>190</v>
      </c>
      <c r="M573" s="143">
        <v>0</v>
      </c>
      <c r="N573" s="131">
        <v>45818</v>
      </c>
      <c r="O573" s="157">
        <f>WEEKNUM(N573)</f>
        <v>24</v>
      </c>
      <c r="P573" s="130"/>
      <c r="Q573" s="140" t="s">
        <v>29</v>
      </c>
      <c r="R573" s="133"/>
      <c r="S573" s="133"/>
      <c r="T573" s="133"/>
      <c r="U573" s="133"/>
      <c r="V573" s="133"/>
    </row>
    <row r="574" spans="1:22" s="128" customFormat="1" ht="15.6" hidden="1" x14ac:dyDescent="0.3">
      <c r="A574" s="132" t="s">
        <v>509</v>
      </c>
      <c r="B574" s="132">
        <v>183</v>
      </c>
      <c r="C574" s="131">
        <v>45818</v>
      </c>
      <c r="D574" s="140">
        <f>WEEKNUM(C574)</f>
        <v>24</v>
      </c>
      <c r="E574" s="132" t="s">
        <v>68</v>
      </c>
      <c r="F574" s="130" t="s">
        <v>373</v>
      </c>
      <c r="G574" s="142" t="s">
        <v>505</v>
      </c>
      <c r="H574" s="132" t="s">
        <v>190</v>
      </c>
      <c r="I574" s="142" t="s">
        <v>61</v>
      </c>
      <c r="J574" s="132">
        <v>1</v>
      </c>
      <c r="K574" s="133">
        <v>75</v>
      </c>
      <c r="L574" s="133">
        <f>K574*J574</f>
        <v>75</v>
      </c>
      <c r="M574" s="143">
        <v>0</v>
      </c>
      <c r="N574" s="131">
        <v>45818</v>
      </c>
      <c r="O574" s="157">
        <f>WEEKNUM(N574)</f>
        <v>24</v>
      </c>
      <c r="P574" s="130"/>
      <c r="Q574" s="140" t="s">
        <v>29</v>
      </c>
      <c r="R574" s="133"/>
      <c r="S574" s="133"/>
      <c r="T574" s="133"/>
      <c r="U574" s="133"/>
      <c r="V574" s="133"/>
    </row>
    <row r="575" spans="1:22" s="128" customFormat="1" ht="15.6" hidden="1" x14ac:dyDescent="0.3">
      <c r="A575" s="142" t="s">
        <v>477</v>
      </c>
      <c r="B575" s="142">
        <v>820</v>
      </c>
      <c r="C575" s="141">
        <v>45819</v>
      </c>
      <c r="D575" s="140">
        <f>WEEKNUM(C575)</f>
        <v>24</v>
      </c>
      <c r="E575" s="140" t="s">
        <v>475</v>
      </c>
      <c r="F575" s="142" t="s">
        <v>700</v>
      </c>
      <c r="G575" s="142" t="s">
        <v>703</v>
      </c>
      <c r="H575" s="140" t="s">
        <v>494</v>
      </c>
      <c r="I575" s="142" t="s">
        <v>46</v>
      </c>
      <c r="J575" s="157">
        <v>100</v>
      </c>
      <c r="K575" s="143">
        <v>28</v>
      </c>
      <c r="L575" s="143">
        <f>K575*J575</f>
        <v>2800</v>
      </c>
      <c r="M575" s="143">
        <v>0</v>
      </c>
      <c r="N575" s="141">
        <v>45849</v>
      </c>
      <c r="O575" s="157">
        <f>WEEKNUM(N575)</f>
        <v>28</v>
      </c>
      <c r="P575" s="140"/>
      <c r="Q575" s="140" t="s">
        <v>29</v>
      </c>
      <c r="R575" s="143">
        <f>J575*0.25</f>
        <v>25</v>
      </c>
      <c r="S575" s="143">
        <f>J575*1</f>
        <v>100</v>
      </c>
      <c r="T575" s="143">
        <f>J575*1.5</f>
        <v>150</v>
      </c>
      <c r="U575" s="143">
        <f>J575*0.5</f>
        <v>50</v>
      </c>
      <c r="V575" s="143">
        <f>R575+S575+T575+U575</f>
        <v>325</v>
      </c>
    </row>
    <row r="576" spans="1:22" s="128" customFormat="1" ht="15.6" hidden="1" x14ac:dyDescent="0.3">
      <c r="A576" s="142" t="s">
        <v>477</v>
      </c>
      <c r="B576" s="142">
        <v>819</v>
      </c>
      <c r="C576" s="141">
        <v>45819</v>
      </c>
      <c r="D576" s="140">
        <f>WEEKNUM(C576)</f>
        <v>24</v>
      </c>
      <c r="E576" s="140" t="s">
        <v>475</v>
      </c>
      <c r="F576" s="142" t="s">
        <v>748</v>
      </c>
      <c r="G576" s="140" t="s">
        <v>658</v>
      </c>
      <c r="H576" s="142" t="s">
        <v>304</v>
      </c>
      <c r="I576" s="142" t="s">
        <v>46</v>
      </c>
      <c r="J576" s="157">
        <v>300</v>
      </c>
      <c r="K576" s="143">
        <v>9.6</v>
      </c>
      <c r="L576" s="143">
        <f>K576*J576</f>
        <v>2880</v>
      </c>
      <c r="M576" s="143">
        <v>0</v>
      </c>
      <c r="N576" s="141">
        <v>45849</v>
      </c>
      <c r="O576" s="157">
        <f>WEEKNUM(N576)</f>
        <v>28</v>
      </c>
      <c r="P576" s="140"/>
      <c r="Q576" s="140" t="s">
        <v>29</v>
      </c>
      <c r="R576" s="143">
        <f>J576*0.25</f>
        <v>75</v>
      </c>
      <c r="S576" s="143">
        <f>J576*1</f>
        <v>300</v>
      </c>
      <c r="T576" s="143">
        <f>J576*1.5</f>
        <v>450</v>
      </c>
      <c r="U576" s="143">
        <f>J576*0.5</f>
        <v>150</v>
      </c>
      <c r="V576" s="143">
        <f>R576+S576+T576+U576</f>
        <v>975</v>
      </c>
    </row>
    <row r="577" spans="1:22" s="128" customFormat="1" ht="15.6" hidden="1" x14ac:dyDescent="0.3">
      <c r="A577" s="142" t="s">
        <v>477</v>
      </c>
      <c r="B577" s="142">
        <v>816</v>
      </c>
      <c r="C577" s="141">
        <v>45819</v>
      </c>
      <c r="D577" s="140">
        <f>WEEKNUM(C577)</f>
        <v>24</v>
      </c>
      <c r="E577" s="140" t="s">
        <v>475</v>
      </c>
      <c r="F577" s="140" t="s">
        <v>809</v>
      </c>
      <c r="G577" s="142" t="s">
        <v>506</v>
      </c>
      <c r="H577" s="140" t="s">
        <v>74</v>
      </c>
      <c r="I577" s="142" t="s">
        <v>46</v>
      </c>
      <c r="J577" s="157">
        <v>100</v>
      </c>
      <c r="K577" s="143">
        <v>24.5</v>
      </c>
      <c r="L577" s="143">
        <f>K577*J577</f>
        <v>2450</v>
      </c>
      <c r="M577" s="143">
        <v>0</v>
      </c>
      <c r="N577" s="141">
        <v>45847</v>
      </c>
      <c r="O577" s="157">
        <f>WEEKNUM(N577)</f>
        <v>28</v>
      </c>
      <c r="P577" s="140"/>
      <c r="Q577" s="140" t="s">
        <v>29</v>
      </c>
      <c r="R577" s="143">
        <f>J577*0.25</f>
        <v>25</v>
      </c>
      <c r="S577" s="143">
        <f>J577*1</f>
        <v>100</v>
      </c>
      <c r="T577" s="143">
        <f>J577*1.5</f>
        <v>150</v>
      </c>
      <c r="U577" s="143">
        <f>J577*0.5</f>
        <v>50</v>
      </c>
      <c r="V577" s="143">
        <f>R577+S577+T577+U577</f>
        <v>325</v>
      </c>
    </row>
    <row r="578" spans="1:22" s="128" customFormat="1" ht="15.6" hidden="1" x14ac:dyDescent="0.3">
      <c r="A578" s="142" t="s">
        <v>477</v>
      </c>
      <c r="B578" s="142">
        <v>816</v>
      </c>
      <c r="C578" s="141">
        <v>45819</v>
      </c>
      <c r="D578" s="140">
        <f>WEEKNUM(C578)</f>
        <v>24</v>
      </c>
      <c r="E578" s="140" t="s">
        <v>475</v>
      </c>
      <c r="F578" s="140" t="s">
        <v>809</v>
      </c>
      <c r="G578" s="142" t="s">
        <v>681</v>
      </c>
      <c r="H578" s="140" t="s">
        <v>494</v>
      </c>
      <c r="I578" s="142" t="s">
        <v>46</v>
      </c>
      <c r="J578" s="157">
        <v>100</v>
      </c>
      <c r="K578" s="143">
        <v>24.5</v>
      </c>
      <c r="L578" s="143">
        <f>K578*J578</f>
        <v>2450</v>
      </c>
      <c r="M578" s="143">
        <v>0</v>
      </c>
      <c r="N578" s="141">
        <v>45847</v>
      </c>
      <c r="O578" s="157">
        <f>WEEKNUM(N578)</f>
        <v>28</v>
      </c>
      <c r="P578" s="140"/>
      <c r="Q578" s="140" t="s">
        <v>29</v>
      </c>
      <c r="R578" s="143">
        <f>J578*0.25</f>
        <v>25</v>
      </c>
      <c r="S578" s="143">
        <f>J578*1</f>
        <v>100</v>
      </c>
      <c r="T578" s="143">
        <f>J578*1.5</f>
        <v>150</v>
      </c>
      <c r="U578" s="143">
        <f>J578*0.5</f>
        <v>50</v>
      </c>
      <c r="V578" s="143">
        <f>R578+S578+T578+U578</f>
        <v>325</v>
      </c>
    </row>
    <row r="579" spans="1:22" s="128" customFormat="1" ht="15.6" hidden="1" x14ac:dyDescent="0.3">
      <c r="A579" s="142" t="s">
        <v>491</v>
      </c>
      <c r="B579" s="142">
        <v>1233</v>
      </c>
      <c r="C579" s="141">
        <v>45819</v>
      </c>
      <c r="D579" s="140">
        <f>WEEKNUM(C579)</f>
        <v>24</v>
      </c>
      <c r="E579" s="142" t="s">
        <v>68</v>
      </c>
      <c r="F579" s="195" t="s">
        <v>337</v>
      </c>
      <c r="G579" s="140" t="s">
        <v>503</v>
      </c>
      <c r="H579" s="142" t="s">
        <v>354</v>
      </c>
      <c r="I579" s="142" t="s">
        <v>46</v>
      </c>
      <c r="J579" s="157">
        <v>12</v>
      </c>
      <c r="K579" s="143">
        <v>36.75</v>
      </c>
      <c r="L579" s="143">
        <f>K579*J579</f>
        <v>441</v>
      </c>
      <c r="M579" s="143">
        <v>0</v>
      </c>
      <c r="N579" s="141">
        <v>45841</v>
      </c>
      <c r="O579" s="157">
        <f>WEEKNUM(N579)</f>
        <v>27</v>
      </c>
      <c r="P579" s="140"/>
      <c r="Q579" s="140" t="s">
        <v>29</v>
      </c>
      <c r="R579" s="143">
        <f>J579*0.25</f>
        <v>3</v>
      </c>
      <c r="S579" s="143">
        <f>J579*1</f>
        <v>12</v>
      </c>
      <c r="T579" s="143">
        <f>J579*1.5</f>
        <v>18</v>
      </c>
      <c r="U579" s="143">
        <f>J579*0.5</f>
        <v>6</v>
      </c>
      <c r="V579" s="143">
        <f>R579+S579+T579+U579</f>
        <v>39</v>
      </c>
    </row>
    <row r="580" spans="1:22" s="128" customFormat="1" ht="15.6" hidden="1" x14ac:dyDescent="0.3">
      <c r="A580" s="142" t="s">
        <v>491</v>
      </c>
      <c r="B580" s="142">
        <v>1233</v>
      </c>
      <c r="C580" s="141">
        <v>45819</v>
      </c>
      <c r="D580" s="140">
        <f>WEEKNUM(C580)</f>
        <v>24</v>
      </c>
      <c r="E580" s="142" t="s">
        <v>68</v>
      </c>
      <c r="F580" s="195" t="s">
        <v>337</v>
      </c>
      <c r="G580" s="142" t="s">
        <v>301</v>
      </c>
      <c r="H580" s="140" t="s">
        <v>74</v>
      </c>
      <c r="I580" s="142" t="s">
        <v>46</v>
      </c>
      <c r="J580" s="157">
        <v>2</v>
      </c>
      <c r="K580" s="143">
        <v>36.75</v>
      </c>
      <c r="L580" s="143">
        <f>K580*J580</f>
        <v>73.5</v>
      </c>
      <c r="M580" s="143">
        <v>0</v>
      </c>
      <c r="N580" s="141">
        <v>45841</v>
      </c>
      <c r="O580" s="157">
        <f>WEEKNUM(N580)</f>
        <v>27</v>
      </c>
      <c r="P580" s="140"/>
      <c r="Q580" s="140" t="s">
        <v>29</v>
      </c>
      <c r="R580" s="143">
        <f>J580*0.25</f>
        <v>0.5</v>
      </c>
      <c r="S580" s="143">
        <f>J580*1</f>
        <v>2</v>
      </c>
      <c r="T580" s="143">
        <f>J580*1.5</f>
        <v>3</v>
      </c>
      <c r="U580" s="143">
        <f>J580*0.5</f>
        <v>1</v>
      </c>
      <c r="V580" s="143">
        <f>R580+S580+T580+U580</f>
        <v>6.5</v>
      </c>
    </row>
    <row r="581" spans="1:22" s="128" customFormat="1" ht="15.6" hidden="1" x14ac:dyDescent="0.3">
      <c r="A581" s="142" t="s">
        <v>491</v>
      </c>
      <c r="B581" s="142">
        <v>1233</v>
      </c>
      <c r="C581" s="141">
        <v>45819</v>
      </c>
      <c r="D581" s="140">
        <f>WEEKNUM(C581)</f>
        <v>24</v>
      </c>
      <c r="E581" s="142" t="s">
        <v>68</v>
      </c>
      <c r="F581" s="195" t="s">
        <v>337</v>
      </c>
      <c r="G581" s="142" t="s">
        <v>311</v>
      </c>
      <c r="H581" s="140" t="s">
        <v>51</v>
      </c>
      <c r="I581" s="142" t="s">
        <v>46</v>
      </c>
      <c r="J581" s="157">
        <v>10</v>
      </c>
      <c r="K581" s="143">
        <v>25</v>
      </c>
      <c r="L581" s="143">
        <f>K581*J581</f>
        <v>250</v>
      </c>
      <c r="M581" s="143">
        <v>0</v>
      </c>
      <c r="N581" s="141">
        <v>45841</v>
      </c>
      <c r="O581" s="157">
        <f>WEEKNUM(N581)</f>
        <v>27</v>
      </c>
      <c r="P581" s="140"/>
      <c r="Q581" s="140" t="s">
        <v>29</v>
      </c>
      <c r="R581" s="143">
        <f>J581*0.25</f>
        <v>2.5</v>
      </c>
      <c r="S581" s="143">
        <f>J581*1</f>
        <v>10</v>
      </c>
      <c r="T581" s="143">
        <f>J581*1.5</f>
        <v>15</v>
      </c>
      <c r="U581" s="143">
        <f>J581*0.5</f>
        <v>5</v>
      </c>
      <c r="V581" s="143">
        <f>R581+S581+T581+U581</f>
        <v>32.5</v>
      </c>
    </row>
    <row r="582" spans="1:22" s="128" customFormat="1" ht="15.6" hidden="1" x14ac:dyDescent="0.3">
      <c r="A582" s="142" t="s">
        <v>491</v>
      </c>
      <c r="B582" s="142">
        <v>1233</v>
      </c>
      <c r="C582" s="141">
        <v>45819</v>
      </c>
      <c r="D582" s="140">
        <f>WEEKNUM(C582)</f>
        <v>24</v>
      </c>
      <c r="E582" s="142" t="s">
        <v>68</v>
      </c>
      <c r="F582" s="195" t="s">
        <v>337</v>
      </c>
      <c r="G582" s="142" t="s">
        <v>408</v>
      </c>
      <c r="H582" s="140" t="s">
        <v>80</v>
      </c>
      <c r="I582" s="142" t="s">
        <v>46</v>
      </c>
      <c r="J582" s="157">
        <v>3</v>
      </c>
      <c r="K582" s="143">
        <v>21</v>
      </c>
      <c r="L582" s="143">
        <f>K582*J582</f>
        <v>63</v>
      </c>
      <c r="M582" s="143">
        <v>0</v>
      </c>
      <c r="N582" s="141">
        <v>45841</v>
      </c>
      <c r="O582" s="157">
        <f>WEEKNUM(N582)</f>
        <v>27</v>
      </c>
      <c r="P582" s="140"/>
      <c r="Q582" s="140" t="s">
        <v>29</v>
      </c>
      <c r="R582" s="156">
        <f>J582*0.25</f>
        <v>0.75</v>
      </c>
      <c r="S582" s="156">
        <f>J582*1</f>
        <v>3</v>
      </c>
      <c r="T582" s="156">
        <f>J582*1.2</f>
        <v>3.5999999999999996</v>
      </c>
      <c r="U582" s="156">
        <f>J582*0.5</f>
        <v>1.5</v>
      </c>
      <c r="V582" s="156">
        <f>R582+S582+T582+U582</f>
        <v>8.85</v>
      </c>
    </row>
    <row r="583" spans="1:22" s="128" customFormat="1" ht="15.6" hidden="1" x14ac:dyDescent="0.3">
      <c r="A583" s="142" t="s">
        <v>491</v>
      </c>
      <c r="B583" s="142">
        <v>1234</v>
      </c>
      <c r="C583" s="141">
        <v>45824</v>
      </c>
      <c r="D583" s="140">
        <f>WEEKNUM(C583)</f>
        <v>25</v>
      </c>
      <c r="E583" s="142" t="s">
        <v>68</v>
      </c>
      <c r="F583" s="142" t="s">
        <v>375</v>
      </c>
      <c r="G583" s="142" t="s">
        <v>374</v>
      </c>
      <c r="H583" s="140" t="s">
        <v>74</v>
      </c>
      <c r="I583" s="142" t="s">
        <v>46</v>
      </c>
      <c r="J583" s="157">
        <v>12</v>
      </c>
      <c r="K583" s="143">
        <v>47.5</v>
      </c>
      <c r="L583" s="143">
        <f>K583*J583</f>
        <v>570</v>
      </c>
      <c r="M583" s="143">
        <v>0</v>
      </c>
      <c r="N583" s="141">
        <v>45854</v>
      </c>
      <c r="O583" s="157">
        <f>WEEKNUM(N583)</f>
        <v>29</v>
      </c>
      <c r="P583" s="140"/>
      <c r="Q583" s="140" t="s">
        <v>29</v>
      </c>
      <c r="R583" s="143">
        <f>J583*0.25</f>
        <v>3</v>
      </c>
      <c r="S583" s="143">
        <f>J583*1</f>
        <v>12</v>
      </c>
      <c r="T583" s="143">
        <f>J583*1.5</f>
        <v>18</v>
      </c>
      <c r="U583" s="143">
        <f>J583*0.5</f>
        <v>6</v>
      </c>
      <c r="V583" s="143">
        <f>R583+S583+T583+U583</f>
        <v>39</v>
      </c>
    </row>
    <row r="584" spans="1:22" s="128" customFormat="1" ht="15.6" hidden="1" x14ac:dyDescent="0.3">
      <c r="A584" s="142" t="s">
        <v>491</v>
      </c>
      <c r="B584" s="142">
        <v>1234</v>
      </c>
      <c r="C584" s="141">
        <v>45824</v>
      </c>
      <c r="D584" s="140">
        <f>WEEKNUM(C584)</f>
        <v>25</v>
      </c>
      <c r="E584" s="142" t="s">
        <v>68</v>
      </c>
      <c r="F584" s="142" t="s">
        <v>375</v>
      </c>
      <c r="G584" s="142" t="s">
        <v>311</v>
      </c>
      <c r="H584" s="140" t="s">
        <v>51</v>
      </c>
      <c r="I584" s="142" t="s">
        <v>46</v>
      </c>
      <c r="J584" s="157">
        <v>8</v>
      </c>
      <c r="K584" s="143">
        <v>25</v>
      </c>
      <c r="L584" s="143">
        <f>K584*J584</f>
        <v>200</v>
      </c>
      <c r="M584" s="143">
        <v>0</v>
      </c>
      <c r="N584" s="141">
        <v>45854</v>
      </c>
      <c r="O584" s="157">
        <f>WEEKNUM(N584)</f>
        <v>29</v>
      </c>
      <c r="P584" s="140"/>
      <c r="Q584" s="140" t="s">
        <v>29</v>
      </c>
      <c r="R584" s="143">
        <f>J584*0.25</f>
        <v>2</v>
      </c>
      <c r="S584" s="143">
        <f>J584*1</f>
        <v>8</v>
      </c>
      <c r="T584" s="143">
        <f>J584*1.5</f>
        <v>12</v>
      </c>
      <c r="U584" s="143">
        <f>J584*0.5</f>
        <v>4</v>
      </c>
      <c r="V584" s="143">
        <f>R584+S584+T584+U584</f>
        <v>26</v>
      </c>
    </row>
    <row r="585" spans="1:22" s="128" customFormat="1" ht="15.6" hidden="1" x14ac:dyDescent="0.3">
      <c r="A585" s="142" t="s">
        <v>491</v>
      </c>
      <c r="B585" s="142">
        <v>1234</v>
      </c>
      <c r="C585" s="141">
        <v>45824</v>
      </c>
      <c r="D585" s="140">
        <f>WEEKNUM(C585)</f>
        <v>25</v>
      </c>
      <c r="E585" s="142" t="s">
        <v>68</v>
      </c>
      <c r="F585" s="142" t="s">
        <v>375</v>
      </c>
      <c r="G585" s="142" t="s">
        <v>408</v>
      </c>
      <c r="H585" s="140" t="s">
        <v>80</v>
      </c>
      <c r="I585" s="142" t="s">
        <v>46</v>
      </c>
      <c r="J585" s="157">
        <v>4</v>
      </c>
      <c r="K585" s="143">
        <v>21</v>
      </c>
      <c r="L585" s="143">
        <f>K585*J585</f>
        <v>84</v>
      </c>
      <c r="M585" s="143">
        <v>0</v>
      </c>
      <c r="N585" s="141">
        <v>45854</v>
      </c>
      <c r="O585" s="157">
        <f>WEEKNUM(N585)</f>
        <v>29</v>
      </c>
      <c r="P585" s="140"/>
      <c r="Q585" s="140" t="s">
        <v>29</v>
      </c>
      <c r="R585" s="156">
        <f>J585*0.25</f>
        <v>1</v>
      </c>
      <c r="S585" s="156">
        <f>J585*1</f>
        <v>4</v>
      </c>
      <c r="T585" s="156">
        <f>J585*1.2</f>
        <v>4.8</v>
      </c>
      <c r="U585" s="156">
        <f>J585*0.5</f>
        <v>2</v>
      </c>
      <c r="V585" s="156">
        <f>R585+S585+T585+U585</f>
        <v>11.8</v>
      </c>
    </row>
    <row r="586" spans="1:22" s="128" customFormat="1" ht="15.6" hidden="1" x14ac:dyDescent="0.3">
      <c r="A586" s="142" t="s">
        <v>491</v>
      </c>
      <c r="B586" s="142">
        <v>1234</v>
      </c>
      <c r="C586" s="141">
        <v>45824</v>
      </c>
      <c r="D586" s="140">
        <f>WEEKNUM(C586)</f>
        <v>25</v>
      </c>
      <c r="E586" s="142" t="s">
        <v>68</v>
      </c>
      <c r="F586" s="142" t="s">
        <v>375</v>
      </c>
      <c r="G586" s="142" t="s">
        <v>339</v>
      </c>
      <c r="H586" s="142" t="s">
        <v>340</v>
      </c>
      <c r="I586" s="142" t="s">
        <v>46</v>
      </c>
      <c r="J586" s="157">
        <v>2</v>
      </c>
      <c r="K586" s="143">
        <v>65</v>
      </c>
      <c r="L586" s="143">
        <f>K586*J586</f>
        <v>130</v>
      </c>
      <c r="M586" s="143">
        <v>0</v>
      </c>
      <c r="N586" s="141">
        <v>45854</v>
      </c>
      <c r="O586" s="157">
        <f>WEEKNUM(N586)</f>
        <v>29</v>
      </c>
      <c r="P586" s="140"/>
      <c r="Q586" s="140" t="s">
        <v>29</v>
      </c>
      <c r="R586" s="143">
        <v>0</v>
      </c>
      <c r="S586" s="143">
        <f>J586*1</f>
        <v>2</v>
      </c>
      <c r="T586" s="143">
        <v>0</v>
      </c>
      <c r="U586" s="143">
        <f>J586*0.5</f>
        <v>1</v>
      </c>
      <c r="V586" s="143">
        <f>R586+S586+T586+U586</f>
        <v>3</v>
      </c>
    </row>
    <row r="587" spans="1:22" s="128" customFormat="1" ht="15.6" hidden="1" x14ac:dyDescent="0.3">
      <c r="A587" s="142" t="s">
        <v>496</v>
      </c>
      <c r="B587" s="142">
        <v>822</v>
      </c>
      <c r="C587" s="141">
        <v>45824</v>
      </c>
      <c r="D587" s="140">
        <f>WEEKNUM(C587)</f>
        <v>25</v>
      </c>
      <c r="E587" s="140" t="s">
        <v>475</v>
      </c>
      <c r="F587" s="142" t="s">
        <v>996</v>
      </c>
      <c r="G587" s="142" t="s">
        <v>506</v>
      </c>
      <c r="H587" s="140" t="s">
        <v>74</v>
      </c>
      <c r="I587" s="142" t="s">
        <v>46</v>
      </c>
      <c r="J587" s="157">
        <v>80</v>
      </c>
      <c r="K587" s="143">
        <v>26.5</v>
      </c>
      <c r="L587" s="143">
        <f>K587*J587</f>
        <v>2120</v>
      </c>
      <c r="M587" s="143">
        <v>0</v>
      </c>
      <c r="N587" s="141">
        <v>45860</v>
      </c>
      <c r="O587" s="157">
        <f>WEEKNUM(N587)</f>
        <v>30</v>
      </c>
      <c r="P587" s="140"/>
      <c r="Q587" s="140" t="s">
        <v>29</v>
      </c>
      <c r="R587" s="143">
        <f>J587*0.25</f>
        <v>20</v>
      </c>
      <c r="S587" s="143">
        <f>J587*1</f>
        <v>80</v>
      </c>
      <c r="T587" s="143">
        <f>J587*1.5</f>
        <v>120</v>
      </c>
      <c r="U587" s="143">
        <f>J587*0.5</f>
        <v>40</v>
      </c>
      <c r="V587" s="143">
        <f>R587+S587+T587+U587</f>
        <v>260</v>
      </c>
    </row>
    <row r="588" spans="1:22" s="128" customFormat="1" ht="15.6" hidden="1" x14ac:dyDescent="0.3">
      <c r="A588" s="142" t="s">
        <v>496</v>
      </c>
      <c r="B588" s="142">
        <v>822</v>
      </c>
      <c r="C588" s="141">
        <v>45824</v>
      </c>
      <c r="D588" s="140">
        <f>WEEKNUM(C588)</f>
        <v>25</v>
      </c>
      <c r="E588" s="140" t="s">
        <v>475</v>
      </c>
      <c r="F588" s="142" t="s">
        <v>996</v>
      </c>
      <c r="G588" s="142" t="s">
        <v>931</v>
      </c>
      <c r="H588" s="142" t="s">
        <v>354</v>
      </c>
      <c r="I588" s="142" t="s">
        <v>46</v>
      </c>
      <c r="J588" s="157">
        <v>20</v>
      </c>
      <c r="K588" s="143">
        <v>26.5</v>
      </c>
      <c r="L588" s="143">
        <f>K588*J588</f>
        <v>530</v>
      </c>
      <c r="M588" s="143">
        <v>0</v>
      </c>
      <c r="N588" s="141">
        <v>45860</v>
      </c>
      <c r="O588" s="157">
        <f>WEEKNUM(N588)</f>
        <v>30</v>
      </c>
      <c r="P588" s="140"/>
      <c r="Q588" s="140" t="s">
        <v>29</v>
      </c>
      <c r="R588" s="143">
        <f>J588*0.25</f>
        <v>5</v>
      </c>
      <c r="S588" s="143">
        <f>J588*1</f>
        <v>20</v>
      </c>
      <c r="T588" s="143">
        <f>J588*1.5</f>
        <v>30</v>
      </c>
      <c r="U588" s="143">
        <f>J588*0.5</f>
        <v>10</v>
      </c>
      <c r="V588" s="143">
        <f>R588+S588+T588+U588</f>
        <v>65</v>
      </c>
    </row>
    <row r="589" spans="1:22" s="128" customFormat="1" ht="15.6" hidden="1" x14ac:dyDescent="0.3">
      <c r="A589" s="142" t="s">
        <v>496</v>
      </c>
      <c r="B589" s="142">
        <v>825</v>
      </c>
      <c r="C589" s="141">
        <v>45825</v>
      </c>
      <c r="D589" s="140">
        <f>WEEKNUM(C589)</f>
        <v>25</v>
      </c>
      <c r="E589" s="140" t="s">
        <v>475</v>
      </c>
      <c r="F589" s="140" t="s">
        <v>568</v>
      </c>
      <c r="G589" s="142" t="s">
        <v>571</v>
      </c>
      <c r="H589" s="140" t="s">
        <v>354</v>
      </c>
      <c r="I589" s="142" t="s">
        <v>46</v>
      </c>
      <c r="J589" s="157">
        <v>19</v>
      </c>
      <c r="K589" s="143">
        <v>45</v>
      </c>
      <c r="L589" s="143">
        <f>K589*J589</f>
        <v>855</v>
      </c>
      <c r="M589" s="143">
        <v>0</v>
      </c>
      <c r="N589" s="141">
        <v>45841</v>
      </c>
      <c r="O589" s="157">
        <f>WEEKNUM(N589)</f>
        <v>27</v>
      </c>
      <c r="P589" s="140"/>
      <c r="Q589" s="140" t="s">
        <v>29</v>
      </c>
      <c r="R589" s="143">
        <f>J589*0.25</f>
        <v>4.75</v>
      </c>
      <c r="S589" s="143">
        <f>J589*1</f>
        <v>19</v>
      </c>
      <c r="T589" s="143">
        <f>J589*1.5</f>
        <v>28.5</v>
      </c>
      <c r="U589" s="143">
        <f>J589*0.5</f>
        <v>9.5</v>
      </c>
      <c r="V589" s="143">
        <f>R589+S589+T589+U589</f>
        <v>61.75</v>
      </c>
    </row>
    <row r="590" spans="1:22" s="128" customFormat="1" ht="15.6" hidden="1" x14ac:dyDescent="0.3">
      <c r="A590" s="142" t="s">
        <v>496</v>
      </c>
      <c r="B590" s="142">
        <v>825</v>
      </c>
      <c r="C590" s="141">
        <v>45825</v>
      </c>
      <c r="D590" s="140">
        <f>WEEKNUM(C590)</f>
        <v>25</v>
      </c>
      <c r="E590" s="140" t="s">
        <v>475</v>
      </c>
      <c r="F590" s="140" t="s">
        <v>568</v>
      </c>
      <c r="G590" s="142" t="s">
        <v>218</v>
      </c>
      <c r="H590" s="140" t="s">
        <v>74</v>
      </c>
      <c r="I590" s="142" t="s">
        <v>46</v>
      </c>
      <c r="J590" s="157">
        <v>11</v>
      </c>
      <c r="K590" s="143">
        <v>45</v>
      </c>
      <c r="L590" s="143">
        <f>K590*J590</f>
        <v>495</v>
      </c>
      <c r="M590" s="143">
        <v>0</v>
      </c>
      <c r="N590" s="141">
        <v>45841</v>
      </c>
      <c r="O590" s="157">
        <f>WEEKNUM(N590)</f>
        <v>27</v>
      </c>
      <c r="P590" s="140"/>
      <c r="Q590" s="140" t="s">
        <v>29</v>
      </c>
      <c r="R590" s="143">
        <f>J590*0.25</f>
        <v>2.75</v>
      </c>
      <c r="S590" s="143">
        <f>J590*1</f>
        <v>11</v>
      </c>
      <c r="T590" s="143">
        <f>J590*1.5</f>
        <v>16.5</v>
      </c>
      <c r="U590" s="143">
        <f>J590*0.5</f>
        <v>5.5</v>
      </c>
      <c r="V590" s="143">
        <f>R590+S590+T590+U590</f>
        <v>35.75</v>
      </c>
    </row>
    <row r="591" spans="1:22" s="128" customFormat="1" ht="15.6" hidden="1" x14ac:dyDescent="0.3">
      <c r="A591" s="142" t="s">
        <v>477</v>
      </c>
      <c r="B591" s="142">
        <v>824</v>
      </c>
      <c r="C591" s="141">
        <v>45825</v>
      </c>
      <c r="D591" s="140">
        <f>WEEKNUM(C591)</f>
        <v>25</v>
      </c>
      <c r="E591" s="140" t="s">
        <v>475</v>
      </c>
      <c r="F591" s="140" t="s">
        <v>357</v>
      </c>
      <c r="G591" s="142" t="s">
        <v>301</v>
      </c>
      <c r="H591" s="140" t="s">
        <v>74</v>
      </c>
      <c r="I591" s="142" t="s">
        <v>46</v>
      </c>
      <c r="J591" s="157">
        <v>30</v>
      </c>
      <c r="K591" s="143">
        <v>28</v>
      </c>
      <c r="L591" s="143">
        <f>K591*J591</f>
        <v>840</v>
      </c>
      <c r="M591" s="143">
        <v>0</v>
      </c>
      <c r="N591" s="141">
        <v>45861</v>
      </c>
      <c r="O591" s="157">
        <f>WEEKNUM(N591)</f>
        <v>30</v>
      </c>
      <c r="P591" s="140"/>
      <c r="Q591" s="140" t="s">
        <v>29</v>
      </c>
      <c r="R591" s="143">
        <f>J591*0.25</f>
        <v>7.5</v>
      </c>
      <c r="S591" s="143">
        <f>J591*1</f>
        <v>30</v>
      </c>
      <c r="T591" s="143">
        <f>J591*1.5</f>
        <v>45</v>
      </c>
      <c r="U591" s="143">
        <f>J591*0.5</f>
        <v>15</v>
      </c>
      <c r="V591" s="143">
        <f>R591+S591+T591+U591</f>
        <v>97.5</v>
      </c>
    </row>
    <row r="592" spans="1:22" s="128" customFormat="1" ht="15.6" hidden="1" x14ac:dyDescent="0.3">
      <c r="A592" s="142" t="s">
        <v>477</v>
      </c>
      <c r="B592" s="142">
        <v>824</v>
      </c>
      <c r="C592" s="141">
        <v>45825</v>
      </c>
      <c r="D592" s="140">
        <f>WEEKNUM(C592)</f>
        <v>25</v>
      </c>
      <c r="E592" s="140" t="s">
        <v>475</v>
      </c>
      <c r="F592" s="140" t="s">
        <v>357</v>
      </c>
      <c r="G592" s="142" t="s">
        <v>578</v>
      </c>
      <c r="H592" s="140" t="s">
        <v>354</v>
      </c>
      <c r="I592" s="142" t="s">
        <v>46</v>
      </c>
      <c r="J592" s="157">
        <v>70</v>
      </c>
      <c r="K592" s="143">
        <v>28</v>
      </c>
      <c r="L592" s="143">
        <f>K592*J592</f>
        <v>1960</v>
      </c>
      <c r="M592" s="143">
        <v>0</v>
      </c>
      <c r="N592" s="141">
        <v>45861</v>
      </c>
      <c r="O592" s="157">
        <f>WEEKNUM(N592)</f>
        <v>30</v>
      </c>
      <c r="P592" s="140"/>
      <c r="Q592" s="140" t="s">
        <v>29</v>
      </c>
      <c r="R592" s="143">
        <f>J592*0.25</f>
        <v>17.5</v>
      </c>
      <c r="S592" s="143">
        <f>J592*1</f>
        <v>70</v>
      </c>
      <c r="T592" s="143">
        <f>J592*1.5</f>
        <v>105</v>
      </c>
      <c r="U592" s="143">
        <f>J592*0.5</f>
        <v>35</v>
      </c>
      <c r="V592" s="143">
        <f>R592+S592+T592+U592</f>
        <v>227.5</v>
      </c>
    </row>
    <row r="593" spans="1:22" s="128" customFormat="1" ht="15.6" hidden="1" x14ac:dyDescent="0.3">
      <c r="A593" s="142" t="s">
        <v>477</v>
      </c>
      <c r="B593" s="142">
        <v>823</v>
      </c>
      <c r="C593" s="141">
        <v>45825</v>
      </c>
      <c r="D593" s="140">
        <f>WEEKNUM(C593)</f>
        <v>25</v>
      </c>
      <c r="E593" s="140" t="s">
        <v>475</v>
      </c>
      <c r="F593" s="142" t="s">
        <v>782</v>
      </c>
      <c r="G593" s="142" t="s">
        <v>783</v>
      </c>
      <c r="H593" s="140" t="s">
        <v>494</v>
      </c>
      <c r="I593" s="142" t="s">
        <v>46</v>
      </c>
      <c r="J593" s="157">
        <v>200</v>
      </c>
      <c r="K593" s="143">
        <v>26.5</v>
      </c>
      <c r="L593" s="143">
        <f>K593*J593</f>
        <v>5300</v>
      </c>
      <c r="M593" s="143">
        <v>0</v>
      </c>
      <c r="N593" s="141">
        <v>45861</v>
      </c>
      <c r="O593" s="157">
        <f>WEEKNUM(N593)</f>
        <v>30</v>
      </c>
      <c r="P593" s="140"/>
      <c r="Q593" s="140" t="s">
        <v>29</v>
      </c>
      <c r="R593" s="143">
        <f>J593*0.25</f>
        <v>50</v>
      </c>
      <c r="S593" s="143">
        <f>J593*1</f>
        <v>200</v>
      </c>
      <c r="T593" s="143">
        <f>J593*1.5</f>
        <v>300</v>
      </c>
      <c r="U593" s="143">
        <f>J593*0.5</f>
        <v>100</v>
      </c>
      <c r="V593" s="143">
        <f>R593+S593+T593+U593</f>
        <v>650</v>
      </c>
    </row>
    <row r="594" spans="1:22" s="128" customFormat="1" ht="15.6" hidden="1" x14ac:dyDescent="0.3">
      <c r="A594" s="142" t="s">
        <v>477</v>
      </c>
      <c r="B594" s="142">
        <v>823</v>
      </c>
      <c r="C594" s="141">
        <v>45825</v>
      </c>
      <c r="D594" s="140">
        <f>WEEKNUM(C594)</f>
        <v>25</v>
      </c>
      <c r="E594" s="140" t="s">
        <v>475</v>
      </c>
      <c r="F594" s="142" t="s">
        <v>782</v>
      </c>
      <c r="G594" s="142" t="s">
        <v>487</v>
      </c>
      <c r="H594" s="140" t="s">
        <v>51</v>
      </c>
      <c r="I594" s="142" t="s">
        <v>46</v>
      </c>
      <c r="J594" s="157">
        <v>200</v>
      </c>
      <c r="K594" s="143">
        <v>24.5</v>
      </c>
      <c r="L594" s="143">
        <f>K594*J594</f>
        <v>4900</v>
      </c>
      <c r="M594" s="143">
        <v>0</v>
      </c>
      <c r="N594" s="141">
        <v>45861</v>
      </c>
      <c r="O594" s="157">
        <f>WEEKNUM(N594)</f>
        <v>30</v>
      </c>
      <c r="P594" s="140"/>
      <c r="Q594" s="140" t="s">
        <v>29</v>
      </c>
      <c r="R594" s="143">
        <f>J594*0.25</f>
        <v>50</v>
      </c>
      <c r="S594" s="143">
        <f>J594*1</f>
        <v>200</v>
      </c>
      <c r="T594" s="143">
        <f>J594*1.5</f>
        <v>300</v>
      </c>
      <c r="U594" s="143">
        <f>J594*0.5</f>
        <v>100</v>
      </c>
      <c r="V594" s="143">
        <f>R594+S594+T594+U594</f>
        <v>650</v>
      </c>
    </row>
    <row r="595" spans="1:22" s="128" customFormat="1" ht="15.6" hidden="1" x14ac:dyDescent="0.3">
      <c r="A595" s="142" t="s">
        <v>491</v>
      </c>
      <c r="B595" s="142">
        <v>1236</v>
      </c>
      <c r="C595" s="141">
        <v>45826</v>
      </c>
      <c r="D595" s="140">
        <f>WEEKNUM(C595)</f>
        <v>25</v>
      </c>
      <c r="E595" s="142" t="s">
        <v>68</v>
      </c>
      <c r="F595" s="142" t="s">
        <v>376</v>
      </c>
      <c r="G595" s="142" t="s">
        <v>311</v>
      </c>
      <c r="H595" s="140" t="s">
        <v>51</v>
      </c>
      <c r="I595" s="142" t="s">
        <v>46</v>
      </c>
      <c r="J595" s="157">
        <v>14</v>
      </c>
      <c r="K595" s="143">
        <v>25</v>
      </c>
      <c r="L595" s="143">
        <f>K595*J595</f>
        <v>350</v>
      </c>
      <c r="M595" s="143">
        <v>0</v>
      </c>
      <c r="N595" s="141">
        <v>45833</v>
      </c>
      <c r="O595" s="157">
        <f>WEEKNUM(N595)</f>
        <v>26</v>
      </c>
      <c r="P595" s="140"/>
      <c r="Q595" s="140" t="s">
        <v>29</v>
      </c>
      <c r="R595" s="143">
        <f>J595*0.25</f>
        <v>3.5</v>
      </c>
      <c r="S595" s="143">
        <f>J595*1</f>
        <v>14</v>
      </c>
      <c r="T595" s="143">
        <f>J595*1.5</f>
        <v>21</v>
      </c>
      <c r="U595" s="143">
        <f>J595*0.5</f>
        <v>7</v>
      </c>
      <c r="V595" s="143">
        <f>R595+S595+T595+U595</f>
        <v>45.5</v>
      </c>
    </row>
    <row r="596" spans="1:22" s="128" customFormat="1" ht="15.6" hidden="1" x14ac:dyDescent="0.3">
      <c r="A596" s="142" t="s">
        <v>491</v>
      </c>
      <c r="B596" s="142">
        <v>1236</v>
      </c>
      <c r="C596" s="141">
        <v>45826</v>
      </c>
      <c r="D596" s="140">
        <f>WEEKNUM(C596)</f>
        <v>25</v>
      </c>
      <c r="E596" s="142" t="s">
        <v>68</v>
      </c>
      <c r="F596" s="142" t="s">
        <v>376</v>
      </c>
      <c r="G596" s="142" t="s">
        <v>87</v>
      </c>
      <c r="H596" s="140" t="s">
        <v>74</v>
      </c>
      <c r="I596" s="142" t="s">
        <v>46</v>
      </c>
      <c r="J596" s="157">
        <v>16</v>
      </c>
      <c r="K596" s="143">
        <v>36.75</v>
      </c>
      <c r="L596" s="143">
        <f>K596*J596</f>
        <v>588</v>
      </c>
      <c r="M596" s="143">
        <v>0</v>
      </c>
      <c r="N596" s="141">
        <v>45833</v>
      </c>
      <c r="O596" s="157">
        <f>WEEKNUM(N596)</f>
        <v>26</v>
      </c>
      <c r="P596" s="140"/>
      <c r="Q596" s="140" t="s">
        <v>29</v>
      </c>
      <c r="R596" s="143">
        <f>J596*0.25</f>
        <v>4</v>
      </c>
      <c r="S596" s="143">
        <f>J596*1</f>
        <v>16</v>
      </c>
      <c r="T596" s="143">
        <f>J596*1.5</f>
        <v>24</v>
      </c>
      <c r="U596" s="143">
        <f>J596*0.5</f>
        <v>8</v>
      </c>
      <c r="V596" s="143">
        <f>R596+S596+T596+U596</f>
        <v>52</v>
      </c>
    </row>
    <row r="597" spans="1:22" s="128" customFormat="1" ht="15.6" hidden="1" x14ac:dyDescent="0.3">
      <c r="A597" s="142" t="s">
        <v>491</v>
      </c>
      <c r="B597" s="142">
        <v>1236</v>
      </c>
      <c r="C597" s="141">
        <v>45826</v>
      </c>
      <c r="D597" s="140">
        <f>WEEKNUM(C597)</f>
        <v>25</v>
      </c>
      <c r="E597" s="142" t="s">
        <v>68</v>
      </c>
      <c r="F597" s="142" t="s">
        <v>376</v>
      </c>
      <c r="G597" s="140" t="s">
        <v>356</v>
      </c>
      <c r="H597" s="140" t="s">
        <v>321</v>
      </c>
      <c r="I597" s="142" t="s">
        <v>46</v>
      </c>
      <c r="J597" s="157">
        <v>10</v>
      </c>
      <c r="K597" s="143">
        <v>85</v>
      </c>
      <c r="L597" s="143">
        <f>K597*J597</f>
        <v>850</v>
      </c>
      <c r="M597" s="143">
        <v>0</v>
      </c>
      <c r="N597" s="141">
        <v>45833</v>
      </c>
      <c r="O597" s="157">
        <f>WEEKNUM(N597)</f>
        <v>26</v>
      </c>
      <c r="P597" s="140"/>
      <c r="Q597" s="140" t="s">
        <v>29</v>
      </c>
      <c r="R597" s="156">
        <f>J597*0.25</f>
        <v>2.5</v>
      </c>
      <c r="S597" s="156">
        <f>PRODUCT(1.5,J597)</f>
        <v>15</v>
      </c>
      <c r="T597" s="156">
        <f>PRODUCT(1.5,J597)</f>
        <v>15</v>
      </c>
      <c r="U597" s="156">
        <f>J597*0.5</f>
        <v>5</v>
      </c>
      <c r="V597" s="156">
        <f>R597+S597+T597+U597</f>
        <v>37.5</v>
      </c>
    </row>
    <row r="598" spans="1:22" s="128" customFormat="1" ht="15.6" hidden="1" x14ac:dyDescent="0.3">
      <c r="A598" s="142" t="s">
        <v>491</v>
      </c>
      <c r="B598" s="142">
        <v>1236</v>
      </c>
      <c r="C598" s="141">
        <v>45826</v>
      </c>
      <c r="D598" s="140">
        <f>WEEKNUM(C598)</f>
        <v>25</v>
      </c>
      <c r="E598" s="142" t="s">
        <v>68</v>
      </c>
      <c r="F598" s="142" t="s">
        <v>376</v>
      </c>
      <c r="G598" s="142" t="s">
        <v>339</v>
      </c>
      <c r="H598" s="142" t="s">
        <v>340</v>
      </c>
      <c r="I598" s="142" t="s">
        <v>46</v>
      </c>
      <c r="J598" s="157">
        <v>2</v>
      </c>
      <c r="K598" s="143">
        <v>65</v>
      </c>
      <c r="L598" s="143">
        <f>K598*J598</f>
        <v>130</v>
      </c>
      <c r="M598" s="143">
        <v>0</v>
      </c>
      <c r="N598" s="141">
        <v>45833</v>
      </c>
      <c r="O598" s="157">
        <f>WEEKNUM(N598)</f>
        <v>26</v>
      </c>
      <c r="P598" s="140"/>
      <c r="Q598" s="140" t="s">
        <v>29</v>
      </c>
      <c r="R598" s="143">
        <v>0</v>
      </c>
      <c r="S598" s="143">
        <f>J598*1</f>
        <v>2</v>
      </c>
      <c r="T598" s="143">
        <v>0</v>
      </c>
      <c r="U598" s="143">
        <f>J598*0.5</f>
        <v>1</v>
      </c>
      <c r="V598" s="143">
        <f>R598+S598+T598+U598</f>
        <v>3</v>
      </c>
    </row>
    <row r="599" spans="1:22" s="128" customFormat="1" ht="15.6" hidden="1" x14ac:dyDescent="0.3">
      <c r="A599" s="142" t="s">
        <v>477</v>
      </c>
      <c r="B599" s="142">
        <v>826</v>
      </c>
      <c r="C599" s="141">
        <v>45826</v>
      </c>
      <c r="D599" s="140">
        <f>WEEKNUM(C599)</f>
        <v>25</v>
      </c>
      <c r="E599" s="142" t="s">
        <v>498</v>
      </c>
      <c r="F599" s="142" t="s">
        <v>647</v>
      </c>
      <c r="G599" s="142" t="s">
        <v>559</v>
      </c>
      <c r="H599" s="142" t="s">
        <v>38</v>
      </c>
      <c r="I599" s="142" t="s">
        <v>46</v>
      </c>
      <c r="J599" s="157">
        <v>100</v>
      </c>
      <c r="K599" s="143">
        <v>55</v>
      </c>
      <c r="L599" s="143">
        <f>K599*J599</f>
        <v>5500</v>
      </c>
      <c r="M599" s="143">
        <v>0</v>
      </c>
      <c r="N599" s="141">
        <v>45861</v>
      </c>
      <c r="O599" s="157">
        <f>WEEKNUM(N599)</f>
        <v>30</v>
      </c>
      <c r="P599" s="140"/>
      <c r="Q599" s="140" t="s">
        <v>29</v>
      </c>
      <c r="R599" s="143">
        <f>J599*0.25</f>
        <v>25</v>
      </c>
      <c r="S599" s="143">
        <f>J599*1</f>
        <v>100</v>
      </c>
      <c r="T599" s="143">
        <f>J599*10</f>
        <v>1000</v>
      </c>
      <c r="U599" s="143">
        <f>J599*0.5</f>
        <v>50</v>
      </c>
      <c r="V599" s="156">
        <f>SUM(R599:U599)</f>
        <v>1175</v>
      </c>
    </row>
    <row r="600" spans="1:22" s="128" customFormat="1" ht="15.6" hidden="1" x14ac:dyDescent="0.3">
      <c r="A600" s="142" t="s">
        <v>477</v>
      </c>
      <c r="B600" s="142">
        <v>829</v>
      </c>
      <c r="C600" s="141">
        <v>45826</v>
      </c>
      <c r="D600" s="140">
        <f>WEEKNUM(C600)</f>
        <v>25</v>
      </c>
      <c r="E600" s="140" t="s">
        <v>475</v>
      </c>
      <c r="F600" s="142" t="s">
        <v>740</v>
      </c>
      <c r="G600" s="142" t="s">
        <v>218</v>
      </c>
      <c r="H600" s="140" t="s">
        <v>74</v>
      </c>
      <c r="I600" s="142" t="s">
        <v>46</v>
      </c>
      <c r="J600" s="157">
        <v>100</v>
      </c>
      <c r="K600" s="143">
        <v>26.5</v>
      </c>
      <c r="L600" s="143">
        <f>K600*J600</f>
        <v>2650</v>
      </c>
      <c r="M600" s="143">
        <v>0</v>
      </c>
      <c r="N600" s="141">
        <v>45862</v>
      </c>
      <c r="O600" s="157">
        <f>WEEKNUM(N600)</f>
        <v>30</v>
      </c>
      <c r="P600" s="140"/>
      <c r="Q600" s="140" t="s">
        <v>29</v>
      </c>
      <c r="R600" s="143">
        <f>J600*0.25</f>
        <v>25</v>
      </c>
      <c r="S600" s="143">
        <f>J600*1</f>
        <v>100</v>
      </c>
      <c r="T600" s="143">
        <f>J600*1.5</f>
        <v>150</v>
      </c>
      <c r="U600" s="143">
        <f>J600*0.5</f>
        <v>50</v>
      </c>
      <c r="V600" s="143">
        <f>R600+S600+T600+U600</f>
        <v>325</v>
      </c>
    </row>
    <row r="601" spans="1:22" s="128" customFormat="1" ht="15.6" hidden="1" x14ac:dyDescent="0.3">
      <c r="A601" s="142" t="s">
        <v>491</v>
      </c>
      <c r="B601" s="142">
        <v>1235</v>
      </c>
      <c r="C601" s="141">
        <v>45826</v>
      </c>
      <c r="D601" s="140">
        <f>WEEKNUM(C601)</f>
        <v>25</v>
      </c>
      <c r="E601" s="142" t="s">
        <v>68</v>
      </c>
      <c r="F601" s="142" t="s">
        <v>377</v>
      </c>
      <c r="G601" s="142" t="s">
        <v>408</v>
      </c>
      <c r="H601" s="140" t="s">
        <v>80</v>
      </c>
      <c r="I601" s="142" t="s">
        <v>46</v>
      </c>
      <c r="J601" s="157">
        <v>3</v>
      </c>
      <c r="K601" s="143">
        <v>16</v>
      </c>
      <c r="L601" s="143">
        <f>K601*J601</f>
        <v>48</v>
      </c>
      <c r="M601" s="143">
        <v>0</v>
      </c>
      <c r="N601" s="141">
        <v>45856</v>
      </c>
      <c r="O601" s="157">
        <f>WEEKNUM(N601)</f>
        <v>29</v>
      </c>
      <c r="P601" s="140"/>
      <c r="Q601" s="140" t="s">
        <v>29</v>
      </c>
      <c r="R601" s="156">
        <f>J601*0.25</f>
        <v>0.75</v>
      </c>
      <c r="S601" s="156">
        <f>J601*1</f>
        <v>3</v>
      </c>
      <c r="T601" s="156">
        <f>J601*1.2</f>
        <v>3.5999999999999996</v>
      </c>
      <c r="U601" s="156">
        <f>J601*0.5</f>
        <v>1.5</v>
      </c>
      <c r="V601" s="156">
        <f>R601+S601+T601+U601</f>
        <v>8.85</v>
      </c>
    </row>
    <row r="602" spans="1:22" s="128" customFormat="1" ht="15.6" hidden="1" x14ac:dyDescent="0.3">
      <c r="A602" s="142" t="s">
        <v>491</v>
      </c>
      <c r="B602" s="142">
        <v>1235</v>
      </c>
      <c r="C602" s="141">
        <v>45826</v>
      </c>
      <c r="D602" s="140">
        <f>WEEKNUM(C602)</f>
        <v>25</v>
      </c>
      <c r="E602" s="142" t="s">
        <v>68</v>
      </c>
      <c r="F602" s="142" t="s">
        <v>377</v>
      </c>
      <c r="G602" s="142" t="s">
        <v>301</v>
      </c>
      <c r="H602" s="140" t="s">
        <v>74</v>
      </c>
      <c r="I602" s="142" t="s">
        <v>46</v>
      </c>
      <c r="J602" s="157">
        <v>1</v>
      </c>
      <c r="K602" s="143">
        <v>36.75</v>
      </c>
      <c r="L602" s="143">
        <f>K602*J602</f>
        <v>36.75</v>
      </c>
      <c r="M602" s="143">
        <v>0</v>
      </c>
      <c r="N602" s="141">
        <v>45856</v>
      </c>
      <c r="O602" s="157">
        <f>WEEKNUM(N602)</f>
        <v>29</v>
      </c>
      <c r="P602" s="140"/>
      <c r="Q602" s="140" t="s">
        <v>29</v>
      </c>
      <c r="R602" s="143">
        <f>J602*0.25</f>
        <v>0.25</v>
      </c>
      <c r="S602" s="143">
        <f>J602*1</f>
        <v>1</v>
      </c>
      <c r="T602" s="143">
        <f>J602*1.5</f>
        <v>1.5</v>
      </c>
      <c r="U602" s="143">
        <f>J602*0.5</f>
        <v>0.5</v>
      </c>
      <c r="V602" s="143">
        <f>R602+S602+T602+U602</f>
        <v>3.25</v>
      </c>
    </row>
    <row r="603" spans="1:22" s="128" customFormat="1" ht="15.6" hidden="1" x14ac:dyDescent="0.3">
      <c r="A603" s="142" t="s">
        <v>491</v>
      </c>
      <c r="B603" s="142">
        <v>1235</v>
      </c>
      <c r="C603" s="141">
        <v>45826</v>
      </c>
      <c r="D603" s="140">
        <f>WEEKNUM(C603)</f>
        <v>25</v>
      </c>
      <c r="E603" s="142" t="s">
        <v>68</v>
      </c>
      <c r="F603" s="142" t="s">
        <v>377</v>
      </c>
      <c r="G603" s="140" t="s">
        <v>503</v>
      </c>
      <c r="H603" s="140" t="s">
        <v>354</v>
      </c>
      <c r="I603" s="142" t="s">
        <v>46</v>
      </c>
      <c r="J603" s="157">
        <v>2</v>
      </c>
      <c r="K603" s="143">
        <v>36.75</v>
      </c>
      <c r="L603" s="143">
        <f>K603*J603</f>
        <v>73.5</v>
      </c>
      <c r="M603" s="143">
        <v>0</v>
      </c>
      <c r="N603" s="141">
        <v>45856</v>
      </c>
      <c r="O603" s="157">
        <f>WEEKNUM(N603)</f>
        <v>29</v>
      </c>
      <c r="P603" s="140"/>
      <c r="Q603" s="140" t="s">
        <v>29</v>
      </c>
      <c r="R603" s="143">
        <f>J603*0.25</f>
        <v>0.5</v>
      </c>
      <c r="S603" s="143">
        <f>J603*1</f>
        <v>2</v>
      </c>
      <c r="T603" s="143">
        <f>J603*1.5</f>
        <v>3</v>
      </c>
      <c r="U603" s="143">
        <f>J603*0.5</f>
        <v>1</v>
      </c>
      <c r="V603" s="143">
        <f>R603+S603+T603+U603</f>
        <v>6.5</v>
      </c>
    </row>
    <row r="604" spans="1:22" s="128" customFormat="1" ht="15.6" hidden="1" x14ac:dyDescent="0.3">
      <c r="A604" s="142" t="s">
        <v>491</v>
      </c>
      <c r="B604" s="142">
        <v>1235</v>
      </c>
      <c r="C604" s="141">
        <v>45826</v>
      </c>
      <c r="D604" s="140">
        <f>WEEKNUM(C604)</f>
        <v>25</v>
      </c>
      <c r="E604" s="142" t="s">
        <v>68</v>
      </c>
      <c r="F604" s="142" t="s">
        <v>377</v>
      </c>
      <c r="G604" s="140" t="s">
        <v>508</v>
      </c>
      <c r="H604" s="140" t="s">
        <v>78</v>
      </c>
      <c r="I604" s="142" t="s">
        <v>46</v>
      </c>
      <c r="J604" s="157">
        <v>1</v>
      </c>
      <c r="K604" s="143">
        <v>65</v>
      </c>
      <c r="L604" s="143">
        <f>K604*J604</f>
        <v>65</v>
      </c>
      <c r="M604" s="143">
        <v>0</v>
      </c>
      <c r="N604" s="141">
        <v>45856</v>
      </c>
      <c r="O604" s="157">
        <f>WEEKNUM(N604)</f>
        <v>29</v>
      </c>
      <c r="P604" s="140"/>
      <c r="Q604" s="140" t="s">
        <v>29</v>
      </c>
      <c r="R604" s="143">
        <f>J604*0.25</f>
        <v>0.25</v>
      </c>
      <c r="S604" s="143">
        <f>J604*0</f>
        <v>0</v>
      </c>
      <c r="T604" s="143">
        <f>J604*3</f>
        <v>3</v>
      </c>
      <c r="U604" s="143">
        <f>J604*0.5</f>
        <v>0.5</v>
      </c>
      <c r="V604" s="143">
        <f>R604+S604+T604+U604</f>
        <v>3.75</v>
      </c>
    </row>
    <row r="605" spans="1:22" s="128" customFormat="1" ht="15.6" hidden="1" x14ac:dyDescent="0.3">
      <c r="A605" s="142" t="s">
        <v>491</v>
      </c>
      <c r="B605" s="142">
        <v>1235</v>
      </c>
      <c r="C605" s="141">
        <v>45826</v>
      </c>
      <c r="D605" s="140">
        <f>WEEKNUM(C605)</f>
        <v>25</v>
      </c>
      <c r="E605" s="142" t="s">
        <v>68</v>
      </c>
      <c r="F605" s="142" t="s">
        <v>377</v>
      </c>
      <c r="G605" s="140" t="s">
        <v>356</v>
      </c>
      <c r="H605" s="140" t="s">
        <v>321</v>
      </c>
      <c r="I605" s="142" t="s">
        <v>46</v>
      </c>
      <c r="J605" s="157">
        <v>2</v>
      </c>
      <c r="K605" s="143">
        <v>85</v>
      </c>
      <c r="L605" s="143">
        <f>K605*J605</f>
        <v>170</v>
      </c>
      <c r="M605" s="143">
        <v>0</v>
      </c>
      <c r="N605" s="141">
        <v>45856</v>
      </c>
      <c r="O605" s="157">
        <f>WEEKNUM(N605)</f>
        <v>29</v>
      </c>
      <c r="P605" s="140"/>
      <c r="Q605" s="140" t="s">
        <v>29</v>
      </c>
      <c r="R605" s="156">
        <f>J605*0.25</f>
        <v>0.5</v>
      </c>
      <c r="S605" s="156">
        <f>PRODUCT(1.5,J605)</f>
        <v>3</v>
      </c>
      <c r="T605" s="156">
        <f>PRODUCT(1.5,J605)</f>
        <v>3</v>
      </c>
      <c r="U605" s="156">
        <f>J605*0.5</f>
        <v>1</v>
      </c>
      <c r="V605" s="156">
        <f>R605+S605+T605+U605</f>
        <v>7.5</v>
      </c>
    </row>
    <row r="606" spans="1:22" s="128" customFormat="1" ht="15.6" hidden="1" x14ac:dyDescent="0.3">
      <c r="A606" s="142" t="s">
        <v>477</v>
      </c>
      <c r="B606" s="142">
        <v>828</v>
      </c>
      <c r="C606" s="141">
        <v>45826</v>
      </c>
      <c r="D606" s="140">
        <f>WEEKNUM(C606)</f>
        <v>25</v>
      </c>
      <c r="E606" s="140" t="s">
        <v>475</v>
      </c>
      <c r="F606" s="140" t="s">
        <v>917</v>
      </c>
      <c r="G606" s="142" t="s">
        <v>515</v>
      </c>
      <c r="H606" s="140" t="s">
        <v>60</v>
      </c>
      <c r="I606" s="142" t="s">
        <v>61</v>
      </c>
      <c r="J606" s="157">
        <v>200</v>
      </c>
      <c r="K606" s="143">
        <v>15</v>
      </c>
      <c r="L606" s="143">
        <f>K606*J606</f>
        <v>3000</v>
      </c>
      <c r="M606" s="143">
        <v>0</v>
      </c>
      <c r="N606" s="141">
        <v>45861</v>
      </c>
      <c r="O606" s="157">
        <f>WEEKNUM(N606)</f>
        <v>30</v>
      </c>
      <c r="P606" s="140"/>
      <c r="Q606" s="140" t="s">
        <v>29</v>
      </c>
      <c r="R606" s="143">
        <f>J606*0.25</f>
        <v>50</v>
      </c>
      <c r="S606" s="143">
        <f>J606*0.7</f>
        <v>140</v>
      </c>
      <c r="T606" s="143">
        <f>J606*2.5</f>
        <v>500</v>
      </c>
      <c r="U606" s="143">
        <f>J606*0.5</f>
        <v>100</v>
      </c>
      <c r="V606" s="143">
        <f>R606+S606+T606+U606</f>
        <v>790</v>
      </c>
    </row>
    <row r="607" spans="1:22" s="128" customFormat="1" ht="15.6" hidden="1" x14ac:dyDescent="0.3">
      <c r="A607" s="142" t="s">
        <v>477</v>
      </c>
      <c r="B607" s="142">
        <v>827</v>
      </c>
      <c r="C607" s="141">
        <v>45826</v>
      </c>
      <c r="D607" s="140">
        <f>WEEKNUM(C607)</f>
        <v>25</v>
      </c>
      <c r="E607" s="140" t="s">
        <v>475</v>
      </c>
      <c r="F607" s="142" t="s">
        <v>927</v>
      </c>
      <c r="G607" s="142" t="s">
        <v>301</v>
      </c>
      <c r="H607" s="140" t="s">
        <v>74</v>
      </c>
      <c r="I607" s="142" t="s">
        <v>46</v>
      </c>
      <c r="J607" s="157">
        <v>100</v>
      </c>
      <c r="K607" s="143">
        <v>28</v>
      </c>
      <c r="L607" s="143">
        <f>K607*J607</f>
        <v>2800</v>
      </c>
      <c r="M607" s="143">
        <v>0</v>
      </c>
      <c r="N607" s="141">
        <v>45861</v>
      </c>
      <c r="O607" s="157">
        <f>WEEKNUM(N607)</f>
        <v>30</v>
      </c>
      <c r="P607" s="140"/>
      <c r="Q607" s="140" t="s">
        <v>29</v>
      </c>
      <c r="R607" s="143">
        <f>J607*0.25</f>
        <v>25</v>
      </c>
      <c r="S607" s="143">
        <f>J607*1</f>
        <v>100</v>
      </c>
      <c r="T607" s="143">
        <f>J607*1.5</f>
        <v>150</v>
      </c>
      <c r="U607" s="143">
        <f>J607*0.5</f>
        <v>50</v>
      </c>
      <c r="V607" s="143">
        <f>R607+S607+T607+U607</f>
        <v>325</v>
      </c>
    </row>
    <row r="608" spans="1:22" s="128" customFormat="1" ht="15.6" hidden="1" x14ac:dyDescent="0.3">
      <c r="A608" s="142" t="s">
        <v>477</v>
      </c>
      <c r="B608" s="142">
        <v>227</v>
      </c>
      <c r="C608" s="141">
        <v>45831</v>
      </c>
      <c r="D608" s="140">
        <f>WEEKNUM(C608)</f>
        <v>26</v>
      </c>
      <c r="E608" s="142" t="s">
        <v>55</v>
      </c>
      <c r="F608" s="142" t="s">
        <v>652</v>
      </c>
      <c r="G608" s="142" t="s">
        <v>654</v>
      </c>
      <c r="H608" s="142" t="s">
        <v>304</v>
      </c>
      <c r="I608" s="142" t="s">
        <v>46</v>
      </c>
      <c r="J608" s="157">
        <v>800</v>
      </c>
      <c r="K608" s="143">
        <v>8.8000000000000007</v>
      </c>
      <c r="L608" s="143">
        <f>K608*J608</f>
        <v>7040.0000000000009</v>
      </c>
      <c r="M608" s="143">
        <v>0</v>
      </c>
      <c r="N608" s="141">
        <v>45847</v>
      </c>
      <c r="O608" s="157">
        <f>WEEKNUM(N608)</f>
        <v>28</v>
      </c>
      <c r="P608" s="142"/>
      <c r="Q608" s="140" t="s">
        <v>29</v>
      </c>
      <c r="R608" s="143">
        <f>PRODUCT(0.25,J608)</f>
        <v>200</v>
      </c>
      <c r="S608" s="143">
        <f>PRODUCT(1.5,J608)</f>
        <v>1200</v>
      </c>
      <c r="T608" s="143">
        <f>PRODUCT(1.5,J608)</f>
        <v>1200</v>
      </c>
      <c r="U608" s="143">
        <f>PRODUCT(0.5,J608)</f>
        <v>400</v>
      </c>
      <c r="V608" s="143">
        <f>SUM(R608:U608)</f>
        <v>3000</v>
      </c>
    </row>
    <row r="609" spans="1:22" s="128" customFormat="1" ht="15.6" hidden="1" x14ac:dyDescent="0.3">
      <c r="A609" s="142" t="s">
        <v>496</v>
      </c>
      <c r="B609" s="142">
        <v>834</v>
      </c>
      <c r="C609" s="141">
        <v>45831</v>
      </c>
      <c r="D609" s="140">
        <f>WEEKNUM(C609)</f>
        <v>26</v>
      </c>
      <c r="E609" s="140" t="s">
        <v>475</v>
      </c>
      <c r="F609" s="140" t="s">
        <v>940</v>
      </c>
      <c r="G609" s="142" t="s">
        <v>946</v>
      </c>
      <c r="H609" s="140" t="s">
        <v>51</v>
      </c>
      <c r="I609" s="142" t="s">
        <v>61</v>
      </c>
      <c r="J609" s="142">
        <v>150</v>
      </c>
      <c r="K609" s="143">
        <v>40</v>
      </c>
      <c r="L609" s="143">
        <f>K609*J609</f>
        <v>6000</v>
      </c>
      <c r="M609" s="143">
        <v>0</v>
      </c>
      <c r="N609" s="141">
        <v>45866</v>
      </c>
      <c r="O609" s="157">
        <f>WEEKNUM(N609)</f>
        <v>31</v>
      </c>
      <c r="P609" s="142"/>
      <c r="Q609" s="140" t="s">
        <v>29</v>
      </c>
      <c r="R609" s="156">
        <f>PRODUCT(0.25,J609)</f>
        <v>37.5</v>
      </c>
      <c r="S609" s="143">
        <f>PRODUCT(1.5,J609)</f>
        <v>225</v>
      </c>
      <c r="T609" s="156">
        <f>PRODUCT(1.5,J609)</f>
        <v>225</v>
      </c>
      <c r="U609" s="156">
        <f>PRODUCT(0.5,J609)</f>
        <v>75</v>
      </c>
      <c r="V609" s="156">
        <f>SUM(R609:U609)</f>
        <v>562.5</v>
      </c>
    </row>
    <row r="610" spans="1:22" s="128" customFormat="1" ht="15.6" hidden="1" x14ac:dyDescent="0.3">
      <c r="A610" s="142" t="s">
        <v>496</v>
      </c>
      <c r="B610" s="142">
        <v>834</v>
      </c>
      <c r="C610" s="141">
        <v>45831</v>
      </c>
      <c r="D610" s="140">
        <f>WEEKNUM(C610)</f>
        <v>26</v>
      </c>
      <c r="E610" s="140" t="s">
        <v>475</v>
      </c>
      <c r="F610" s="140" t="s">
        <v>940</v>
      </c>
      <c r="G610" s="142" t="s">
        <v>618</v>
      </c>
      <c r="H610" s="142" t="s">
        <v>555</v>
      </c>
      <c r="I610" s="142" t="s">
        <v>61</v>
      </c>
      <c r="J610" s="142">
        <v>100</v>
      </c>
      <c r="K610" s="143">
        <v>28</v>
      </c>
      <c r="L610" s="143">
        <f>K610*J610</f>
        <v>2800</v>
      </c>
      <c r="M610" s="143">
        <v>0</v>
      </c>
      <c r="N610" s="141">
        <v>45866</v>
      </c>
      <c r="O610" s="157">
        <f>WEEKNUM(N610)</f>
        <v>31</v>
      </c>
      <c r="P610" s="142"/>
      <c r="Q610" s="140" t="s">
        <v>29</v>
      </c>
      <c r="R610" s="143">
        <f>J610*0.25</f>
        <v>25</v>
      </c>
      <c r="S610" s="143">
        <f>J610*1.5</f>
        <v>150</v>
      </c>
      <c r="T610" s="143">
        <f>J610*5.27</f>
        <v>527</v>
      </c>
      <c r="U610" s="143">
        <f>J610*0.5</f>
        <v>50</v>
      </c>
      <c r="V610" s="156">
        <f>SUM(R610:U610)</f>
        <v>752</v>
      </c>
    </row>
    <row r="611" spans="1:22" s="128" customFormat="1" ht="15.6" hidden="1" x14ac:dyDescent="0.3">
      <c r="A611" s="142" t="s">
        <v>496</v>
      </c>
      <c r="B611" s="142">
        <v>834</v>
      </c>
      <c r="C611" s="141">
        <v>45831</v>
      </c>
      <c r="D611" s="140">
        <f>WEEKNUM(C611)</f>
        <v>26</v>
      </c>
      <c r="E611" s="140" t="s">
        <v>475</v>
      </c>
      <c r="F611" s="140" t="s">
        <v>940</v>
      </c>
      <c r="G611" s="140" t="s">
        <v>480</v>
      </c>
      <c r="H611" s="140" t="s">
        <v>51</v>
      </c>
      <c r="I611" s="142" t="s">
        <v>46</v>
      </c>
      <c r="J611" s="142">
        <v>100</v>
      </c>
      <c r="K611" s="143">
        <v>19.899999999999999</v>
      </c>
      <c r="L611" s="143">
        <f>K611*J611</f>
        <v>1989.9999999999998</v>
      </c>
      <c r="M611" s="143">
        <v>0</v>
      </c>
      <c r="N611" s="141">
        <v>45866</v>
      </c>
      <c r="O611" s="157">
        <f>WEEKNUM(N611)</f>
        <v>31</v>
      </c>
      <c r="P611" s="142"/>
      <c r="Q611" s="140" t="s">
        <v>29</v>
      </c>
      <c r="R611" s="143">
        <f>J611*0.25</f>
        <v>25</v>
      </c>
      <c r="S611" s="143">
        <f>J611*1</f>
        <v>100</v>
      </c>
      <c r="T611" s="143">
        <f>J611*1.5</f>
        <v>150</v>
      </c>
      <c r="U611" s="143">
        <f>J611*0.5</f>
        <v>50</v>
      </c>
      <c r="V611" s="143">
        <f>R611+S611+T611+U611</f>
        <v>325</v>
      </c>
    </row>
    <row r="612" spans="1:22" s="128" customFormat="1" ht="15.6" hidden="1" x14ac:dyDescent="0.3">
      <c r="A612" s="142" t="s">
        <v>496</v>
      </c>
      <c r="B612" s="142">
        <v>834</v>
      </c>
      <c r="C612" s="141">
        <v>45831</v>
      </c>
      <c r="D612" s="140">
        <f>WEEKNUM(C612)</f>
        <v>26</v>
      </c>
      <c r="E612" s="140" t="s">
        <v>475</v>
      </c>
      <c r="F612" s="140" t="s">
        <v>940</v>
      </c>
      <c r="G612" s="142" t="s">
        <v>546</v>
      </c>
      <c r="H612" s="140" t="s">
        <v>494</v>
      </c>
      <c r="I612" s="142" t="s">
        <v>46</v>
      </c>
      <c r="J612" s="142">
        <v>100</v>
      </c>
      <c r="K612" s="143">
        <v>17</v>
      </c>
      <c r="L612" s="143">
        <f>K612*J612</f>
        <v>1700</v>
      </c>
      <c r="M612" s="143">
        <v>0</v>
      </c>
      <c r="N612" s="141">
        <v>45866</v>
      </c>
      <c r="O612" s="157">
        <f>WEEKNUM(N612)</f>
        <v>31</v>
      </c>
      <c r="P612" s="142"/>
      <c r="Q612" s="140" t="s">
        <v>29</v>
      </c>
      <c r="R612" s="143">
        <f>J612*0.25</f>
        <v>25</v>
      </c>
      <c r="S612" s="143">
        <f>J612*1</f>
        <v>100</v>
      </c>
      <c r="T612" s="143">
        <f>J612*1.5</f>
        <v>150</v>
      </c>
      <c r="U612" s="143">
        <f>J612*0.5</f>
        <v>50</v>
      </c>
      <c r="V612" s="143">
        <f>R612+S612+T612+U612</f>
        <v>325</v>
      </c>
    </row>
    <row r="613" spans="1:22" s="128" customFormat="1" ht="15.6" hidden="1" x14ac:dyDescent="0.3">
      <c r="A613" s="142" t="s">
        <v>477</v>
      </c>
      <c r="B613" s="142">
        <v>835</v>
      </c>
      <c r="C613" s="141">
        <v>45831</v>
      </c>
      <c r="D613" s="140">
        <f>WEEKNUM(C613)</f>
        <v>26</v>
      </c>
      <c r="E613" s="140" t="s">
        <v>478</v>
      </c>
      <c r="F613" s="140" t="s">
        <v>146</v>
      </c>
      <c r="G613" s="142" t="s">
        <v>837</v>
      </c>
      <c r="H613" s="142" t="s">
        <v>95</v>
      </c>
      <c r="I613" s="142" t="s">
        <v>46</v>
      </c>
      <c r="J613" s="157">
        <v>300</v>
      </c>
      <c r="K613" s="143">
        <v>16.5</v>
      </c>
      <c r="L613" s="143">
        <f>K613*J613</f>
        <v>4950</v>
      </c>
      <c r="M613" s="143">
        <v>0</v>
      </c>
      <c r="N613" s="141">
        <v>45862</v>
      </c>
      <c r="O613" s="157">
        <f>WEEKNUM(N613)</f>
        <v>30</v>
      </c>
      <c r="P613" s="140"/>
      <c r="Q613" s="140" t="s">
        <v>29</v>
      </c>
      <c r="R613" s="143">
        <f>J613*0.25</f>
        <v>75</v>
      </c>
      <c r="S613" s="143">
        <f>J613*1</f>
        <v>300</v>
      </c>
      <c r="T613" s="143">
        <f>J613*1</f>
        <v>300</v>
      </c>
      <c r="U613" s="143">
        <f>J613*0.5</f>
        <v>150</v>
      </c>
      <c r="V613" s="143">
        <f>R613+S613+T613+U613</f>
        <v>825</v>
      </c>
    </row>
    <row r="614" spans="1:22" s="128" customFormat="1" ht="15.6" hidden="1" x14ac:dyDescent="0.3">
      <c r="A614" s="142" t="s">
        <v>477</v>
      </c>
      <c r="B614" s="142">
        <v>835</v>
      </c>
      <c r="C614" s="141">
        <v>45831</v>
      </c>
      <c r="D614" s="140">
        <f>WEEKNUM(C614)</f>
        <v>26</v>
      </c>
      <c r="E614" s="140" t="s">
        <v>478</v>
      </c>
      <c r="F614" s="140" t="s">
        <v>146</v>
      </c>
      <c r="G614" s="142" t="s">
        <v>759</v>
      </c>
      <c r="H614" s="140" t="s">
        <v>107</v>
      </c>
      <c r="I614" s="142" t="s">
        <v>46</v>
      </c>
      <c r="J614" s="157">
        <v>500</v>
      </c>
      <c r="K614" s="143">
        <v>2.5</v>
      </c>
      <c r="L614" s="143">
        <f>K614*J614</f>
        <v>1250</v>
      </c>
      <c r="M614" s="143">
        <v>0</v>
      </c>
      <c r="N614" s="141">
        <v>45862</v>
      </c>
      <c r="O614" s="157">
        <f>WEEKNUM(N614)</f>
        <v>30</v>
      </c>
      <c r="P614" s="140"/>
      <c r="Q614" s="140" t="s">
        <v>29</v>
      </c>
      <c r="R614" s="156">
        <f>J614*0.25</f>
        <v>125</v>
      </c>
      <c r="S614" s="156">
        <f>J614*0.5</f>
        <v>250</v>
      </c>
      <c r="T614" s="156">
        <f>J614*0.5</f>
        <v>250</v>
      </c>
      <c r="U614" s="156">
        <f>J614*0.5</f>
        <v>250</v>
      </c>
      <c r="V614" s="156">
        <f>R614+S614+T614+U614</f>
        <v>875</v>
      </c>
    </row>
    <row r="615" spans="1:22" s="128" customFormat="1" ht="15.6" hidden="1" x14ac:dyDescent="0.3">
      <c r="A615" s="142" t="s">
        <v>496</v>
      </c>
      <c r="B615" s="142">
        <v>839</v>
      </c>
      <c r="C615" s="141">
        <v>45831</v>
      </c>
      <c r="D615" s="140">
        <f>WEEKNUM(C615)</f>
        <v>26</v>
      </c>
      <c r="E615" s="140" t="s">
        <v>475</v>
      </c>
      <c r="F615" s="142" t="s">
        <v>1005</v>
      </c>
      <c r="G615" s="140" t="s">
        <v>480</v>
      </c>
      <c r="H615" s="140" t="s">
        <v>51</v>
      </c>
      <c r="I615" s="142" t="s">
        <v>46</v>
      </c>
      <c r="J615" s="157">
        <v>50</v>
      </c>
      <c r="K615" s="143">
        <v>19.7</v>
      </c>
      <c r="L615" s="143">
        <f>K615*J615</f>
        <v>985</v>
      </c>
      <c r="M615" s="143">
        <v>0</v>
      </c>
      <c r="N615" s="141">
        <v>45866</v>
      </c>
      <c r="O615" s="157">
        <f>WEEKNUM(N615)</f>
        <v>31</v>
      </c>
      <c r="P615" s="140"/>
      <c r="Q615" s="140" t="s">
        <v>29</v>
      </c>
      <c r="R615" s="143">
        <f>J615*0.25</f>
        <v>12.5</v>
      </c>
      <c r="S615" s="143">
        <f>J615*1</f>
        <v>50</v>
      </c>
      <c r="T615" s="143">
        <f>J615*1.5</f>
        <v>75</v>
      </c>
      <c r="U615" s="143">
        <f>J615*0.5</f>
        <v>25</v>
      </c>
      <c r="V615" s="143">
        <f>R615+S615+T615+U615</f>
        <v>162.5</v>
      </c>
    </row>
    <row r="616" spans="1:22" s="128" customFormat="1" ht="15.6" hidden="1" x14ac:dyDescent="0.3">
      <c r="A616" s="142" t="s">
        <v>496</v>
      </c>
      <c r="B616" s="142">
        <v>839</v>
      </c>
      <c r="C616" s="141">
        <v>45831</v>
      </c>
      <c r="D616" s="140">
        <f>WEEKNUM(C616)</f>
        <v>26</v>
      </c>
      <c r="E616" s="140" t="s">
        <v>475</v>
      </c>
      <c r="F616" s="142" t="s">
        <v>1005</v>
      </c>
      <c r="G616" s="142" t="s">
        <v>495</v>
      </c>
      <c r="H616" s="140" t="s">
        <v>494</v>
      </c>
      <c r="I616" s="142" t="s">
        <v>46</v>
      </c>
      <c r="J616" s="157">
        <v>50</v>
      </c>
      <c r="K616" s="143">
        <v>27</v>
      </c>
      <c r="L616" s="143">
        <f>K616*J616</f>
        <v>1350</v>
      </c>
      <c r="M616" s="143">
        <v>0</v>
      </c>
      <c r="N616" s="141">
        <v>45866</v>
      </c>
      <c r="O616" s="157">
        <f>WEEKNUM(N616)</f>
        <v>31</v>
      </c>
      <c r="P616" s="140"/>
      <c r="Q616" s="140" t="s">
        <v>29</v>
      </c>
      <c r="R616" s="143">
        <f>J616*0.25</f>
        <v>12.5</v>
      </c>
      <c r="S616" s="143">
        <f>J616*1</f>
        <v>50</v>
      </c>
      <c r="T616" s="143">
        <f>J616*1.5</f>
        <v>75</v>
      </c>
      <c r="U616" s="143">
        <f>J616*0.5</f>
        <v>25</v>
      </c>
      <c r="V616" s="143">
        <f>R616+S616+T616+U616</f>
        <v>162.5</v>
      </c>
    </row>
    <row r="617" spans="1:22" s="128" customFormat="1" ht="15.6" hidden="1" x14ac:dyDescent="0.3">
      <c r="A617" s="142" t="s">
        <v>491</v>
      </c>
      <c r="B617" s="142">
        <v>228</v>
      </c>
      <c r="C617" s="141">
        <v>45832</v>
      </c>
      <c r="D617" s="140">
        <f>WEEKNUM(C617)</f>
        <v>26</v>
      </c>
      <c r="E617" s="140" t="s">
        <v>475</v>
      </c>
      <c r="F617" s="142" t="s">
        <v>492</v>
      </c>
      <c r="G617" s="142" t="s">
        <v>493</v>
      </c>
      <c r="H617" s="140" t="s">
        <v>494</v>
      </c>
      <c r="I617" s="142" t="s">
        <v>46</v>
      </c>
      <c r="J617" s="157">
        <v>50</v>
      </c>
      <c r="K617" s="143">
        <v>20</v>
      </c>
      <c r="L617" s="143">
        <f>K617*J617</f>
        <v>1000</v>
      </c>
      <c r="M617" s="143">
        <v>0</v>
      </c>
      <c r="N617" s="141">
        <v>45861</v>
      </c>
      <c r="O617" s="157">
        <f>WEEKNUM(N617)</f>
        <v>30</v>
      </c>
      <c r="P617" s="140"/>
      <c r="Q617" s="140" t="s">
        <v>29</v>
      </c>
      <c r="R617" s="143">
        <f>J617*0.25</f>
        <v>12.5</v>
      </c>
      <c r="S617" s="143">
        <f>J617*1</f>
        <v>50</v>
      </c>
      <c r="T617" s="143">
        <f>J617*1.5</f>
        <v>75</v>
      </c>
      <c r="U617" s="143">
        <f>J617*0.5</f>
        <v>25</v>
      </c>
      <c r="V617" s="143">
        <f>R617+S617+T617+U617</f>
        <v>162.5</v>
      </c>
    </row>
    <row r="618" spans="1:22" s="128" customFormat="1" ht="15.6" hidden="1" x14ac:dyDescent="0.3">
      <c r="A618" s="142" t="s">
        <v>477</v>
      </c>
      <c r="B618" s="142">
        <v>837</v>
      </c>
      <c r="C618" s="141">
        <v>45832</v>
      </c>
      <c r="D618" s="140">
        <f>WEEKNUM(C618)</f>
        <v>26</v>
      </c>
      <c r="E618" s="140" t="s">
        <v>475</v>
      </c>
      <c r="F618" s="142" t="s">
        <v>794</v>
      </c>
      <c r="G618" s="142" t="s">
        <v>796</v>
      </c>
      <c r="H618" s="140" t="s">
        <v>51</v>
      </c>
      <c r="I618" s="142" t="s">
        <v>61</v>
      </c>
      <c r="J618" s="157">
        <v>150</v>
      </c>
      <c r="K618" s="143">
        <v>34</v>
      </c>
      <c r="L618" s="143">
        <f>K618*J618</f>
        <v>5100</v>
      </c>
      <c r="M618" s="143">
        <v>0</v>
      </c>
      <c r="N618" s="141">
        <v>45862</v>
      </c>
      <c r="O618" s="157">
        <f>WEEKNUM(N618)</f>
        <v>30</v>
      </c>
      <c r="P618" s="140"/>
      <c r="Q618" s="140" t="s">
        <v>29</v>
      </c>
      <c r="R618" s="143">
        <f>J618*0.25</f>
        <v>37.5</v>
      </c>
      <c r="S618" s="143">
        <f>J618*1</f>
        <v>150</v>
      </c>
      <c r="T618" s="143">
        <f>J618*1.5</f>
        <v>225</v>
      </c>
      <c r="U618" s="143">
        <f>J618*0.5</f>
        <v>75</v>
      </c>
      <c r="V618" s="143">
        <f>R618+S618+T618+U618</f>
        <v>487.5</v>
      </c>
    </row>
    <row r="619" spans="1:22" s="128" customFormat="1" ht="15.6" hidden="1" x14ac:dyDescent="0.3">
      <c r="A619" s="142" t="s">
        <v>477</v>
      </c>
      <c r="B619" s="142">
        <v>838</v>
      </c>
      <c r="C619" s="141">
        <v>45832</v>
      </c>
      <c r="D619" s="140">
        <f>WEEKNUM(C619)</f>
        <v>26</v>
      </c>
      <c r="E619" s="140" t="s">
        <v>475</v>
      </c>
      <c r="F619" s="142" t="s">
        <v>794</v>
      </c>
      <c r="G619" s="142" t="s">
        <v>796</v>
      </c>
      <c r="H619" s="140" t="s">
        <v>51</v>
      </c>
      <c r="I619" s="142" t="s">
        <v>61</v>
      </c>
      <c r="J619" s="157">
        <v>70</v>
      </c>
      <c r="K619" s="143">
        <v>34</v>
      </c>
      <c r="L619" s="143">
        <f>K619*J619</f>
        <v>2380</v>
      </c>
      <c r="M619" s="143">
        <v>0</v>
      </c>
      <c r="N619" s="141">
        <v>45862</v>
      </c>
      <c r="O619" s="157">
        <f>WEEKNUM(N619)</f>
        <v>30</v>
      </c>
      <c r="P619" s="140"/>
      <c r="Q619" s="140" t="s">
        <v>29</v>
      </c>
      <c r="R619" s="143">
        <f>J619*0.25</f>
        <v>17.5</v>
      </c>
      <c r="S619" s="143">
        <f>J619*1</f>
        <v>70</v>
      </c>
      <c r="T619" s="143">
        <f>J619*1.5</f>
        <v>105</v>
      </c>
      <c r="U619" s="143">
        <f>J619*0.5</f>
        <v>35</v>
      </c>
      <c r="V619" s="143">
        <f>R619+S619+T619+U619</f>
        <v>227.5</v>
      </c>
    </row>
    <row r="620" spans="1:22" s="128" customFormat="1" ht="15.6" hidden="1" x14ac:dyDescent="0.3">
      <c r="A620" s="142" t="s">
        <v>477</v>
      </c>
      <c r="B620" s="142">
        <v>840</v>
      </c>
      <c r="C620" s="141">
        <v>45833</v>
      </c>
      <c r="D620" s="140">
        <f>WEEKNUM(C620)</f>
        <v>26</v>
      </c>
      <c r="E620" s="140" t="s">
        <v>475</v>
      </c>
      <c r="F620" s="140" t="s">
        <v>940</v>
      </c>
      <c r="G620" s="142" t="s">
        <v>946</v>
      </c>
      <c r="H620" s="140" t="s">
        <v>51</v>
      </c>
      <c r="I620" s="142" t="s">
        <v>61</v>
      </c>
      <c r="J620" s="157">
        <v>150</v>
      </c>
      <c r="K620" s="143">
        <v>40</v>
      </c>
      <c r="L620" s="143">
        <f>K620*J620</f>
        <v>6000</v>
      </c>
      <c r="M620" s="143">
        <v>0</v>
      </c>
      <c r="N620" s="141">
        <v>45868</v>
      </c>
      <c r="O620" s="157">
        <f>WEEKNUM(N620)</f>
        <v>31</v>
      </c>
      <c r="P620" s="140"/>
      <c r="Q620" s="140" t="s">
        <v>29</v>
      </c>
      <c r="R620" s="143">
        <f>J620*0.25</f>
        <v>37.5</v>
      </c>
      <c r="S620" s="143">
        <f>J620*0.8</f>
        <v>120</v>
      </c>
      <c r="T620" s="143">
        <f>J620*3</f>
        <v>450</v>
      </c>
      <c r="U620" s="143">
        <f>J620*0.5</f>
        <v>75</v>
      </c>
      <c r="V620" s="143">
        <f>R620+S620+T620+U620</f>
        <v>682.5</v>
      </c>
    </row>
    <row r="621" spans="1:22" s="128" customFormat="1" ht="15.6" hidden="1" x14ac:dyDescent="0.3">
      <c r="A621" s="142" t="s">
        <v>477</v>
      </c>
      <c r="B621" s="142">
        <v>840</v>
      </c>
      <c r="C621" s="141">
        <v>45833</v>
      </c>
      <c r="D621" s="140">
        <f>WEEKNUM(C621)</f>
        <v>26</v>
      </c>
      <c r="E621" s="140" t="s">
        <v>475</v>
      </c>
      <c r="F621" s="140" t="s">
        <v>940</v>
      </c>
      <c r="G621" s="142" t="s">
        <v>546</v>
      </c>
      <c r="H621" s="140" t="s">
        <v>494</v>
      </c>
      <c r="I621" s="142" t="s">
        <v>46</v>
      </c>
      <c r="J621" s="157">
        <v>50</v>
      </c>
      <c r="K621" s="143">
        <v>17</v>
      </c>
      <c r="L621" s="143">
        <f>K621*J621</f>
        <v>850</v>
      </c>
      <c r="M621" s="143">
        <v>0</v>
      </c>
      <c r="N621" s="141">
        <v>45868</v>
      </c>
      <c r="O621" s="157">
        <f>WEEKNUM(N621)</f>
        <v>31</v>
      </c>
      <c r="P621" s="140"/>
      <c r="Q621" s="140" t="s">
        <v>29</v>
      </c>
      <c r="R621" s="143">
        <f>J621*0.25</f>
        <v>12.5</v>
      </c>
      <c r="S621" s="143">
        <f>J621*1</f>
        <v>50</v>
      </c>
      <c r="T621" s="143">
        <f>J621*1.5</f>
        <v>75</v>
      </c>
      <c r="U621" s="143">
        <f>J621*0.5</f>
        <v>25</v>
      </c>
      <c r="V621" s="143">
        <f>R621+S621+T621+U621</f>
        <v>162.5</v>
      </c>
    </row>
    <row r="622" spans="1:22" s="128" customFormat="1" ht="15.6" hidden="1" x14ac:dyDescent="0.3">
      <c r="A622" s="142" t="s">
        <v>477</v>
      </c>
      <c r="B622" s="142">
        <v>845</v>
      </c>
      <c r="C622" s="141">
        <v>45838</v>
      </c>
      <c r="D622" s="140">
        <f>WEEKNUM(C622)</f>
        <v>27</v>
      </c>
      <c r="E622" s="140" t="s">
        <v>475</v>
      </c>
      <c r="F622" s="142" t="s">
        <v>782</v>
      </c>
      <c r="G622" s="142" t="s">
        <v>783</v>
      </c>
      <c r="H622" s="140" t="s">
        <v>494</v>
      </c>
      <c r="I622" s="142" t="s">
        <v>46</v>
      </c>
      <c r="J622" s="157">
        <v>450</v>
      </c>
      <c r="K622" s="143">
        <v>26.5</v>
      </c>
      <c r="L622" s="143">
        <f>K622*J622</f>
        <v>11925</v>
      </c>
      <c r="M622" s="143">
        <v>0</v>
      </c>
      <c r="N622" s="141">
        <v>45868</v>
      </c>
      <c r="O622" s="157">
        <f>WEEKNUM(N622)</f>
        <v>31</v>
      </c>
      <c r="P622" s="157">
        <f>WEEKNUM(O622)</f>
        <v>5</v>
      </c>
      <c r="Q622" s="140" t="s">
        <v>29</v>
      </c>
      <c r="R622" s="143">
        <f>J622*0.25</f>
        <v>112.5</v>
      </c>
      <c r="S622" s="143">
        <f>J622*1</f>
        <v>450</v>
      </c>
      <c r="T622" s="143">
        <f>J622*1.5</f>
        <v>675</v>
      </c>
      <c r="U622" s="143">
        <f>J622*0.5</f>
        <v>225</v>
      </c>
      <c r="V622" s="143">
        <f>R622+S622+T622+U622</f>
        <v>1462.5</v>
      </c>
    </row>
    <row r="623" spans="1:22" s="128" customFormat="1" ht="15.6" hidden="1" x14ac:dyDescent="0.3">
      <c r="A623" s="142" t="s">
        <v>477</v>
      </c>
      <c r="B623" s="142">
        <v>842</v>
      </c>
      <c r="C623" s="141">
        <v>45838</v>
      </c>
      <c r="D623" s="140">
        <f>WEEKNUM(C623)</f>
        <v>27</v>
      </c>
      <c r="E623" s="140" t="s">
        <v>475</v>
      </c>
      <c r="F623" s="142" t="s">
        <v>794</v>
      </c>
      <c r="G623" s="142" t="s">
        <v>796</v>
      </c>
      <c r="H623" s="140" t="s">
        <v>51</v>
      </c>
      <c r="I623" s="142" t="s">
        <v>61</v>
      </c>
      <c r="J623" s="157">
        <v>30</v>
      </c>
      <c r="K623" s="143">
        <v>34</v>
      </c>
      <c r="L623" s="143">
        <f>K623*J623</f>
        <v>1020</v>
      </c>
      <c r="M623" s="143">
        <v>0</v>
      </c>
      <c r="N623" s="141">
        <v>45862</v>
      </c>
      <c r="O623" s="157">
        <f>WEEKNUM(N623)</f>
        <v>30</v>
      </c>
      <c r="P623" s="140"/>
      <c r="Q623" s="140" t="s">
        <v>29</v>
      </c>
      <c r="R623" s="143">
        <f>J623*0.25</f>
        <v>7.5</v>
      </c>
      <c r="S623" s="143">
        <f>J623*1</f>
        <v>30</v>
      </c>
      <c r="T623" s="143">
        <f>J623*1.5</f>
        <v>45</v>
      </c>
      <c r="U623" s="143">
        <f>J623*0.5</f>
        <v>15</v>
      </c>
      <c r="V623" s="143">
        <f>R623+S623+T623+U623</f>
        <v>97.5</v>
      </c>
    </row>
    <row r="624" spans="1:22" s="128" customFormat="1" ht="15.6" hidden="1" x14ac:dyDescent="0.3">
      <c r="A624" s="142" t="s">
        <v>477</v>
      </c>
      <c r="B624" s="142">
        <v>843</v>
      </c>
      <c r="C624" s="141">
        <v>45838</v>
      </c>
      <c r="D624" s="140">
        <f>WEEKNUM(C624)</f>
        <v>27</v>
      </c>
      <c r="E624" s="140" t="s">
        <v>475</v>
      </c>
      <c r="F624" s="142" t="s">
        <v>794</v>
      </c>
      <c r="G624" s="142" t="s">
        <v>796</v>
      </c>
      <c r="H624" s="140" t="s">
        <v>51</v>
      </c>
      <c r="I624" s="142" t="s">
        <v>61</v>
      </c>
      <c r="J624" s="157">
        <v>20</v>
      </c>
      <c r="K624" s="143">
        <v>34</v>
      </c>
      <c r="L624" s="143">
        <f>K624*J624</f>
        <v>680</v>
      </c>
      <c r="M624" s="143">
        <v>0</v>
      </c>
      <c r="N624" s="141">
        <v>45862</v>
      </c>
      <c r="O624" s="157">
        <f>WEEKNUM(N624)</f>
        <v>30</v>
      </c>
      <c r="P624" s="142"/>
      <c r="Q624" s="140" t="s">
        <v>29</v>
      </c>
      <c r="R624" s="143">
        <f>J624*0.25</f>
        <v>5</v>
      </c>
      <c r="S624" s="143">
        <f>J624*1</f>
        <v>20</v>
      </c>
      <c r="T624" s="143">
        <f>J624*1.5</f>
        <v>30</v>
      </c>
      <c r="U624" s="143">
        <f>J624*0.5</f>
        <v>10</v>
      </c>
      <c r="V624" s="143">
        <f>R624+S624+T624+U624</f>
        <v>65</v>
      </c>
    </row>
    <row r="625" spans="1:22" s="128" customFormat="1" ht="15.6" hidden="1" x14ac:dyDescent="0.3">
      <c r="A625" s="142" t="s">
        <v>477</v>
      </c>
      <c r="B625" s="142">
        <v>844</v>
      </c>
      <c r="C625" s="141">
        <v>45838</v>
      </c>
      <c r="D625" s="140">
        <f>WEEKNUM(C625)</f>
        <v>27</v>
      </c>
      <c r="E625" s="140" t="s">
        <v>475</v>
      </c>
      <c r="F625" s="142" t="s">
        <v>794</v>
      </c>
      <c r="G625" s="142" t="s">
        <v>796</v>
      </c>
      <c r="H625" s="140" t="s">
        <v>51</v>
      </c>
      <c r="I625" s="142" t="s">
        <v>61</v>
      </c>
      <c r="J625" s="157">
        <v>80</v>
      </c>
      <c r="K625" s="143">
        <v>34</v>
      </c>
      <c r="L625" s="143">
        <f>K625*J625</f>
        <v>2720</v>
      </c>
      <c r="M625" s="143">
        <v>0</v>
      </c>
      <c r="N625" s="141">
        <v>45862</v>
      </c>
      <c r="O625" s="157">
        <f>WEEKNUM(N625)</f>
        <v>30</v>
      </c>
      <c r="P625" s="142"/>
      <c r="Q625" s="140" t="s">
        <v>29</v>
      </c>
      <c r="R625" s="143">
        <f>J625*0.25</f>
        <v>20</v>
      </c>
      <c r="S625" s="143">
        <f>J625*1</f>
        <v>80</v>
      </c>
      <c r="T625" s="143">
        <f>J625*1.5</f>
        <v>120</v>
      </c>
      <c r="U625" s="143">
        <f>J625*0.5</f>
        <v>40</v>
      </c>
      <c r="V625" s="143">
        <f>R625+S625+T625+U625</f>
        <v>260</v>
      </c>
    </row>
    <row r="626" spans="1:22" s="128" customFormat="1" ht="15.6" hidden="1" x14ac:dyDescent="0.3">
      <c r="A626" s="142" t="s">
        <v>477</v>
      </c>
      <c r="B626" s="142">
        <v>847</v>
      </c>
      <c r="C626" s="141">
        <v>45839</v>
      </c>
      <c r="D626" s="140">
        <f>WEEKNUM(C626)</f>
        <v>27</v>
      </c>
      <c r="E626" s="140" t="s">
        <v>475</v>
      </c>
      <c r="F626" s="142" t="s">
        <v>525</v>
      </c>
      <c r="G626" s="140" t="s">
        <v>480</v>
      </c>
      <c r="H626" s="140" t="s">
        <v>51</v>
      </c>
      <c r="I626" s="142" t="s">
        <v>46</v>
      </c>
      <c r="J626" s="157">
        <v>100</v>
      </c>
      <c r="K626" s="143">
        <v>19.7</v>
      </c>
      <c r="L626" s="143">
        <f>K626*J626</f>
        <v>1970</v>
      </c>
      <c r="M626" s="143">
        <v>0</v>
      </c>
      <c r="N626" s="141">
        <v>45852</v>
      </c>
      <c r="O626" s="157">
        <f>WEEKNUM(N626)</f>
        <v>29</v>
      </c>
      <c r="P626" s="157">
        <f>WEEKNUM(O626)</f>
        <v>5</v>
      </c>
      <c r="Q626" s="140" t="s">
        <v>29</v>
      </c>
      <c r="R626" s="143">
        <f>J626*0.25</f>
        <v>25</v>
      </c>
      <c r="S626" s="143">
        <f>J626*1</f>
        <v>100</v>
      </c>
      <c r="T626" s="143">
        <f>J626*1.5</f>
        <v>150</v>
      </c>
      <c r="U626" s="143">
        <f>J626*0.5</f>
        <v>50</v>
      </c>
      <c r="V626" s="143">
        <f>R626+S626+T626+U626</f>
        <v>325</v>
      </c>
    </row>
    <row r="627" spans="1:22" s="128" customFormat="1" ht="15.6" hidden="1" x14ac:dyDescent="0.3">
      <c r="A627" s="142" t="s">
        <v>477</v>
      </c>
      <c r="B627" s="142">
        <v>194</v>
      </c>
      <c r="C627" s="141">
        <v>45839</v>
      </c>
      <c r="D627" s="140">
        <f>WEEKNUM(C627)</f>
        <v>27</v>
      </c>
      <c r="E627" s="142" t="s">
        <v>498</v>
      </c>
      <c r="F627" s="140" t="s">
        <v>446</v>
      </c>
      <c r="G627" s="142" t="s">
        <v>596</v>
      </c>
      <c r="H627" s="140" t="s">
        <v>51</v>
      </c>
      <c r="I627" s="142" t="s">
        <v>46</v>
      </c>
      <c r="J627" s="157">
        <v>2500</v>
      </c>
      <c r="K627" s="143">
        <v>23.5</v>
      </c>
      <c r="L627" s="143">
        <f>K627*J627</f>
        <v>58750</v>
      </c>
      <c r="M627" s="143">
        <v>0</v>
      </c>
      <c r="N627" s="141">
        <v>45882</v>
      </c>
      <c r="O627" s="157">
        <f>WEEKNUM(N627)</f>
        <v>33</v>
      </c>
      <c r="P627" s="140"/>
      <c r="Q627" s="140" t="s">
        <v>29</v>
      </c>
      <c r="R627" s="143">
        <f>J627*0.25</f>
        <v>625</v>
      </c>
      <c r="S627" s="143">
        <f>J627*1</f>
        <v>2500</v>
      </c>
      <c r="T627" s="143">
        <f>J627*1.84</f>
        <v>4600</v>
      </c>
      <c r="U627" s="143">
        <f>J627*0.5</f>
        <v>1250</v>
      </c>
      <c r="V627" s="156">
        <f>SUM(R627:U627)</f>
        <v>8975</v>
      </c>
    </row>
    <row r="628" spans="1:22" s="128" customFormat="1" ht="15.6" hidden="1" x14ac:dyDescent="0.3">
      <c r="A628" s="142" t="s">
        <v>491</v>
      </c>
      <c r="B628" s="142">
        <v>195</v>
      </c>
      <c r="C628" s="141">
        <v>45839</v>
      </c>
      <c r="D628" s="140">
        <f>WEEKNUM(C628)</f>
        <v>27</v>
      </c>
      <c r="E628" s="142" t="s">
        <v>68</v>
      </c>
      <c r="F628" s="142" t="s">
        <v>811</v>
      </c>
      <c r="G628" s="142" t="s">
        <v>311</v>
      </c>
      <c r="H628" s="140" t="s">
        <v>51</v>
      </c>
      <c r="I628" s="142" t="s">
        <v>46</v>
      </c>
      <c r="J628" s="157">
        <v>10</v>
      </c>
      <c r="K628" s="143">
        <v>25</v>
      </c>
      <c r="L628" s="143">
        <f>K628*J628</f>
        <v>250</v>
      </c>
      <c r="M628" s="143">
        <v>0</v>
      </c>
      <c r="N628" s="141">
        <v>45861</v>
      </c>
      <c r="O628" s="157">
        <f>WEEKNUM(N628)</f>
        <v>30</v>
      </c>
      <c r="P628" s="140"/>
      <c r="Q628" s="140" t="s">
        <v>29</v>
      </c>
      <c r="R628" s="143">
        <f>J628*0.25</f>
        <v>2.5</v>
      </c>
      <c r="S628" s="143">
        <f>J628*1</f>
        <v>10</v>
      </c>
      <c r="T628" s="143">
        <f>J628*1.5</f>
        <v>15</v>
      </c>
      <c r="U628" s="143">
        <f>J628*0.5</f>
        <v>5</v>
      </c>
      <c r="V628" s="143">
        <f>R628+S628+T628+U628</f>
        <v>32.5</v>
      </c>
    </row>
    <row r="629" spans="1:22" s="128" customFormat="1" ht="15.6" hidden="1" x14ac:dyDescent="0.3">
      <c r="A629" s="142" t="s">
        <v>491</v>
      </c>
      <c r="B629" s="142">
        <v>195</v>
      </c>
      <c r="C629" s="141">
        <v>45839</v>
      </c>
      <c r="D629" s="140">
        <f>WEEKNUM(C629)</f>
        <v>27</v>
      </c>
      <c r="E629" s="142" t="s">
        <v>68</v>
      </c>
      <c r="F629" s="142" t="s">
        <v>811</v>
      </c>
      <c r="G629" s="142" t="s">
        <v>408</v>
      </c>
      <c r="H629" s="140" t="s">
        <v>80</v>
      </c>
      <c r="I629" s="142" t="s">
        <v>46</v>
      </c>
      <c r="J629" s="157">
        <v>5</v>
      </c>
      <c r="K629" s="143">
        <v>21</v>
      </c>
      <c r="L629" s="143">
        <f>K629*J629</f>
        <v>105</v>
      </c>
      <c r="M629" s="143">
        <v>0</v>
      </c>
      <c r="N629" s="141">
        <v>45861</v>
      </c>
      <c r="O629" s="157">
        <f>WEEKNUM(N629)</f>
        <v>30</v>
      </c>
      <c r="P629" s="140"/>
      <c r="Q629" s="140" t="s">
        <v>29</v>
      </c>
      <c r="R629" s="156">
        <f>J629*0.25</f>
        <v>1.25</v>
      </c>
      <c r="S629" s="156">
        <f>J629*1</f>
        <v>5</v>
      </c>
      <c r="T629" s="156">
        <f>J629*1.2</f>
        <v>6</v>
      </c>
      <c r="U629" s="156">
        <f>J629*0.5</f>
        <v>2.5</v>
      </c>
      <c r="V629" s="156">
        <f>R629+S629+T629+U629</f>
        <v>14.75</v>
      </c>
    </row>
    <row r="630" spans="1:22" s="128" customFormat="1" ht="15.6" hidden="1" x14ac:dyDescent="0.3">
      <c r="A630" s="142" t="s">
        <v>491</v>
      </c>
      <c r="B630" s="142">
        <v>195</v>
      </c>
      <c r="C630" s="141">
        <v>45839</v>
      </c>
      <c r="D630" s="140">
        <f>WEEKNUM(C630)</f>
        <v>27</v>
      </c>
      <c r="E630" s="142" t="s">
        <v>68</v>
      </c>
      <c r="F630" s="142" t="s">
        <v>811</v>
      </c>
      <c r="G630" s="140" t="s">
        <v>503</v>
      </c>
      <c r="H630" s="140" t="s">
        <v>354</v>
      </c>
      <c r="I630" s="142" t="s">
        <v>46</v>
      </c>
      <c r="J630" s="157">
        <v>9</v>
      </c>
      <c r="K630" s="143">
        <v>36.75</v>
      </c>
      <c r="L630" s="143">
        <f>K630*J630</f>
        <v>330.75</v>
      </c>
      <c r="M630" s="143">
        <v>0</v>
      </c>
      <c r="N630" s="141">
        <v>45861</v>
      </c>
      <c r="O630" s="157">
        <f>WEEKNUM(N630)</f>
        <v>30</v>
      </c>
      <c r="P630" s="140"/>
      <c r="Q630" s="140" t="s">
        <v>29</v>
      </c>
      <c r="R630" s="143">
        <f>J630*0.25</f>
        <v>2.25</v>
      </c>
      <c r="S630" s="143">
        <f>J630*1</f>
        <v>9</v>
      </c>
      <c r="T630" s="143">
        <f>J630*1.5</f>
        <v>13.5</v>
      </c>
      <c r="U630" s="143">
        <f>J630*0.5</f>
        <v>4.5</v>
      </c>
      <c r="V630" s="143">
        <f>R630+S630+T630+U630</f>
        <v>29.25</v>
      </c>
    </row>
    <row r="631" spans="1:22" s="128" customFormat="1" ht="15.6" hidden="1" x14ac:dyDescent="0.3">
      <c r="A631" s="142" t="s">
        <v>491</v>
      </c>
      <c r="B631" s="142">
        <v>195</v>
      </c>
      <c r="C631" s="141">
        <v>45839</v>
      </c>
      <c r="D631" s="140">
        <f>WEEKNUM(C631)</f>
        <v>27</v>
      </c>
      <c r="E631" s="142" t="s">
        <v>68</v>
      </c>
      <c r="F631" s="142" t="s">
        <v>811</v>
      </c>
      <c r="G631" s="142" t="s">
        <v>301</v>
      </c>
      <c r="H631" s="140" t="s">
        <v>74</v>
      </c>
      <c r="I631" s="142" t="s">
        <v>46</v>
      </c>
      <c r="J631" s="157">
        <v>4</v>
      </c>
      <c r="K631" s="143">
        <v>36.75</v>
      </c>
      <c r="L631" s="143">
        <f>K631*J631</f>
        <v>147</v>
      </c>
      <c r="M631" s="143">
        <v>0</v>
      </c>
      <c r="N631" s="141">
        <v>45861</v>
      </c>
      <c r="O631" s="157">
        <f>WEEKNUM(N631)</f>
        <v>30</v>
      </c>
      <c r="P631" s="140"/>
      <c r="Q631" s="140" t="s">
        <v>29</v>
      </c>
      <c r="R631" s="143">
        <f>J631*0.25</f>
        <v>1</v>
      </c>
      <c r="S631" s="143">
        <f>J631*1</f>
        <v>4</v>
      </c>
      <c r="T631" s="143">
        <f>J631*1.5</f>
        <v>6</v>
      </c>
      <c r="U631" s="143">
        <f>J631*0.5</f>
        <v>2</v>
      </c>
      <c r="V631" s="143">
        <f>R631+S631+T631+U631</f>
        <v>13</v>
      </c>
    </row>
    <row r="632" spans="1:22" s="128" customFormat="1" ht="15.6" hidden="1" x14ac:dyDescent="0.3">
      <c r="A632" s="142" t="s">
        <v>491</v>
      </c>
      <c r="B632" s="142">
        <v>195</v>
      </c>
      <c r="C632" s="141">
        <v>45839</v>
      </c>
      <c r="D632" s="140">
        <f>WEEKNUM(C632)</f>
        <v>27</v>
      </c>
      <c r="E632" s="142" t="s">
        <v>68</v>
      </c>
      <c r="F632" s="142" t="s">
        <v>811</v>
      </c>
      <c r="G632" s="142" t="s">
        <v>339</v>
      </c>
      <c r="H632" s="142" t="s">
        <v>340</v>
      </c>
      <c r="I632" s="142" t="s">
        <v>46</v>
      </c>
      <c r="J632" s="157">
        <v>2</v>
      </c>
      <c r="K632" s="143">
        <v>65</v>
      </c>
      <c r="L632" s="143">
        <f>K632*J632</f>
        <v>130</v>
      </c>
      <c r="M632" s="143">
        <v>0</v>
      </c>
      <c r="N632" s="141">
        <v>45861</v>
      </c>
      <c r="O632" s="157">
        <f>WEEKNUM(N632)</f>
        <v>30</v>
      </c>
      <c r="P632" s="140"/>
      <c r="Q632" s="140" t="s">
        <v>29</v>
      </c>
      <c r="R632" s="143">
        <v>0</v>
      </c>
      <c r="S632" s="143">
        <f>J632*1</f>
        <v>2</v>
      </c>
      <c r="T632" s="143">
        <v>0</v>
      </c>
      <c r="U632" s="143">
        <f>J632*0.5</f>
        <v>1</v>
      </c>
      <c r="V632" s="143">
        <f>R632+S632+T632+U632</f>
        <v>3</v>
      </c>
    </row>
    <row r="633" spans="1:22" s="128" customFormat="1" ht="15.6" hidden="1" x14ac:dyDescent="0.3">
      <c r="A633" s="142" t="s">
        <v>491</v>
      </c>
      <c r="B633" s="142">
        <v>195</v>
      </c>
      <c r="C633" s="141">
        <v>45839</v>
      </c>
      <c r="D633" s="140">
        <f>WEEKNUM(C633)</f>
        <v>27</v>
      </c>
      <c r="E633" s="142" t="s">
        <v>68</v>
      </c>
      <c r="F633" s="142" t="s">
        <v>811</v>
      </c>
      <c r="G633" s="142" t="s">
        <v>505</v>
      </c>
      <c r="H633" s="140" t="s">
        <v>78</v>
      </c>
      <c r="I633" s="142" t="s">
        <v>61</v>
      </c>
      <c r="J633" s="157">
        <v>4</v>
      </c>
      <c r="K633" s="143">
        <v>75</v>
      </c>
      <c r="L633" s="143">
        <f>K633*J633</f>
        <v>300</v>
      </c>
      <c r="M633" s="143">
        <v>0</v>
      </c>
      <c r="N633" s="141">
        <v>45861</v>
      </c>
      <c r="O633" s="157">
        <f>WEEKNUM(N633)</f>
        <v>30</v>
      </c>
      <c r="P633" s="140"/>
      <c r="Q633" s="140" t="s">
        <v>29</v>
      </c>
      <c r="R633" s="143">
        <f>J633*0.25</f>
        <v>1</v>
      </c>
      <c r="S633" s="143">
        <f>J633*1</f>
        <v>4</v>
      </c>
      <c r="T633" s="143"/>
      <c r="U633" s="143">
        <f>J633*0.5</f>
        <v>2</v>
      </c>
      <c r="V633" s="143">
        <f>R633+S633+T633+U633</f>
        <v>7</v>
      </c>
    </row>
    <row r="634" spans="1:22" s="128" customFormat="1" ht="15.6" hidden="1" x14ac:dyDescent="0.3">
      <c r="A634" s="142" t="s">
        <v>477</v>
      </c>
      <c r="B634" s="142">
        <v>846</v>
      </c>
      <c r="C634" s="141">
        <v>45839</v>
      </c>
      <c r="D634" s="140">
        <f>WEEKNUM(C634)</f>
        <v>27</v>
      </c>
      <c r="E634" s="142" t="s">
        <v>498</v>
      </c>
      <c r="F634" s="140" t="s">
        <v>459</v>
      </c>
      <c r="G634" s="142" t="s">
        <v>411</v>
      </c>
      <c r="H634" s="142" t="s">
        <v>340</v>
      </c>
      <c r="I634" s="142" t="s">
        <v>46</v>
      </c>
      <c r="J634" s="157">
        <v>450</v>
      </c>
      <c r="K634" s="143">
        <v>40</v>
      </c>
      <c r="L634" s="143">
        <f>K634*J634</f>
        <v>18000</v>
      </c>
      <c r="M634" s="143">
        <v>0</v>
      </c>
      <c r="N634" s="141">
        <v>45868</v>
      </c>
      <c r="O634" s="157">
        <f>WEEKNUM(N634)</f>
        <v>31</v>
      </c>
      <c r="P634" s="157">
        <v>28</v>
      </c>
      <c r="Q634" s="140" t="s">
        <v>29</v>
      </c>
      <c r="R634" s="143">
        <v>0</v>
      </c>
      <c r="S634" s="143">
        <f>J634*1</f>
        <v>450</v>
      </c>
      <c r="T634" s="143">
        <v>0</v>
      </c>
      <c r="U634" s="143">
        <f>J634*0.5</f>
        <v>225</v>
      </c>
      <c r="V634" s="143">
        <f>R634+S634+T634+U634</f>
        <v>675</v>
      </c>
    </row>
    <row r="635" spans="1:22" s="128" customFormat="1" ht="15.6" hidden="1" x14ac:dyDescent="0.3">
      <c r="A635" s="142" t="s">
        <v>477</v>
      </c>
      <c r="B635" s="142">
        <v>850</v>
      </c>
      <c r="C635" s="141">
        <v>45840</v>
      </c>
      <c r="D635" s="140">
        <f>WEEKNUM(C635)</f>
        <v>27</v>
      </c>
      <c r="E635" s="140" t="s">
        <v>475</v>
      </c>
      <c r="F635" s="140" t="s">
        <v>809</v>
      </c>
      <c r="G635" s="142" t="s">
        <v>301</v>
      </c>
      <c r="H635" s="140" t="s">
        <v>74</v>
      </c>
      <c r="I635" s="142" t="s">
        <v>46</v>
      </c>
      <c r="J635" s="157">
        <v>87</v>
      </c>
      <c r="K635" s="143">
        <v>28</v>
      </c>
      <c r="L635" s="143">
        <f>K635*J635</f>
        <v>2436</v>
      </c>
      <c r="M635" s="143">
        <v>0</v>
      </c>
      <c r="N635" s="141"/>
      <c r="O635" s="157">
        <f>WEEKNUM(N635)</f>
        <v>0</v>
      </c>
      <c r="P635" s="157"/>
      <c r="Q635" s="140" t="s">
        <v>29</v>
      </c>
      <c r="R635" s="143">
        <f>J635*0.25</f>
        <v>21.75</v>
      </c>
      <c r="S635" s="143">
        <f>J635*1</f>
        <v>87</v>
      </c>
      <c r="T635" s="143">
        <f>J635*1.5</f>
        <v>130.5</v>
      </c>
      <c r="U635" s="143">
        <f>J635*0.5</f>
        <v>43.5</v>
      </c>
      <c r="V635" s="143">
        <f>R635+S635+T635+U635</f>
        <v>282.75</v>
      </c>
    </row>
    <row r="636" spans="1:22" s="128" customFormat="1" ht="15.6" hidden="1" x14ac:dyDescent="0.3">
      <c r="A636" s="142" t="s">
        <v>491</v>
      </c>
      <c r="B636" s="142">
        <v>1237</v>
      </c>
      <c r="C636" s="141">
        <v>45842</v>
      </c>
      <c r="D636" s="140">
        <f>WEEKNUM(C636)</f>
        <v>27</v>
      </c>
      <c r="E636" s="142" t="s">
        <v>68</v>
      </c>
      <c r="F636" s="142" t="s">
        <v>375</v>
      </c>
      <c r="G636" s="142" t="s">
        <v>301</v>
      </c>
      <c r="H636" s="140" t="s">
        <v>74</v>
      </c>
      <c r="I636" s="142" t="s">
        <v>46</v>
      </c>
      <c r="J636" s="157">
        <v>28</v>
      </c>
      <c r="K636" s="143">
        <v>36.75</v>
      </c>
      <c r="L636" s="143">
        <f>K636*J636</f>
        <v>1029</v>
      </c>
      <c r="M636" s="143">
        <v>0</v>
      </c>
      <c r="N636" s="141">
        <v>45876</v>
      </c>
      <c r="O636" s="157">
        <f>WEEKNUM(N636)</f>
        <v>32</v>
      </c>
      <c r="P636" s="140"/>
      <c r="Q636" s="140" t="s">
        <v>29</v>
      </c>
      <c r="R636" s="143">
        <f>J636*0.25</f>
        <v>7</v>
      </c>
      <c r="S636" s="143">
        <f>J636*1</f>
        <v>28</v>
      </c>
      <c r="T636" s="143">
        <f>J636*1.5</f>
        <v>42</v>
      </c>
      <c r="U636" s="143">
        <f>J636*0.5</f>
        <v>14</v>
      </c>
      <c r="V636" s="143">
        <f>R636+S636+T636+U636</f>
        <v>91</v>
      </c>
    </row>
    <row r="637" spans="1:22" s="128" customFormat="1" ht="15.6" hidden="1" x14ac:dyDescent="0.3">
      <c r="A637" s="142" t="s">
        <v>491</v>
      </c>
      <c r="B637" s="142">
        <v>1237</v>
      </c>
      <c r="C637" s="141">
        <v>45842</v>
      </c>
      <c r="D637" s="140">
        <f>WEEKNUM(C637)</f>
        <v>27</v>
      </c>
      <c r="E637" s="142" t="s">
        <v>68</v>
      </c>
      <c r="F637" s="142" t="s">
        <v>375</v>
      </c>
      <c r="G637" s="142" t="s">
        <v>311</v>
      </c>
      <c r="H637" s="140" t="s">
        <v>51</v>
      </c>
      <c r="I637" s="142" t="s">
        <v>46</v>
      </c>
      <c r="J637" s="157">
        <v>14</v>
      </c>
      <c r="K637" s="143">
        <v>25</v>
      </c>
      <c r="L637" s="143">
        <f>K637*J637</f>
        <v>350</v>
      </c>
      <c r="M637" s="143">
        <v>0</v>
      </c>
      <c r="N637" s="141">
        <v>45876</v>
      </c>
      <c r="O637" s="157">
        <f>WEEKNUM(N637)</f>
        <v>32</v>
      </c>
      <c r="P637" s="140"/>
      <c r="Q637" s="140" t="s">
        <v>29</v>
      </c>
      <c r="R637" s="143">
        <f>J637*0.25</f>
        <v>3.5</v>
      </c>
      <c r="S637" s="143">
        <f>J637*1</f>
        <v>14</v>
      </c>
      <c r="T637" s="143">
        <f>J637*1.5</f>
        <v>21</v>
      </c>
      <c r="U637" s="143">
        <f>J637*0.5</f>
        <v>7</v>
      </c>
      <c r="V637" s="143">
        <f>R637+S637+T637+U637</f>
        <v>45.5</v>
      </c>
    </row>
    <row r="638" spans="1:22" s="128" customFormat="1" ht="15.6" hidden="1" x14ac:dyDescent="0.3">
      <c r="A638" s="142" t="s">
        <v>491</v>
      </c>
      <c r="B638" s="142">
        <v>1237</v>
      </c>
      <c r="C638" s="141">
        <v>45842</v>
      </c>
      <c r="D638" s="140">
        <f>WEEKNUM(C638)</f>
        <v>27</v>
      </c>
      <c r="E638" s="142" t="s">
        <v>68</v>
      </c>
      <c r="F638" s="142" t="s">
        <v>375</v>
      </c>
      <c r="G638" s="142" t="s">
        <v>408</v>
      </c>
      <c r="H638" s="140" t="s">
        <v>80</v>
      </c>
      <c r="I638" s="142" t="s">
        <v>46</v>
      </c>
      <c r="J638" s="157">
        <v>12</v>
      </c>
      <c r="K638" s="143">
        <v>21</v>
      </c>
      <c r="L638" s="143">
        <f>K638*J638</f>
        <v>252</v>
      </c>
      <c r="M638" s="143">
        <v>0</v>
      </c>
      <c r="N638" s="141">
        <v>45876</v>
      </c>
      <c r="O638" s="157">
        <f>WEEKNUM(N638)</f>
        <v>32</v>
      </c>
      <c r="P638" s="140"/>
      <c r="Q638" s="140" t="s">
        <v>29</v>
      </c>
      <c r="R638" s="156">
        <f>J638*0.25</f>
        <v>3</v>
      </c>
      <c r="S638" s="156">
        <f>J638*1</f>
        <v>12</v>
      </c>
      <c r="T638" s="156">
        <f>J638*1.2</f>
        <v>14.399999999999999</v>
      </c>
      <c r="U638" s="156">
        <f>J638*0.5</f>
        <v>6</v>
      </c>
      <c r="V638" s="156">
        <f>R638+S638+T638+U638</f>
        <v>35.4</v>
      </c>
    </row>
    <row r="639" spans="1:22" s="128" customFormat="1" ht="15.6" hidden="1" x14ac:dyDescent="0.3">
      <c r="A639" s="142" t="s">
        <v>491</v>
      </c>
      <c r="B639" s="142">
        <v>1237</v>
      </c>
      <c r="C639" s="141">
        <v>45842</v>
      </c>
      <c r="D639" s="140">
        <f>WEEKNUM(C639)</f>
        <v>27</v>
      </c>
      <c r="E639" s="142" t="s">
        <v>68</v>
      </c>
      <c r="F639" s="142" t="s">
        <v>375</v>
      </c>
      <c r="G639" s="142" t="s">
        <v>339</v>
      </c>
      <c r="H639" s="142" t="s">
        <v>340</v>
      </c>
      <c r="I639" s="142" t="s">
        <v>46</v>
      </c>
      <c r="J639" s="157">
        <v>6</v>
      </c>
      <c r="K639" s="143">
        <v>65</v>
      </c>
      <c r="L639" s="143">
        <f>K639*J639</f>
        <v>390</v>
      </c>
      <c r="M639" s="143">
        <v>0</v>
      </c>
      <c r="N639" s="141">
        <v>45876</v>
      </c>
      <c r="O639" s="157">
        <f>WEEKNUM(N639)</f>
        <v>32</v>
      </c>
      <c r="P639" s="140"/>
      <c r="Q639" s="140" t="s">
        <v>29</v>
      </c>
      <c r="R639" s="143">
        <v>0</v>
      </c>
      <c r="S639" s="143">
        <f>J639*1</f>
        <v>6</v>
      </c>
      <c r="T639" s="143">
        <v>0</v>
      </c>
      <c r="U639" s="143">
        <f>J639*0.5</f>
        <v>3</v>
      </c>
      <c r="V639" s="143">
        <f>R639+S639+T639+U639</f>
        <v>9</v>
      </c>
    </row>
    <row r="640" spans="1:22" s="128" customFormat="1" ht="15.6" hidden="1" x14ac:dyDescent="0.3">
      <c r="A640" s="142" t="s">
        <v>491</v>
      </c>
      <c r="B640" s="142">
        <v>1237</v>
      </c>
      <c r="C640" s="141">
        <v>45842</v>
      </c>
      <c r="D640" s="140">
        <f>WEEKNUM(C640)</f>
        <v>27</v>
      </c>
      <c r="E640" s="142" t="s">
        <v>68</v>
      </c>
      <c r="F640" s="142" t="s">
        <v>375</v>
      </c>
      <c r="G640" s="142" t="s">
        <v>374</v>
      </c>
      <c r="H640" s="140" t="s">
        <v>74</v>
      </c>
      <c r="I640" s="142" t="s">
        <v>46</v>
      </c>
      <c r="J640" s="157">
        <v>34</v>
      </c>
      <c r="K640" s="143">
        <v>47.5</v>
      </c>
      <c r="L640" s="143">
        <f>K640*J640</f>
        <v>1615</v>
      </c>
      <c r="M640" s="143">
        <v>0</v>
      </c>
      <c r="N640" s="141">
        <v>45876</v>
      </c>
      <c r="O640" s="157">
        <f>WEEKNUM(N640)</f>
        <v>32</v>
      </c>
      <c r="P640" s="140"/>
      <c r="Q640" s="140" t="s">
        <v>29</v>
      </c>
      <c r="R640" s="143">
        <f>J640*0.25</f>
        <v>8.5</v>
      </c>
      <c r="S640" s="143">
        <f>J640*1</f>
        <v>34</v>
      </c>
      <c r="T640" s="143">
        <f>J640*1.5</f>
        <v>51</v>
      </c>
      <c r="U640" s="143">
        <f>J640*0.5</f>
        <v>17</v>
      </c>
      <c r="V640" s="143">
        <f>R640+S640+T640+U640</f>
        <v>110.5</v>
      </c>
    </row>
    <row r="641" spans="1:22" s="128" customFormat="1" ht="15.6" hidden="1" x14ac:dyDescent="0.3">
      <c r="A641" s="142" t="s">
        <v>496</v>
      </c>
      <c r="B641" s="142">
        <v>197</v>
      </c>
      <c r="C641" s="141">
        <v>45845</v>
      </c>
      <c r="D641" s="140">
        <f>WEEKNUM(C641)</f>
        <v>28</v>
      </c>
      <c r="E641" s="142" t="s">
        <v>498</v>
      </c>
      <c r="F641" s="140" t="s">
        <v>446</v>
      </c>
      <c r="G641" s="142" t="s">
        <v>597</v>
      </c>
      <c r="H641" s="140" t="s">
        <v>51</v>
      </c>
      <c r="I641" s="142" t="s">
        <v>46</v>
      </c>
      <c r="J641" s="157">
        <v>350</v>
      </c>
      <c r="K641" s="143">
        <v>23.5</v>
      </c>
      <c r="L641" s="143">
        <f>K641*J641</f>
        <v>8225</v>
      </c>
      <c r="M641" s="143">
        <v>0</v>
      </c>
      <c r="N641" s="141">
        <v>45877</v>
      </c>
      <c r="O641" s="157">
        <f>WEEKNUM(N641)</f>
        <v>32</v>
      </c>
      <c r="P641" s="140"/>
      <c r="Q641" s="140" t="s">
        <v>29</v>
      </c>
      <c r="R641" s="143">
        <f>J641*0.25</f>
        <v>87.5</v>
      </c>
      <c r="S641" s="143">
        <f>J641*1</f>
        <v>350</v>
      </c>
      <c r="T641" s="143">
        <f>J641*1.5</f>
        <v>525</v>
      </c>
      <c r="U641" s="143">
        <f>J641*0.5</f>
        <v>175</v>
      </c>
      <c r="V641" s="143">
        <f>R641+S641+T641+U641</f>
        <v>1137.5</v>
      </c>
    </row>
    <row r="642" spans="1:22" s="128" customFormat="1" ht="15.6" hidden="1" x14ac:dyDescent="0.3">
      <c r="A642" s="142" t="s">
        <v>491</v>
      </c>
      <c r="B642" s="142">
        <v>198</v>
      </c>
      <c r="C642" s="141">
        <v>45845</v>
      </c>
      <c r="D642" s="140">
        <f>WEEKNUM(C642)</f>
        <v>28</v>
      </c>
      <c r="E642" s="142" t="s">
        <v>68</v>
      </c>
      <c r="F642" s="142" t="s">
        <v>317</v>
      </c>
      <c r="G642" s="142" t="s">
        <v>339</v>
      </c>
      <c r="H642" s="142" t="s">
        <v>340</v>
      </c>
      <c r="I642" s="142" t="s">
        <v>46</v>
      </c>
      <c r="J642" s="157">
        <v>3</v>
      </c>
      <c r="K642" s="143">
        <v>65</v>
      </c>
      <c r="L642" s="143">
        <f>K642*J642</f>
        <v>195</v>
      </c>
      <c r="M642" s="143">
        <v>0</v>
      </c>
      <c r="N642" s="141">
        <v>45877</v>
      </c>
      <c r="O642" s="157">
        <f>WEEKNUM(N642)</f>
        <v>32</v>
      </c>
      <c r="P642" s="140"/>
      <c r="Q642" s="140" t="s">
        <v>29</v>
      </c>
      <c r="R642" s="143">
        <v>0</v>
      </c>
      <c r="S642" s="143">
        <f>J642*1</f>
        <v>3</v>
      </c>
      <c r="T642" s="143">
        <v>0</v>
      </c>
      <c r="U642" s="143">
        <f>J642*0.5</f>
        <v>1.5</v>
      </c>
      <c r="V642" s="143">
        <f>R642+S642+T642+U642</f>
        <v>4.5</v>
      </c>
    </row>
    <row r="643" spans="1:22" s="128" customFormat="1" ht="15.6" hidden="1" x14ac:dyDescent="0.3">
      <c r="A643" s="142" t="s">
        <v>491</v>
      </c>
      <c r="B643" s="142">
        <v>198</v>
      </c>
      <c r="C643" s="141">
        <v>45845</v>
      </c>
      <c r="D643" s="140">
        <f>WEEKNUM(C643)</f>
        <v>28</v>
      </c>
      <c r="E643" s="142" t="s">
        <v>68</v>
      </c>
      <c r="F643" s="142" t="s">
        <v>317</v>
      </c>
      <c r="G643" s="142" t="s">
        <v>311</v>
      </c>
      <c r="H643" s="140" t="s">
        <v>51</v>
      </c>
      <c r="I643" s="142" t="s">
        <v>46</v>
      </c>
      <c r="J643" s="157">
        <v>5</v>
      </c>
      <c r="K643" s="143">
        <v>25</v>
      </c>
      <c r="L643" s="143">
        <f>K643*J643</f>
        <v>125</v>
      </c>
      <c r="M643" s="143">
        <v>0</v>
      </c>
      <c r="N643" s="141">
        <v>45877</v>
      </c>
      <c r="O643" s="157">
        <f>WEEKNUM(N643)</f>
        <v>32</v>
      </c>
      <c r="P643" s="140"/>
      <c r="Q643" s="140" t="s">
        <v>29</v>
      </c>
      <c r="R643" s="143">
        <f>J643*0.25</f>
        <v>1.25</v>
      </c>
      <c r="S643" s="143">
        <f>J643*1</f>
        <v>5</v>
      </c>
      <c r="T643" s="143">
        <f>J643*1.5</f>
        <v>7.5</v>
      </c>
      <c r="U643" s="143">
        <f>J643*0.5</f>
        <v>2.5</v>
      </c>
      <c r="V643" s="143">
        <f>R643+S643+T643+U643</f>
        <v>16.25</v>
      </c>
    </row>
    <row r="644" spans="1:22" s="128" customFormat="1" ht="15.6" hidden="1" x14ac:dyDescent="0.3">
      <c r="A644" s="142" t="s">
        <v>477</v>
      </c>
      <c r="B644" s="142">
        <v>853</v>
      </c>
      <c r="C644" s="141">
        <v>45845</v>
      </c>
      <c r="D644" s="140">
        <f>WEEKNUM(C644)</f>
        <v>28</v>
      </c>
      <c r="E644" s="142" t="s">
        <v>498</v>
      </c>
      <c r="F644" s="142" t="s">
        <v>952</v>
      </c>
      <c r="G644" s="142" t="s">
        <v>487</v>
      </c>
      <c r="H644" s="140" t="s">
        <v>51</v>
      </c>
      <c r="I644" s="142" t="s">
        <v>46</v>
      </c>
      <c r="J644" s="157">
        <v>200</v>
      </c>
      <c r="K644" s="143">
        <v>22.5</v>
      </c>
      <c r="L644" s="143">
        <f>K644*J644</f>
        <v>4500</v>
      </c>
      <c r="M644" s="143">
        <v>0</v>
      </c>
      <c r="N644" s="141">
        <v>45877</v>
      </c>
      <c r="O644" s="157">
        <f>WEEKNUM(N644)</f>
        <v>32</v>
      </c>
      <c r="P644" s="140"/>
      <c r="Q644" s="140" t="s">
        <v>29</v>
      </c>
      <c r="R644" s="143">
        <f>J644*0.25</f>
        <v>50</v>
      </c>
      <c r="S644" s="143">
        <f>J644*1</f>
        <v>200</v>
      </c>
      <c r="T644" s="143">
        <f>J644*1.84</f>
        <v>368</v>
      </c>
      <c r="U644" s="143">
        <f>J644*0.5</f>
        <v>100</v>
      </c>
      <c r="V644" s="143">
        <f>R644+S644+T644+U644</f>
        <v>718</v>
      </c>
    </row>
    <row r="645" spans="1:22" s="128" customFormat="1" ht="15.6" hidden="1" x14ac:dyDescent="0.3">
      <c r="A645" s="142" t="s">
        <v>477</v>
      </c>
      <c r="B645" s="142">
        <v>854</v>
      </c>
      <c r="C645" s="141">
        <v>45846</v>
      </c>
      <c r="D645" s="140">
        <f>WEEKNUM(C645)</f>
        <v>28</v>
      </c>
      <c r="E645" s="142" t="s">
        <v>55</v>
      </c>
      <c r="F645" s="142" t="s">
        <v>461</v>
      </c>
      <c r="G645" s="142" t="s">
        <v>616</v>
      </c>
      <c r="H645" s="142" t="s">
        <v>304</v>
      </c>
      <c r="I645" s="142" t="s">
        <v>61</v>
      </c>
      <c r="J645" s="157">
        <v>100</v>
      </c>
      <c r="K645" s="143">
        <v>15</v>
      </c>
      <c r="L645" s="143">
        <f>K645*J645</f>
        <v>1500</v>
      </c>
      <c r="M645" s="143">
        <v>0</v>
      </c>
      <c r="N645" s="141">
        <v>45875</v>
      </c>
      <c r="O645" s="157">
        <f>WEEKNUM(N645)</f>
        <v>32</v>
      </c>
      <c r="P645" s="140"/>
      <c r="Q645" s="140" t="s">
        <v>29</v>
      </c>
      <c r="R645" s="143">
        <f>PRODUCT(0.25,J645)</f>
        <v>25</v>
      </c>
      <c r="S645" s="143">
        <f>PRODUCT(1.5,J645)</f>
        <v>150</v>
      </c>
      <c r="T645" s="143">
        <f>PRODUCT(1.5,J645)</f>
        <v>150</v>
      </c>
      <c r="U645" s="143">
        <f>PRODUCT(0.5,J645)</f>
        <v>50</v>
      </c>
      <c r="V645" s="143">
        <f>SUM(R645:U645)</f>
        <v>375</v>
      </c>
    </row>
    <row r="646" spans="1:22" s="128" customFormat="1" ht="15.6" hidden="1" x14ac:dyDescent="0.3">
      <c r="A646" s="142" t="s">
        <v>477</v>
      </c>
      <c r="B646" s="142">
        <v>855</v>
      </c>
      <c r="C646" s="141">
        <v>45848</v>
      </c>
      <c r="D646" s="140">
        <f>WEEKNUM(C646)</f>
        <v>28</v>
      </c>
      <c r="E646" s="140" t="s">
        <v>475</v>
      </c>
      <c r="F646" s="142" t="s">
        <v>757</v>
      </c>
      <c r="G646" s="142" t="s">
        <v>726</v>
      </c>
      <c r="H646" s="140" t="s">
        <v>494</v>
      </c>
      <c r="I646" s="142" t="s">
        <v>46</v>
      </c>
      <c r="J646" s="157">
        <v>50</v>
      </c>
      <c r="K646" s="143">
        <v>17</v>
      </c>
      <c r="L646" s="143">
        <f>K646*J646</f>
        <v>850</v>
      </c>
      <c r="M646" s="143">
        <v>0</v>
      </c>
      <c r="N646" s="141">
        <v>45876</v>
      </c>
      <c r="O646" s="157">
        <f>WEEKNUM(N646)</f>
        <v>32</v>
      </c>
      <c r="P646" s="140"/>
      <c r="Q646" s="140" t="s">
        <v>29</v>
      </c>
      <c r="R646" s="143">
        <f>J646*0.25</f>
        <v>12.5</v>
      </c>
      <c r="S646" s="143">
        <f>J646*1</f>
        <v>50</v>
      </c>
      <c r="T646" s="143">
        <f>J646*1.5</f>
        <v>75</v>
      </c>
      <c r="U646" s="143">
        <f>J646*0.5</f>
        <v>25</v>
      </c>
      <c r="V646" s="143">
        <f>R646+S646+T646+U646</f>
        <v>162.5</v>
      </c>
    </row>
    <row r="647" spans="1:22" s="128" customFormat="1" ht="15.6" hidden="1" x14ac:dyDescent="0.3">
      <c r="A647" s="142" t="s">
        <v>477</v>
      </c>
      <c r="B647" s="142">
        <v>855</v>
      </c>
      <c r="C647" s="141">
        <v>45848</v>
      </c>
      <c r="D647" s="140">
        <f>WEEKNUM(C647)</f>
        <v>28</v>
      </c>
      <c r="E647" s="140" t="s">
        <v>475</v>
      </c>
      <c r="F647" s="142" t="s">
        <v>757</v>
      </c>
      <c r="G647" s="140" t="s">
        <v>480</v>
      </c>
      <c r="H647" s="140" t="s">
        <v>51</v>
      </c>
      <c r="I647" s="142" t="s">
        <v>46</v>
      </c>
      <c r="J647" s="157">
        <v>50</v>
      </c>
      <c r="K647" s="143">
        <v>19.7</v>
      </c>
      <c r="L647" s="143">
        <f>K647*J647</f>
        <v>985</v>
      </c>
      <c r="M647" s="143">
        <v>0</v>
      </c>
      <c r="N647" s="141">
        <v>45876</v>
      </c>
      <c r="O647" s="157">
        <f>WEEKNUM(N647)</f>
        <v>32</v>
      </c>
      <c r="P647" s="140"/>
      <c r="Q647" s="140" t="s">
        <v>29</v>
      </c>
      <c r="R647" s="143">
        <f>J647*0.25</f>
        <v>12.5</v>
      </c>
      <c r="S647" s="143">
        <f>J647*1</f>
        <v>50</v>
      </c>
      <c r="T647" s="143">
        <f>J647*1.5</f>
        <v>75</v>
      </c>
      <c r="U647" s="143">
        <f>J647*0.5</f>
        <v>25</v>
      </c>
      <c r="V647" s="143">
        <f>R647+S647+T647+U647</f>
        <v>162.5</v>
      </c>
    </row>
    <row r="648" spans="1:22" s="128" customFormat="1" ht="15.6" hidden="1" x14ac:dyDescent="0.3">
      <c r="A648" s="142" t="s">
        <v>496</v>
      </c>
      <c r="B648" s="142">
        <v>856</v>
      </c>
      <c r="C648" s="141">
        <v>45848</v>
      </c>
      <c r="D648" s="140">
        <f>WEEKNUM(C648)</f>
        <v>28</v>
      </c>
      <c r="E648" s="142" t="s">
        <v>498</v>
      </c>
      <c r="F648" s="142" t="s">
        <v>956</v>
      </c>
      <c r="G648" s="142" t="s">
        <v>487</v>
      </c>
      <c r="H648" s="140" t="s">
        <v>51</v>
      </c>
      <c r="I648" s="142" t="s">
        <v>46</v>
      </c>
      <c r="J648" s="157">
        <v>50</v>
      </c>
      <c r="K648" s="143">
        <v>35</v>
      </c>
      <c r="L648" s="143">
        <f>K648*J648</f>
        <v>1750</v>
      </c>
      <c r="M648" s="143">
        <v>0</v>
      </c>
      <c r="N648" s="141">
        <v>45882</v>
      </c>
      <c r="O648" s="157">
        <f>WEEKNUM(N648)</f>
        <v>33</v>
      </c>
      <c r="P648" s="140"/>
      <c r="Q648" s="140" t="s">
        <v>29</v>
      </c>
      <c r="R648" s="143">
        <f>J648*0.25</f>
        <v>12.5</v>
      </c>
      <c r="S648" s="143">
        <f>J648*1</f>
        <v>50</v>
      </c>
      <c r="T648" s="143">
        <f>J648*1.84</f>
        <v>92</v>
      </c>
      <c r="U648" s="143">
        <f>J648*0.5</f>
        <v>25</v>
      </c>
      <c r="V648" s="143">
        <f>R648+S648+T648+U648</f>
        <v>179.5</v>
      </c>
    </row>
    <row r="649" spans="1:22" s="128" customFormat="1" ht="15.6" hidden="1" x14ac:dyDescent="0.3">
      <c r="A649" s="142" t="s">
        <v>496</v>
      </c>
      <c r="B649" s="142">
        <v>857</v>
      </c>
      <c r="C649" s="141">
        <v>45849</v>
      </c>
      <c r="D649" s="140">
        <f>WEEKNUM(C649)</f>
        <v>28</v>
      </c>
      <c r="E649" s="140" t="s">
        <v>475</v>
      </c>
      <c r="F649" s="142" t="s">
        <v>922</v>
      </c>
      <c r="G649" s="142" t="s">
        <v>774</v>
      </c>
      <c r="H649" s="140" t="s">
        <v>74</v>
      </c>
      <c r="I649" s="142" t="s">
        <v>46</v>
      </c>
      <c r="J649" s="157">
        <v>100</v>
      </c>
      <c r="K649" s="143">
        <v>22.9</v>
      </c>
      <c r="L649" s="143">
        <f>K649*J649</f>
        <v>2290</v>
      </c>
      <c r="M649" s="143">
        <v>0</v>
      </c>
      <c r="N649" s="141">
        <v>45882</v>
      </c>
      <c r="O649" s="157">
        <f>WEEKNUM(N649)</f>
        <v>33</v>
      </c>
      <c r="P649" s="140"/>
      <c r="Q649" s="140" t="s">
        <v>29</v>
      </c>
      <c r="R649" s="143">
        <f>J649*0.25</f>
        <v>25</v>
      </c>
      <c r="S649" s="143">
        <f>J649*1</f>
        <v>100</v>
      </c>
      <c r="T649" s="143">
        <f>J649*1.84</f>
        <v>184</v>
      </c>
      <c r="U649" s="143">
        <f>J649*0.5</f>
        <v>50</v>
      </c>
      <c r="V649" s="156">
        <f>SUM(R649:U649)</f>
        <v>359</v>
      </c>
    </row>
    <row r="650" spans="1:22" s="128" customFormat="1" ht="15.6" hidden="1" x14ac:dyDescent="0.3">
      <c r="A650" s="142" t="s">
        <v>477</v>
      </c>
      <c r="B650" s="142">
        <v>858</v>
      </c>
      <c r="C650" s="141">
        <v>45852</v>
      </c>
      <c r="D650" s="140">
        <f>WEEKNUM(C650)</f>
        <v>29</v>
      </c>
      <c r="E650" s="142" t="s">
        <v>498</v>
      </c>
      <c r="F650" s="140" t="s">
        <v>637</v>
      </c>
      <c r="G650" s="142" t="s">
        <v>559</v>
      </c>
      <c r="H650" s="142" t="s">
        <v>38</v>
      </c>
      <c r="I650" s="142" t="s">
        <v>46</v>
      </c>
      <c r="J650" s="157">
        <v>50</v>
      </c>
      <c r="K650" s="143">
        <v>40</v>
      </c>
      <c r="L650" s="143">
        <f>K650*J650</f>
        <v>2000</v>
      </c>
      <c r="M650" s="143">
        <v>0</v>
      </c>
      <c r="N650" s="141">
        <v>45882</v>
      </c>
      <c r="O650" s="157">
        <f>WEEKNUM(N650)</f>
        <v>33</v>
      </c>
      <c r="P650" s="140"/>
      <c r="Q650" s="140" t="s">
        <v>29</v>
      </c>
      <c r="R650" s="143">
        <f>J650*0.25</f>
        <v>12.5</v>
      </c>
      <c r="S650" s="143">
        <f>J650*1</f>
        <v>50</v>
      </c>
      <c r="T650" s="143">
        <f>J650*10</f>
        <v>500</v>
      </c>
      <c r="U650" s="143">
        <f>J650*0.5</f>
        <v>25</v>
      </c>
      <c r="V650" s="143">
        <f>R650+S650+T650+U650</f>
        <v>587.5</v>
      </c>
    </row>
    <row r="651" spans="1:22" s="128" customFormat="1" ht="15.6" hidden="1" x14ac:dyDescent="0.3">
      <c r="A651" s="142" t="s">
        <v>477</v>
      </c>
      <c r="B651" s="142">
        <v>859</v>
      </c>
      <c r="C651" s="141">
        <v>45852</v>
      </c>
      <c r="D651" s="140">
        <f>WEEKNUM(C651)</f>
        <v>29</v>
      </c>
      <c r="E651" s="142" t="s">
        <v>498</v>
      </c>
      <c r="F651" s="142" t="s">
        <v>897</v>
      </c>
      <c r="G651" s="140" t="s">
        <v>658</v>
      </c>
      <c r="H651" s="142" t="s">
        <v>304</v>
      </c>
      <c r="I651" s="142" t="s">
        <v>46</v>
      </c>
      <c r="J651" s="157">
        <v>150</v>
      </c>
      <c r="K651" s="143">
        <v>12.2</v>
      </c>
      <c r="L651" s="143">
        <f>K651*J651</f>
        <v>1830</v>
      </c>
      <c r="M651" s="143">
        <v>0</v>
      </c>
      <c r="N651" s="141">
        <v>45907</v>
      </c>
      <c r="O651" s="157">
        <f>WEEKNUM(N651)</f>
        <v>37</v>
      </c>
      <c r="P651" s="140"/>
      <c r="Q651" s="140" t="s">
        <v>29</v>
      </c>
      <c r="R651" s="143">
        <f>J651*0.25</f>
        <v>37.5</v>
      </c>
      <c r="S651" s="143">
        <f>J651*0.7</f>
        <v>105</v>
      </c>
      <c r="T651" s="143">
        <f>J651*1</f>
        <v>150</v>
      </c>
      <c r="U651" s="143">
        <f>J651*1</f>
        <v>150</v>
      </c>
      <c r="V651" s="143">
        <f>R651+S651+T651+U651</f>
        <v>442.5</v>
      </c>
    </row>
    <row r="652" spans="1:22" s="128" customFormat="1" ht="15.6" hidden="1" x14ac:dyDescent="0.3">
      <c r="A652" s="142" t="s">
        <v>477</v>
      </c>
      <c r="B652" s="142">
        <v>230</v>
      </c>
      <c r="C652" s="141">
        <v>45853</v>
      </c>
      <c r="D652" s="140">
        <f>WEEKNUM(C652)</f>
        <v>29</v>
      </c>
      <c r="E652" s="142" t="s">
        <v>498</v>
      </c>
      <c r="F652" s="142" t="s">
        <v>519</v>
      </c>
      <c r="G652" s="142" t="s">
        <v>521</v>
      </c>
      <c r="H652" s="140" t="s">
        <v>60</v>
      </c>
      <c r="I652" s="142" t="s">
        <v>61</v>
      </c>
      <c r="J652" s="157">
        <v>200</v>
      </c>
      <c r="K652" s="143">
        <v>7.5</v>
      </c>
      <c r="L652" s="143">
        <f>K652*J652</f>
        <v>1500</v>
      </c>
      <c r="M652" s="143">
        <v>0</v>
      </c>
      <c r="N652" s="141">
        <v>45881</v>
      </c>
      <c r="O652" s="157">
        <f>WEEKNUM(N652)</f>
        <v>33</v>
      </c>
      <c r="P652" s="140"/>
      <c r="Q652" s="140" t="s">
        <v>29</v>
      </c>
      <c r="R652" s="143">
        <f>J652*0.25</f>
        <v>50</v>
      </c>
      <c r="S652" s="143">
        <f>J652*0.5</f>
        <v>100</v>
      </c>
      <c r="T652" s="143">
        <f>J652*2.5</f>
        <v>500</v>
      </c>
      <c r="U652" s="143">
        <f>J652*0.5</f>
        <v>100</v>
      </c>
      <c r="V652" s="143">
        <f>R652+S652+T652+U652</f>
        <v>750</v>
      </c>
    </row>
    <row r="653" spans="1:22" s="128" customFormat="1" ht="15.6" hidden="1" x14ac:dyDescent="0.3">
      <c r="A653" s="142" t="s">
        <v>477</v>
      </c>
      <c r="B653" s="142">
        <v>230</v>
      </c>
      <c r="C653" s="141">
        <v>45853</v>
      </c>
      <c r="D653" s="140">
        <f>WEEKNUM(C653)</f>
        <v>29</v>
      </c>
      <c r="E653" s="142" t="s">
        <v>498</v>
      </c>
      <c r="F653" s="142" t="s">
        <v>519</v>
      </c>
      <c r="G653" s="142" t="s">
        <v>522</v>
      </c>
      <c r="H653" s="140" t="s">
        <v>60</v>
      </c>
      <c r="I653" s="142" t="s">
        <v>61</v>
      </c>
      <c r="J653" s="157">
        <v>200</v>
      </c>
      <c r="K653" s="143">
        <v>13.5</v>
      </c>
      <c r="L653" s="143">
        <f>K653*J653</f>
        <v>2700</v>
      </c>
      <c r="M653" s="143">
        <v>0</v>
      </c>
      <c r="N653" s="141">
        <v>45881</v>
      </c>
      <c r="O653" s="157">
        <f>WEEKNUM(N653)</f>
        <v>33</v>
      </c>
      <c r="P653" s="140"/>
      <c r="Q653" s="140" t="s">
        <v>29</v>
      </c>
      <c r="R653" s="143">
        <f>J653*0.25</f>
        <v>50</v>
      </c>
      <c r="S653" s="143">
        <f>J653*0.5</f>
        <v>100</v>
      </c>
      <c r="T653" s="143">
        <f>J653*2.5</f>
        <v>500</v>
      </c>
      <c r="U653" s="143">
        <f>J653*0.5</f>
        <v>100</v>
      </c>
      <c r="V653" s="143">
        <f>R653+S653+T653+U653</f>
        <v>750</v>
      </c>
    </row>
    <row r="654" spans="1:22" s="128" customFormat="1" ht="15.6" hidden="1" x14ac:dyDescent="0.3">
      <c r="A654" s="142" t="s">
        <v>477</v>
      </c>
      <c r="B654" s="142">
        <v>229</v>
      </c>
      <c r="C654" s="141">
        <v>45853</v>
      </c>
      <c r="D654" s="140">
        <f>WEEKNUM(C654)</f>
        <v>29</v>
      </c>
      <c r="E654" s="140" t="s">
        <v>475</v>
      </c>
      <c r="F654" s="142" t="s">
        <v>551</v>
      </c>
      <c r="G654" s="142" t="s">
        <v>552</v>
      </c>
      <c r="H654" s="140" t="s">
        <v>494</v>
      </c>
      <c r="I654" s="142" t="s">
        <v>46</v>
      </c>
      <c r="J654" s="157">
        <v>200</v>
      </c>
      <c r="K654" s="143">
        <v>17</v>
      </c>
      <c r="L654" s="143">
        <f>K654*J654</f>
        <v>3400</v>
      </c>
      <c r="M654" s="143">
        <v>0</v>
      </c>
      <c r="N654" s="141">
        <v>45881</v>
      </c>
      <c r="O654" s="157">
        <f>WEEKNUM(N654)</f>
        <v>33</v>
      </c>
      <c r="P654" s="140"/>
      <c r="Q654" s="140" t="s">
        <v>29</v>
      </c>
      <c r="R654" s="143">
        <f>J654*0.25</f>
        <v>50</v>
      </c>
      <c r="S654" s="143">
        <f>J654*1</f>
        <v>200</v>
      </c>
      <c r="T654" s="143">
        <f>J654*1.5</f>
        <v>300</v>
      </c>
      <c r="U654" s="143">
        <f>J654*0.5</f>
        <v>100</v>
      </c>
      <c r="V654" s="143">
        <f>R654+S654+T654+U654</f>
        <v>650</v>
      </c>
    </row>
    <row r="655" spans="1:22" s="128" customFormat="1" ht="15.6" hidden="1" x14ac:dyDescent="0.3">
      <c r="A655" s="142" t="s">
        <v>477</v>
      </c>
      <c r="B655" s="142">
        <v>229</v>
      </c>
      <c r="C655" s="141">
        <v>45853</v>
      </c>
      <c r="D655" s="140">
        <f>WEEKNUM(C655)</f>
        <v>29</v>
      </c>
      <c r="E655" s="140" t="s">
        <v>475</v>
      </c>
      <c r="F655" s="142" t="s">
        <v>551</v>
      </c>
      <c r="G655" s="142" t="s">
        <v>311</v>
      </c>
      <c r="H655" s="140" t="s">
        <v>51</v>
      </c>
      <c r="I655" s="142" t="s">
        <v>46</v>
      </c>
      <c r="J655" s="157">
        <v>200</v>
      </c>
      <c r="K655" s="143">
        <v>17.5</v>
      </c>
      <c r="L655" s="143">
        <f>K655*J655</f>
        <v>3500</v>
      </c>
      <c r="M655" s="143">
        <v>0</v>
      </c>
      <c r="N655" s="141">
        <v>45881</v>
      </c>
      <c r="O655" s="157">
        <f>WEEKNUM(N655)</f>
        <v>33</v>
      </c>
      <c r="P655" s="140"/>
      <c r="Q655" s="140" t="s">
        <v>29</v>
      </c>
      <c r="R655" s="143">
        <f>J655*0.25</f>
        <v>50</v>
      </c>
      <c r="S655" s="143">
        <f>J655*1</f>
        <v>200</v>
      </c>
      <c r="T655" s="143">
        <f>J655*1.5</f>
        <v>300</v>
      </c>
      <c r="U655" s="143">
        <f>J655*0.5</f>
        <v>100</v>
      </c>
      <c r="V655" s="143">
        <f>R655+S655+T655+U655</f>
        <v>650</v>
      </c>
    </row>
    <row r="656" spans="1:22" s="128" customFormat="1" ht="15.6" hidden="1" x14ac:dyDescent="0.3">
      <c r="A656" s="142" t="s">
        <v>477</v>
      </c>
      <c r="B656" s="142">
        <v>229</v>
      </c>
      <c r="C656" s="141">
        <v>45853</v>
      </c>
      <c r="D656" s="140">
        <f>WEEKNUM(C656)</f>
        <v>29</v>
      </c>
      <c r="E656" s="140" t="s">
        <v>475</v>
      </c>
      <c r="F656" s="142" t="s">
        <v>551</v>
      </c>
      <c r="G656" s="142" t="s">
        <v>489</v>
      </c>
      <c r="H656" s="140" t="s">
        <v>51</v>
      </c>
      <c r="I656" s="142" t="s">
        <v>61</v>
      </c>
      <c r="J656" s="157">
        <v>20</v>
      </c>
      <c r="K656" s="143">
        <v>85</v>
      </c>
      <c r="L656" s="143">
        <f>K656*J656</f>
        <v>1700</v>
      </c>
      <c r="M656" s="143">
        <v>0</v>
      </c>
      <c r="N656" s="141">
        <v>45881</v>
      </c>
      <c r="O656" s="157">
        <f>WEEKNUM(N656)</f>
        <v>33</v>
      </c>
      <c r="P656" s="140"/>
      <c r="Q656" s="140" t="s">
        <v>29</v>
      </c>
      <c r="R656" s="143">
        <f>J656*0.25</f>
        <v>5</v>
      </c>
      <c r="S656" s="143">
        <f>J656*1</f>
        <v>20</v>
      </c>
      <c r="T656" s="143">
        <f>J656*3</f>
        <v>60</v>
      </c>
      <c r="U656" s="143">
        <f>J656*1</f>
        <v>20</v>
      </c>
      <c r="V656" s="143">
        <f>R656+S656+T656+U656</f>
        <v>105</v>
      </c>
    </row>
    <row r="657" spans="1:22" s="128" customFormat="1" ht="15.6" hidden="1" x14ac:dyDescent="0.3">
      <c r="A657" s="142" t="s">
        <v>491</v>
      </c>
      <c r="B657" s="142">
        <v>200</v>
      </c>
      <c r="C657" s="141">
        <v>45853</v>
      </c>
      <c r="D657" s="140">
        <f>WEEKNUM(C657)</f>
        <v>29</v>
      </c>
      <c r="E657" s="142" t="s">
        <v>68</v>
      </c>
      <c r="F657" s="142" t="s">
        <v>379</v>
      </c>
      <c r="G657" s="142" t="s">
        <v>311</v>
      </c>
      <c r="H657" s="140" t="s">
        <v>51</v>
      </c>
      <c r="I657" s="142" t="s">
        <v>46</v>
      </c>
      <c r="J657" s="157">
        <v>4</v>
      </c>
      <c r="K657" s="143">
        <v>25</v>
      </c>
      <c r="L657" s="143">
        <f>K657*J657</f>
        <v>100</v>
      </c>
      <c r="M657" s="143">
        <v>0</v>
      </c>
      <c r="N657" s="141">
        <v>45884</v>
      </c>
      <c r="O657" s="157">
        <f>WEEKNUM(N657)</f>
        <v>33</v>
      </c>
      <c r="P657" s="140"/>
      <c r="Q657" s="140" t="s">
        <v>29</v>
      </c>
      <c r="R657" s="143">
        <f>J657*0.25</f>
        <v>1</v>
      </c>
      <c r="S657" s="143">
        <f>J657*1</f>
        <v>4</v>
      </c>
      <c r="T657" s="143">
        <f>J657*1.5</f>
        <v>6</v>
      </c>
      <c r="U657" s="143">
        <f>J657*0.5</f>
        <v>2</v>
      </c>
      <c r="V657" s="143">
        <f>R657+S657+T657+U657</f>
        <v>13</v>
      </c>
    </row>
    <row r="658" spans="1:22" s="128" customFormat="1" ht="15.6" hidden="1" x14ac:dyDescent="0.3">
      <c r="A658" s="142" t="s">
        <v>491</v>
      </c>
      <c r="B658" s="142">
        <v>200</v>
      </c>
      <c r="C658" s="141">
        <v>45853</v>
      </c>
      <c r="D658" s="140">
        <f>WEEKNUM(C658)</f>
        <v>29</v>
      </c>
      <c r="E658" s="142" t="s">
        <v>68</v>
      </c>
      <c r="F658" s="142" t="s">
        <v>379</v>
      </c>
      <c r="G658" s="142" t="s">
        <v>408</v>
      </c>
      <c r="H658" s="140" t="s">
        <v>80</v>
      </c>
      <c r="I658" s="142" t="s">
        <v>46</v>
      </c>
      <c r="J658" s="157">
        <v>4</v>
      </c>
      <c r="K658" s="143">
        <v>21</v>
      </c>
      <c r="L658" s="143">
        <f>K658*J658</f>
        <v>84</v>
      </c>
      <c r="M658" s="143">
        <v>0</v>
      </c>
      <c r="N658" s="141">
        <v>45884</v>
      </c>
      <c r="O658" s="157">
        <f>WEEKNUM(N658)</f>
        <v>33</v>
      </c>
      <c r="P658" s="140"/>
      <c r="Q658" s="140" t="s">
        <v>29</v>
      </c>
      <c r="R658" s="156">
        <f>J658*0.25</f>
        <v>1</v>
      </c>
      <c r="S658" s="156">
        <f>J658*1</f>
        <v>4</v>
      </c>
      <c r="T658" s="156">
        <f>J658*1.2</f>
        <v>4.8</v>
      </c>
      <c r="U658" s="156">
        <f>J658*0.5</f>
        <v>2</v>
      </c>
      <c r="V658" s="156">
        <f>R658+S658+T658+U658</f>
        <v>11.8</v>
      </c>
    </row>
    <row r="659" spans="1:22" s="128" customFormat="1" ht="15.6" hidden="1" x14ac:dyDescent="0.3">
      <c r="A659" s="142" t="s">
        <v>491</v>
      </c>
      <c r="B659" s="142">
        <v>200</v>
      </c>
      <c r="C659" s="141">
        <v>45853</v>
      </c>
      <c r="D659" s="140">
        <f>WEEKNUM(C659)</f>
        <v>29</v>
      </c>
      <c r="E659" s="142" t="s">
        <v>68</v>
      </c>
      <c r="F659" s="142" t="s">
        <v>379</v>
      </c>
      <c r="G659" s="140" t="s">
        <v>503</v>
      </c>
      <c r="H659" s="140" t="s">
        <v>354</v>
      </c>
      <c r="I659" s="142" t="s">
        <v>46</v>
      </c>
      <c r="J659" s="157">
        <v>4</v>
      </c>
      <c r="K659" s="143">
        <v>36.75</v>
      </c>
      <c r="L659" s="143">
        <f>K659*J659</f>
        <v>147</v>
      </c>
      <c r="M659" s="143">
        <v>0</v>
      </c>
      <c r="N659" s="141">
        <v>45884</v>
      </c>
      <c r="O659" s="157">
        <f>WEEKNUM(N659)</f>
        <v>33</v>
      </c>
      <c r="P659" s="140"/>
      <c r="Q659" s="140" t="s">
        <v>29</v>
      </c>
      <c r="R659" s="143">
        <f>J659*0.25</f>
        <v>1</v>
      </c>
      <c r="S659" s="143">
        <f>J659*1</f>
        <v>4</v>
      </c>
      <c r="T659" s="143">
        <f>J659*1.5</f>
        <v>6</v>
      </c>
      <c r="U659" s="143">
        <f>J659*0.5</f>
        <v>2</v>
      </c>
      <c r="V659" s="143">
        <f>R659+S659+T659+U659</f>
        <v>13</v>
      </c>
    </row>
    <row r="660" spans="1:22" s="128" customFormat="1" ht="15.6" hidden="1" x14ac:dyDescent="0.3">
      <c r="A660" s="142" t="s">
        <v>491</v>
      </c>
      <c r="B660" s="142">
        <v>200</v>
      </c>
      <c r="C660" s="141">
        <v>45853</v>
      </c>
      <c r="D660" s="140">
        <f>WEEKNUM(C660)</f>
        <v>29</v>
      </c>
      <c r="E660" s="142" t="s">
        <v>68</v>
      </c>
      <c r="F660" s="142" t="s">
        <v>379</v>
      </c>
      <c r="G660" s="142" t="s">
        <v>301</v>
      </c>
      <c r="H660" s="140" t="s">
        <v>74</v>
      </c>
      <c r="I660" s="142" t="s">
        <v>46</v>
      </c>
      <c r="J660" s="157">
        <v>1</v>
      </c>
      <c r="K660" s="143">
        <v>36.75</v>
      </c>
      <c r="L660" s="143">
        <f>K660*J660</f>
        <v>36.75</v>
      </c>
      <c r="M660" s="143">
        <v>0</v>
      </c>
      <c r="N660" s="141">
        <v>45884</v>
      </c>
      <c r="O660" s="157">
        <f>WEEKNUM(N660)</f>
        <v>33</v>
      </c>
      <c r="P660" s="140"/>
      <c r="Q660" s="140" t="s">
        <v>29</v>
      </c>
      <c r="R660" s="143">
        <f>J660*0.25</f>
        <v>0.25</v>
      </c>
      <c r="S660" s="143">
        <f>J660*1</f>
        <v>1</v>
      </c>
      <c r="T660" s="143">
        <f>J660*1.5</f>
        <v>1.5</v>
      </c>
      <c r="U660" s="143">
        <f>J660*0.5</f>
        <v>0.5</v>
      </c>
      <c r="V660" s="143">
        <f>R660+S660+T660+U660</f>
        <v>3.25</v>
      </c>
    </row>
    <row r="661" spans="1:22" s="128" customFormat="1" ht="15.6" hidden="1" x14ac:dyDescent="0.3">
      <c r="A661" s="142" t="s">
        <v>491</v>
      </c>
      <c r="B661" s="142">
        <v>200</v>
      </c>
      <c r="C661" s="141">
        <v>45853</v>
      </c>
      <c r="D661" s="140">
        <f>WEEKNUM(C661)</f>
        <v>29</v>
      </c>
      <c r="E661" s="142" t="s">
        <v>68</v>
      </c>
      <c r="F661" s="142" t="s">
        <v>379</v>
      </c>
      <c r="G661" s="142" t="s">
        <v>339</v>
      </c>
      <c r="H661" s="142" t="s">
        <v>340</v>
      </c>
      <c r="I661" s="142" t="s">
        <v>46</v>
      </c>
      <c r="J661" s="157">
        <v>1</v>
      </c>
      <c r="K661" s="143">
        <v>65</v>
      </c>
      <c r="L661" s="143">
        <f>K661*J661</f>
        <v>65</v>
      </c>
      <c r="M661" s="143">
        <v>0</v>
      </c>
      <c r="N661" s="141">
        <v>45884</v>
      </c>
      <c r="O661" s="157">
        <f>WEEKNUM(N661)</f>
        <v>33</v>
      </c>
      <c r="P661" s="140"/>
      <c r="Q661" s="140" t="s">
        <v>29</v>
      </c>
      <c r="R661" s="143">
        <v>0</v>
      </c>
      <c r="S661" s="143">
        <f>J661*1</f>
        <v>1</v>
      </c>
      <c r="T661" s="143">
        <v>0</v>
      </c>
      <c r="U661" s="143">
        <f>J661*0.5</f>
        <v>0.5</v>
      </c>
      <c r="V661" s="143">
        <f>R661+S661+T661+U661</f>
        <v>1.5</v>
      </c>
    </row>
    <row r="662" spans="1:22" s="128" customFormat="1" ht="15.6" hidden="1" x14ac:dyDescent="0.3">
      <c r="A662" s="142" t="s">
        <v>491</v>
      </c>
      <c r="B662" s="142">
        <v>1238</v>
      </c>
      <c r="C662" s="141">
        <v>45853</v>
      </c>
      <c r="D662" s="140">
        <f>WEEKNUM(C662)</f>
        <v>29</v>
      </c>
      <c r="E662" s="142" t="s">
        <v>68</v>
      </c>
      <c r="F662" s="142" t="s">
        <v>376</v>
      </c>
      <c r="G662" s="142" t="s">
        <v>311</v>
      </c>
      <c r="H662" s="140" t="s">
        <v>51</v>
      </c>
      <c r="I662" s="142" t="s">
        <v>46</v>
      </c>
      <c r="J662" s="157">
        <v>12</v>
      </c>
      <c r="K662" s="143">
        <v>25</v>
      </c>
      <c r="L662" s="143">
        <f>K662*J662</f>
        <v>300</v>
      </c>
      <c r="M662" s="143">
        <v>0</v>
      </c>
      <c r="N662" s="141">
        <v>45883</v>
      </c>
      <c r="O662" s="157">
        <f>WEEKNUM(N662)</f>
        <v>33</v>
      </c>
      <c r="P662" s="140"/>
      <c r="Q662" s="140" t="s">
        <v>29</v>
      </c>
      <c r="R662" s="143">
        <f>J662*0.25</f>
        <v>3</v>
      </c>
      <c r="S662" s="143">
        <f>J662*1</f>
        <v>12</v>
      </c>
      <c r="T662" s="143">
        <f>J662*1.5</f>
        <v>18</v>
      </c>
      <c r="U662" s="143">
        <f>J662*0.5</f>
        <v>6</v>
      </c>
      <c r="V662" s="143">
        <f>R662+S662+T662+U662</f>
        <v>39</v>
      </c>
    </row>
    <row r="663" spans="1:22" s="128" customFormat="1" ht="15.6" hidden="1" x14ac:dyDescent="0.3">
      <c r="A663" s="142" t="s">
        <v>491</v>
      </c>
      <c r="B663" s="142">
        <v>1238</v>
      </c>
      <c r="C663" s="141">
        <v>45853</v>
      </c>
      <c r="D663" s="140">
        <f>WEEKNUM(C663)</f>
        <v>29</v>
      </c>
      <c r="E663" s="142" t="s">
        <v>68</v>
      </c>
      <c r="F663" s="142" t="s">
        <v>376</v>
      </c>
      <c r="G663" s="142" t="s">
        <v>301</v>
      </c>
      <c r="H663" s="140" t="s">
        <v>74</v>
      </c>
      <c r="I663" s="142" t="s">
        <v>46</v>
      </c>
      <c r="J663" s="157">
        <v>27</v>
      </c>
      <c r="K663" s="143">
        <v>36.75</v>
      </c>
      <c r="L663" s="143">
        <f>K663*J663</f>
        <v>992.25</v>
      </c>
      <c r="M663" s="143">
        <v>0</v>
      </c>
      <c r="N663" s="141">
        <v>45883</v>
      </c>
      <c r="O663" s="157">
        <f>WEEKNUM(N663)</f>
        <v>33</v>
      </c>
      <c r="P663" s="140"/>
      <c r="Q663" s="140" t="s">
        <v>29</v>
      </c>
      <c r="R663" s="143">
        <f>J663*0.25</f>
        <v>6.75</v>
      </c>
      <c r="S663" s="143">
        <f>J663*1</f>
        <v>27</v>
      </c>
      <c r="T663" s="143">
        <f>J663*1.5</f>
        <v>40.5</v>
      </c>
      <c r="U663" s="143">
        <f>J663*0.5</f>
        <v>13.5</v>
      </c>
      <c r="V663" s="143">
        <f>R663+S663+T663+U663</f>
        <v>87.75</v>
      </c>
    </row>
    <row r="664" spans="1:22" s="128" customFormat="1" ht="15.6" hidden="1" x14ac:dyDescent="0.3">
      <c r="A664" s="142" t="s">
        <v>496</v>
      </c>
      <c r="B664" s="142">
        <v>201</v>
      </c>
      <c r="C664" s="141">
        <v>45853</v>
      </c>
      <c r="D664" s="140">
        <f>WEEKNUM(C664)</f>
        <v>29</v>
      </c>
      <c r="E664" s="140" t="s">
        <v>475</v>
      </c>
      <c r="F664" s="142" t="s">
        <v>862</v>
      </c>
      <c r="G664" s="142" t="s">
        <v>863</v>
      </c>
      <c r="H664" s="140" t="s">
        <v>494</v>
      </c>
      <c r="I664" s="142" t="s">
        <v>46</v>
      </c>
      <c r="J664" s="157">
        <v>50</v>
      </c>
      <c r="K664" s="143">
        <v>20</v>
      </c>
      <c r="L664" s="143">
        <f>K664*J664</f>
        <v>1000</v>
      </c>
      <c r="M664" s="143">
        <v>0</v>
      </c>
      <c r="N664" s="141">
        <v>45884</v>
      </c>
      <c r="O664" s="157">
        <f>WEEKNUM(N664)</f>
        <v>33</v>
      </c>
      <c r="P664" s="140"/>
      <c r="Q664" s="140" t="s">
        <v>29</v>
      </c>
      <c r="R664" s="143">
        <f>J664*0.25</f>
        <v>12.5</v>
      </c>
      <c r="S664" s="143">
        <f>J664*1</f>
        <v>50</v>
      </c>
      <c r="T664" s="143">
        <f>J664*1.5</f>
        <v>75</v>
      </c>
      <c r="U664" s="143">
        <f>J664*0.5</f>
        <v>25</v>
      </c>
      <c r="V664" s="143">
        <f>R664+S664+T664+U664</f>
        <v>162.5</v>
      </c>
    </row>
    <row r="665" spans="1:22" s="128" customFormat="1" ht="15.6" hidden="1" x14ac:dyDescent="0.3">
      <c r="A665" s="142" t="s">
        <v>477</v>
      </c>
      <c r="B665" s="142">
        <v>862</v>
      </c>
      <c r="C665" s="141">
        <v>45854</v>
      </c>
      <c r="D665" s="140">
        <f>WEEKNUM(C665)</f>
        <v>29</v>
      </c>
      <c r="E665" s="140" t="s">
        <v>475</v>
      </c>
      <c r="F665" s="140" t="s">
        <v>568</v>
      </c>
      <c r="G665" s="142" t="s">
        <v>572</v>
      </c>
      <c r="H665" s="140" t="s">
        <v>51</v>
      </c>
      <c r="I665" s="142" t="s">
        <v>61</v>
      </c>
      <c r="J665" s="157">
        <v>100</v>
      </c>
      <c r="K665" s="143">
        <v>38</v>
      </c>
      <c r="L665" s="143">
        <f>K665*J665</f>
        <v>3800</v>
      </c>
      <c r="M665" s="143">
        <v>0</v>
      </c>
      <c r="N665" s="141">
        <v>45888</v>
      </c>
      <c r="O665" s="157">
        <f>WEEKNUM(N665)</f>
        <v>34</v>
      </c>
      <c r="P665" s="140"/>
      <c r="Q665" s="140" t="s">
        <v>29</v>
      </c>
      <c r="R665" s="143">
        <f>J665*0.25</f>
        <v>25</v>
      </c>
      <c r="S665" s="143">
        <f>J665*0.5</f>
        <v>50</v>
      </c>
      <c r="T665" s="143">
        <f>J665*1.3</f>
        <v>130</v>
      </c>
      <c r="U665" s="143">
        <f>J665*0.5</f>
        <v>50</v>
      </c>
      <c r="V665" s="143">
        <f>R665+S665+T665+U665</f>
        <v>255</v>
      </c>
    </row>
    <row r="666" spans="1:22" s="128" customFormat="1" ht="15.6" hidden="1" x14ac:dyDescent="0.3">
      <c r="A666" s="142" t="s">
        <v>491</v>
      </c>
      <c r="B666" s="142">
        <v>1239</v>
      </c>
      <c r="C666" s="141">
        <v>45854</v>
      </c>
      <c r="D666" s="140">
        <f>WEEKNUM(C666)</f>
        <v>29</v>
      </c>
      <c r="E666" s="142" t="s">
        <v>68</v>
      </c>
      <c r="F666" s="142" t="s">
        <v>380</v>
      </c>
      <c r="G666" s="140" t="s">
        <v>356</v>
      </c>
      <c r="H666" s="140" t="s">
        <v>321</v>
      </c>
      <c r="I666" s="142" t="s">
        <v>46</v>
      </c>
      <c r="J666" s="157">
        <v>5</v>
      </c>
      <c r="K666" s="143">
        <v>85</v>
      </c>
      <c r="L666" s="143">
        <f>K666*J666</f>
        <v>425</v>
      </c>
      <c r="M666" s="143">
        <v>0</v>
      </c>
      <c r="N666" s="141">
        <v>45885</v>
      </c>
      <c r="O666" s="157">
        <f>WEEKNUM(N666)</f>
        <v>33</v>
      </c>
      <c r="P666" s="140"/>
      <c r="Q666" s="140" t="s">
        <v>29</v>
      </c>
      <c r="R666" s="156">
        <f>J666*0.25</f>
        <v>1.25</v>
      </c>
      <c r="S666" s="156">
        <f>PRODUCT(1.5,J666)</f>
        <v>7.5</v>
      </c>
      <c r="T666" s="156">
        <f>PRODUCT(1.5,J666)</f>
        <v>7.5</v>
      </c>
      <c r="U666" s="156">
        <f>J666*0.5</f>
        <v>2.5</v>
      </c>
      <c r="V666" s="156">
        <f>R666+S666+T666+U666</f>
        <v>18.75</v>
      </c>
    </row>
    <row r="667" spans="1:22" s="128" customFormat="1" ht="15.6" hidden="1" x14ac:dyDescent="0.3">
      <c r="A667" s="142" t="s">
        <v>491</v>
      </c>
      <c r="B667" s="142">
        <v>1239</v>
      </c>
      <c r="C667" s="141">
        <v>45854</v>
      </c>
      <c r="D667" s="140">
        <f>WEEKNUM(C667)</f>
        <v>29</v>
      </c>
      <c r="E667" s="142" t="s">
        <v>68</v>
      </c>
      <c r="F667" s="142" t="s">
        <v>380</v>
      </c>
      <c r="G667" s="142" t="s">
        <v>505</v>
      </c>
      <c r="H667" s="140" t="s">
        <v>78</v>
      </c>
      <c r="I667" s="142" t="s">
        <v>61</v>
      </c>
      <c r="J667" s="157">
        <v>1</v>
      </c>
      <c r="K667" s="143">
        <v>75</v>
      </c>
      <c r="L667" s="143">
        <f>K667*J667</f>
        <v>75</v>
      </c>
      <c r="M667" s="143">
        <v>0</v>
      </c>
      <c r="N667" s="141">
        <v>45884</v>
      </c>
      <c r="O667" s="157">
        <f>WEEKNUM(N667)</f>
        <v>33</v>
      </c>
      <c r="P667" s="140"/>
      <c r="Q667" s="140" t="s">
        <v>29</v>
      </c>
      <c r="R667" s="143">
        <f>J667*0.25</f>
        <v>0.25</v>
      </c>
      <c r="S667" s="143"/>
      <c r="T667" s="143"/>
      <c r="U667" s="143"/>
      <c r="V667" s="143"/>
    </row>
    <row r="668" spans="1:22" s="128" customFormat="1" ht="15.6" hidden="1" x14ac:dyDescent="0.3">
      <c r="A668" s="142" t="s">
        <v>491</v>
      </c>
      <c r="B668" s="142">
        <v>1239</v>
      </c>
      <c r="C668" s="141">
        <v>45854</v>
      </c>
      <c r="D668" s="140">
        <f>WEEKNUM(C668)</f>
        <v>29</v>
      </c>
      <c r="E668" s="142" t="s">
        <v>68</v>
      </c>
      <c r="F668" s="142" t="s">
        <v>380</v>
      </c>
      <c r="G668" s="142" t="s">
        <v>339</v>
      </c>
      <c r="H668" s="142" t="s">
        <v>340</v>
      </c>
      <c r="I668" s="142" t="s">
        <v>46</v>
      </c>
      <c r="J668" s="157">
        <v>2</v>
      </c>
      <c r="K668" s="143">
        <v>65</v>
      </c>
      <c r="L668" s="143">
        <f>K668*J668</f>
        <v>130</v>
      </c>
      <c r="M668" s="143">
        <v>0</v>
      </c>
      <c r="N668" s="141">
        <v>45884</v>
      </c>
      <c r="O668" s="157">
        <f>WEEKNUM(N668)</f>
        <v>33</v>
      </c>
      <c r="P668" s="140"/>
      <c r="Q668" s="140" t="s">
        <v>29</v>
      </c>
      <c r="R668" s="143">
        <v>0</v>
      </c>
      <c r="S668" s="143">
        <f>J668*1</f>
        <v>2</v>
      </c>
      <c r="T668" s="143">
        <v>0</v>
      </c>
      <c r="U668" s="143">
        <f>J668*0.5</f>
        <v>1</v>
      </c>
      <c r="V668" s="143">
        <f>R668+S668+T668+U668</f>
        <v>3</v>
      </c>
    </row>
    <row r="669" spans="1:22" s="128" customFormat="1" ht="15.6" hidden="1" x14ac:dyDescent="0.3">
      <c r="A669" s="142" t="s">
        <v>477</v>
      </c>
      <c r="B669" s="142">
        <v>860</v>
      </c>
      <c r="C669" s="141">
        <v>45854</v>
      </c>
      <c r="D669" s="140">
        <f>WEEKNUM(C669)</f>
        <v>29</v>
      </c>
      <c r="E669" s="140" t="s">
        <v>475</v>
      </c>
      <c r="F669" s="140" t="s">
        <v>809</v>
      </c>
      <c r="G669" s="142" t="s">
        <v>301</v>
      </c>
      <c r="H669" s="140" t="s">
        <v>74</v>
      </c>
      <c r="I669" s="142" t="s">
        <v>46</v>
      </c>
      <c r="J669" s="157">
        <v>33</v>
      </c>
      <c r="K669" s="143">
        <v>35</v>
      </c>
      <c r="L669" s="143">
        <f>K669*J669</f>
        <v>1155</v>
      </c>
      <c r="M669" s="143">
        <v>0</v>
      </c>
      <c r="N669" s="141">
        <v>45870</v>
      </c>
      <c r="O669" s="157">
        <f>WEEKNUM(N669)</f>
        <v>31</v>
      </c>
      <c r="P669" s="140"/>
      <c r="Q669" s="140" t="s">
        <v>29</v>
      </c>
      <c r="R669" s="143">
        <f>J669*0.25</f>
        <v>8.25</v>
      </c>
      <c r="S669" s="143">
        <f>J669*1</f>
        <v>33</v>
      </c>
      <c r="T669" s="143">
        <f>J669*1.5</f>
        <v>49.5</v>
      </c>
      <c r="U669" s="143">
        <f>J669*0.5</f>
        <v>16.5</v>
      </c>
      <c r="V669" s="143">
        <f>R669+S669+T669+U669</f>
        <v>107.25</v>
      </c>
    </row>
    <row r="670" spans="1:22" s="128" customFormat="1" ht="15.6" hidden="1" x14ac:dyDescent="0.3">
      <c r="A670" s="142" t="s">
        <v>477</v>
      </c>
      <c r="B670" s="142">
        <v>861</v>
      </c>
      <c r="C670" s="141">
        <v>45854</v>
      </c>
      <c r="D670" s="140">
        <f>WEEKNUM(C670)</f>
        <v>29</v>
      </c>
      <c r="E670" s="142" t="s">
        <v>68</v>
      </c>
      <c r="F670" s="195" t="s">
        <v>312</v>
      </c>
      <c r="G670" s="142" t="s">
        <v>301</v>
      </c>
      <c r="H670" s="140" t="s">
        <v>74</v>
      </c>
      <c r="I670" s="142" t="s">
        <v>46</v>
      </c>
      <c r="J670" s="157">
        <v>24</v>
      </c>
      <c r="K670" s="143">
        <v>36.75</v>
      </c>
      <c r="L670" s="143">
        <f>K670*J670</f>
        <v>882</v>
      </c>
      <c r="M670" s="143">
        <v>0</v>
      </c>
      <c r="N670" s="141">
        <v>45884</v>
      </c>
      <c r="O670" s="157">
        <f>WEEKNUM(N670)</f>
        <v>33</v>
      </c>
      <c r="P670" s="140"/>
      <c r="Q670" s="140" t="s">
        <v>29</v>
      </c>
      <c r="R670" s="143">
        <f>J670*0.25</f>
        <v>6</v>
      </c>
      <c r="S670" s="143">
        <f>J670*1</f>
        <v>24</v>
      </c>
      <c r="T670" s="143">
        <f>J670*1.5</f>
        <v>36</v>
      </c>
      <c r="U670" s="143">
        <f>J670*0.5</f>
        <v>12</v>
      </c>
      <c r="V670" s="143">
        <f>R670+S670+T670+U670</f>
        <v>78</v>
      </c>
    </row>
    <row r="671" spans="1:22" s="128" customFormat="1" ht="15.6" hidden="1" x14ac:dyDescent="0.3">
      <c r="A671" s="142" t="s">
        <v>477</v>
      </c>
      <c r="B671" s="142">
        <v>861</v>
      </c>
      <c r="C671" s="141">
        <v>45854</v>
      </c>
      <c r="D671" s="140">
        <f>WEEKNUM(C671)</f>
        <v>29</v>
      </c>
      <c r="E671" s="142" t="s">
        <v>68</v>
      </c>
      <c r="F671" s="195" t="s">
        <v>312</v>
      </c>
      <c r="G671" s="142" t="s">
        <v>374</v>
      </c>
      <c r="H671" s="140" t="s">
        <v>74</v>
      </c>
      <c r="I671" s="142" t="s">
        <v>46</v>
      </c>
      <c r="J671" s="157">
        <v>8</v>
      </c>
      <c r="K671" s="143">
        <v>55</v>
      </c>
      <c r="L671" s="143">
        <f>K671*J671</f>
        <v>440</v>
      </c>
      <c r="M671" s="143">
        <v>0</v>
      </c>
      <c r="N671" s="141">
        <v>45884</v>
      </c>
      <c r="O671" s="157">
        <f>WEEKNUM(N671)</f>
        <v>33</v>
      </c>
      <c r="P671" s="140"/>
      <c r="Q671" s="140" t="s">
        <v>29</v>
      </c>
      <c r="R671" s="143">
        <f>J671*0.25</f>
        <v>2</v>
      </c>
      <c r="S671" s="143">
        <f>J671*1</f>
        <v>8</v>
      </c>
      <c r="T671" s="143">
        <f>J671*1.5</f>
        <v>12</v>
      </c>
      <c r="U671" s="143">
        <f>J671*0.5</f>
        <v>4</v>
      </c>
      <c r="V671" s="143">
        <f>R671+S671+T671+U671</f>
        <v>26</v>
      </c>
    </row>
    <row r="672" spans="1:22" s="128" customFormat="1" ht="15.6" hidden="1" x14ac:dyDescent="0.3">
      <c r="A672" s="142" t="s">
        <v>477</v>
      </c>
      <c r="B672" s="142">
        <v>231</v>
      </c>
      <c r="C672" s="141">
        <v>45854</v>
      </c>
      <c r="D672" s="140">
        <f>WEEKNUM(C672)</f>
        <v>29</v>
      </c>
      <c r="E672" s="142" t="s">
        <v>498</v>
      </c>
      <c r="F672" s="142" t="s">
        <v>981</v>
      </c>
      <c r="G672" s="142" t="s">
        <v>982</v>
      </c>
      <c r="H672" s="142" t="s">
        <v>574</v>
      </c>
      <c r="I672" s="142" t="s">
        <v>46</v>
      </c>
      <c r="J672" s="157">
        <v>200</v>
      </c>
      <c r="K672" s="143">
        <v>12</v>
      </c>
      <c r="L672" s="143">
        <f>K672*J672</f>
        <v>2400</v>
      </c>
      <c r="M672" s="143">
        <v>0</v>
      </c>
      <c r="N672" s="141">
        <v>45881</v>
      </c>
      <c r="O672" s="157">
        <f>WEEKNUM(N672)</f>
        <v>33</v>
      </c>
      <c r="P672" s="140"/>
      <c r="Q672" s="140" t="s">
        <v>29</v>
      </c>
      <c r="R672" s="143">
        <f>J672*0.25</f>
        <v>50</v>
      </c>
      <c r="S672" s="143">
        <f>J672*0.6</f>
        <v>120</v>
      </c>
      <c r="T672" s="143">
        <f>J672*0.8</f>
        <v>160</v>
      </c>
      <c r="U672" s="143">
        <f>J672*0.5</f>
        <v>100</v>
      </c>
      <c r="V672" s="143">
        <f>R672+S672+T672+U672</f>
        <v>430</v>
      </c>
    </row>
    <row r="673" spans="1:22" s="128" customFormat="1" ht="15.6" hidden="1" x14ac:dyDescent="0.3">
      <c r="A673" s="142" t="s">
        <v>477</v>
      </c>
      <c r="B673" s="142">
        <v>231</v>
      </c>
      <c r="C673" s="141">
        <v>45854</v>
      </c>
      <c r="D673" s="140">
        <f>WEEKNUM(C673)</f>
        <v>29</v>
      </c>
      <c r="E673" s="142" t="s">
        <v>498</v>
      </c>
      <c r="F673" s="142" t="s">
        <v>981</v>
      </c>
      <c r="G673" s="142" t="s">
        <v>983</v>
      </c>
      <c r="H673" s="142" t="s">
        <v>574</v>
      </c>
      <c r="I673" s="142" t="s">
        <v>46</v>
      </c>
      <c r="J673" s="157">
        <v>200</v>
      </c>
      <c r="K673" s="143">
        <v>12</v>
      </c>
      <c r="L673" s="143">
        <f>K673*J673</f>
        <v>2400</v>
      </c>
      <c r="M673" s="143">
        <v>0</v>
      </c>
      <c r="N673" s="141">
        <v>45881</v>
      </c>
      <c r="O673" s="157">
        <f>WEEKNUM(N673)</f>
        <v>33</v>
      </c>
      <c r="P673" s="140"/>
      <c r="Q673" s="140" t="s">
        <v>29</v>
      </c>
      <c r="R673" s="143">
        <f>J673*0.25</f>
        <v>50</v>
      </c>
      <c r="S673" s="143">
        <f>J673*0.6</f>
        <v>120</v>
      </c>
      <c r="T673" s="143">
        <f>J673*0.8</f>
        <v>160</v>
      </c>
      <c r="U673" s="143">
        <f>J673*0.5</f>
        <v>100</v>
      </c>
      <c r="V673" s="143">
        <f>R673+S673+T673+U673</f>
        <v>430</v>
      </c>
    </row>
    <row r="674" spans="1:22" s="128" customFormat="1" ht="15.6" hidden="1" x14ac:dyDescent="0.3">
      <c r="A674" s="142" t="s">
        <v>477</v>
      </c>
      <c r="B674" s="142">
        <v>232</v>
      </c>
      <c r="C674" s="141">
        <v>45854</v>
      </c>
      <c r="D674" s="140">
        <f>WEEKNUM(C674)</f>
        <v>29</v>
      </c>
      <c r="E674" s="140" t="s">
        <v>475</v>
      </c>
      <c r="F674" s="142" t="s">
        <v>994</v>
      </c>
      <c r="G674" s="140" t="s">
        <v>658</v>
      </c>
      <c r="H674" s="142" t="s">
        <v>304</v>
      </c>
      <c r="I674" s="142" t="s">
        <v>46</v>
      </c>
      <c r="J674" s="157">
        <v>400</v>
      </c>
      <c r="K674" s="143">
        <v>11</v>
      </c>
      <c r="L674" s="143">
        <f>K674*J674</f>
        <v>4400</v>
      </c>
      <c r="M674" s="143">
        <v>0</v>
      </c>
      <c r="N674" s="141">
        <v>45885</v>
      </c>
      <c r="O674" s="157">
        <f>WEEKNUM(N674)</f>
        <v>33</v>
      </c>
      <c r="P674" s="140"/>
      <c r="Q674" s="140" t="s">
        <v>29</v>
      </c>
      <c r="R674" s="143">
        <f>J674*0.25</f>
        <v>100</v>
      </c>
      <c r="S674" s="143">
        <f>J674*0.7</f>
        <v>280</v>
      </c>
      <c r="T674" s="143">
        <f>J674*1</f>
        <v>400</v>
      </c>
      <c r="U674" s="143">
        <f>J674*1</f>
        <v>400</v>
      </c>
      <c r="V674" s="143">
        <f>R674+S674+T674+U674</f>
        <v>1180</v>
      </c>
    </row>
    <row r="675" spans="1:22" s="128" customFormat="1" ht="15.6" hidden="1" x14ac:dyDescent="0.3">
      <c r="A675" s="142" t="s">
        <v>477</v>
      </c>
      <c r="B675" s="142">
        <v>863</v>
      </c>
      <c r="C675" s="141">
        <v>45855</v>
      </c>
      <c r="D675" s="140">
        <f>WEEKNUM(C675)</f>
        <v>29</v>
      </c>
      <c r="E675" s="142" t="s">
        <v>498</v>
      </c>
      <c r="F675" s="142" t="s">
        <v>647</v>
      </c>
      <c r="G675" s="142" t="s">
        <v>155</v>
      </c>
      <c r="H675" s="140" t="s">
        <v>51</v>
      </c>
      <c r="I675" s="142" t="s">
        <v>46</v>
      </c>
      <c r="J675" s="157">
        <v>150</v>
      </c>
      <c r="K675" s="143">
        <v>23</v>
      </c>
      <c r="L675" s="143">
        <f>K675*J675</f>
        <v>3450</v>
      </c>
      <c r="M675" s="143">
        <v>0</v>
      </c>
      <c r="N675" s="141">
        <v>45873</v>
      </c>
      <c r="O675" s="157">
        <f>WEEKNUM(N675)</f>
        <v>32</v>
      </c>
      <c r="P675" s="140"/>
      <c r="Q675" s="140" t="s">
        <v>29</v>
      </c>
      <c r="R675" s="143">
        <f>J675*0.25</f>
        <v>37.5</v>
      </c>
      <c r="S675" s="143">
        <f>J675*1</f>
        <v>150</v>
      </c>
      <c r="T675" s="143">
        <f>J675*1.84</f>
        <v>276</v>
      </c>
      <c r="U675" s="143">
        <f>J675*0.5</f>
        <v>75</v>
      </c>
      <c r="V675" s="143">
        <f>R675+S675+T675+U675</f>
        <v>538.5</v>
      </c>
    </row>
    <row r="676" spans="1:22" s="128" customFormat="1" ht="15.6" hidden="1" x14ac:dyDescent="0.3">
      <c r="A676" s="142" t="s">
        <v>477</v>
      </c>
      <c r="B676" s="142">
        <v>233</v>
      </c>
      <c r="C676" s="141">
        <v>45855</v>
      </c>
      <c r="D676" s="140">
        <f>WEEKNUM(C676)</f>
        <v>29</v>
      </c>
      <c r="E676" s="142" t="s">
        <v>745</v>
      </c>
      <c r="F676" s="142" t="s">
        <v>746</v>
      </c>
      <c r="G676" s="142" t="s">
        <v>747</v>
      </c>
      <c r="H676" s="140" t="s">
        <v>74</v>
      </c>
      <c r="I676" s="142" t="s">
        <v>46</v>
      </c>
      <c r="J676" s="157">
        <v>40</v>
      </c>
      <c r="K676" s="143">
        <v>42</v>
      </c>
      <c r="L676" s="143">
        <f>K676*J676</f>
        <v>1680</v>
      </c>
      <c r="M676" s="143">
        <v>0</v>
      </c>
      <c r="N676" s="141">
        <v>45862</v>
      </c>
      <c r="O676" s="157">
        <f>WEEKNUM(N676)</f>
        <v>30</v>
      </c>
      <c r="P676" s="140"/>
      <c r="Q676" s="140" t="s">
        <v>29</v>
      </c>
      <c r="R676" s="143">
        <f>J676*0.25</f>
        <v>10</v>
      </c>
      <c r="S676" s="143">
        <f>J676*1</f>
        <v>40</v>
      </c>
      <c r="T676" s="143">
        <f>J676*1.5</f>
        <v>60</v>
      </c>
      <c r="U676" s="143">
        <f>J676*0.5</f>
        <v>20</v>
      </c>
      <c r="V676" s="143">
        <f>R676+S676+T676+U676</f>
        <v>130</v>
      </c>
    </row>
    <row r="677" spans="1:22" s="128" customFormat="1" ht="15.6" hidden="1" x14ac:dyDescent="0.3">
      <c r="A677" s="142" t="s">
        <v>477</v>
      </c>
      <c r="B677" s="142">
        <v>866</v>
      </c>
      <c r="C677" s="141">
        <v>45855</v>
      </c>
      <c r="D677" s="140">
        <f>WEEKNUM(C677)</f>
        <v>29</v>
      </c>
      <c r="E677" s="140" t="s">
        <v>475</v>
      </c>
      <c r="F677" s="140" t="s">
        <v>788</v>
      </c>
      <c r="G677" s="142" t="s">
        <v>792</v>
      </c>
      <c r="H677" s="140" t="s">
        <v>60</v>
      </c>
      <c r="I677" s="142" t="s">
        <v>61</v>
      </c>
      <c r="J677" s="157">
        <v>1000</v>
      </c>
      <c r="K677" s="143">
        <v>12.65</v>
      </c>
      <c r="L677" s="143">
        <f>K677*J677</f>
        <v>12650</v>
      </c>
      <c r="M677" s="143">
        <v>0</v>
      </c>
      <c r="N677" s="141">
        <v>45887</v>
      </c>
      <c r="O677" s="157">
        <f>WEEKNUM(N677)</f>
        <v>34</v>
      </c>
      <c r="P677" s="140"/>
      <c r="Q677" s="140" t="s">
        <v>29</v>
      </c>
      <c r="R677" s="143">
        <f>J677*0.25</f>
        <v>250</v>
      </c>
      <c r="S677" s="143">
        <f>J677*0.7</f>
        <v>700</v>
      </c>
      <c r="T677" s="143">
        <f>J677*2.5</f>
        <v>2500</v>
      </c>
      <c r="U677" s="143">
        <f>J677*0.5</f>
        <v>500</v>
      </c>
      <c r="V677" s="143">
        <f>R677+S677+T677+U677</f>
        <v>3950</v>
      </c>
    </row>
    <row r="678" spans="1:22" s="128" customFormat="1" ht="15.6" hidden="1" x14ac:dyDescent="0.3">
      <c r="A678" s="142" t="s">
        <v>496</v>
      </c>
      <c r="B678" s="142">
        <v>865</v>
      </c>
      <c r="C678" s="141">
        <v>45855</v>
      </c>
      <c r="D678" s="140">
        <f>WEEKNUM(C678)</f>
        <v>29</v>
      </c>
      <c r="E678" s="140" t="s">
        <v>475</v>
      </c>
      <c r="F678" s="142" t="s">
        <v>949</v>
      </c>
      <c r="G678" s="142" t="s">
        <v>311</v>
      </c>
      <c r="H678" s="140" t="s">
        <v>51</v>
      </c>
      <c r="I678" s="142" t="s">
        <v>46</v>
      </c>
      <c r="J678" s="157">
        <v>50</v>
      </c>
      <c r="K678" s="143">
        <v>20</v>
      </c>
      <c r="L678" s="143">
        <f>K678*J678</f>
        <v>1000</v>
      </c>
      <c r="M678" s="143">
        <v>0</v>
      </c>
      <c r="N678" s="141">
        <v>45889</v>
      </c>
      <c r="O678" s="157">
        <f>WEEKNUM(N678)</f>
        <v>34</v>
      </c>
      <c r="P678" s="140"/>
      <c r="Q678" s="140" t="s">
        <v>29</v>
      </c>
      <c r="R678" s="143">
        <f>J678*0.25</f>
        <v>12.5</v>
      </c>
      <c r="S678" s="143">
        <f>J678*1</f>
        <v>50</v>
      </c>
      <c r="T678" s="143">
        <f>J678*1.5</f>
        <v>75</v>
      </c>
      <c r="U678" s="143">
        <f>J678*0.5</f>
        <v>25</v>
      </c>
      <c r="V678" s="143">
        <f>R678+S678+T678+U678</f>
        <v>162.5</v>
      </c>
    </row>
    <row r="679" spans="1:22" s="128" customFormat="1" ht="15.6" hidden="1" x14ac:dyDescent="0.3">
      <c r="A679" s="142" t="s">
        <v>496</v>
      </c>
      <c r="B679" s="142">
        <v>865</v>
      </c>
      <c r="C679" s="141">
        <v>45855</v>
      </c>
      <c r="D679" s="140">
        <f>WEEKNUM(C679)</f>
        <v>29</v>
      </c>
      <c r="E679" s="140" t="s">
        <v>475</v>
      </c>
      <c r="F679" s="142" t="s">
        <v>949</v>
      </c>
      <c r="G679" s="142" t="s">
        <v>858</v>
      </c>
      <c r="H679" s="140" t="s">
        <v>51</v>
      </c>
      <c r="I679" s="142" t="s">
        <v>61</v>
      </c>
      <c r="J679" s="157">
        <v>2</v>
      </c>
      <c r="K679" s="143">
        <v>150</v>
      </c>
      <c r="L679" s="143">
        <f>K679*J679</f>
        <v>300</v>
      </c>
      <c r="M679" s="143">
        <v>0</v>
      </c>
      <c r="N679" s="141">
        <v>45889</v>
      </c>
      <c r="O679" s="157">
        <f>WEEKNUM(N679)</f>
        <v>34</v>
      </c>
      <c r="P679" s="140"/>
      <c r="Q679" s="140" t="s">
        <v>29</v>
      </c>
      <c r="R679" s="143">
        <f>J679*0.25</f>
        <v>0.5</v>
      </c>
      <c r="S679" s="143">
        <f>J679*1</f>
        <v>2</v>
      </c>
      <c r="T679" s="143">
        <f>J679*3</f>
        <v>6</v>
      </c>
      <c r="U679" s="143">
        <f>J679*1</f>
        <v>2</v>
      </c>
      <c r="V679" s="143">
        <f>R679+S679+T679+U679</f>
        <v>10.5</v>
      </c>
    </row>
    <row r="680" spans="1:22" s="128" customFormat="1" ht="15.6" hidden="1" x14ac:dyDescent="0.3">
      <c r="A680" s="142" t="s">
        <v>496</v>
      </c>
      <c r="B680" s="142">
        <v>865</v>
      </c>
      <c r="C680" s="141">
        <v>45855</v>
      </c>
      <c r="D680" s="140">
        <f>WEEKNUM(C680)</f>
        <v>29</v>
      </c>
      <c r="E680" s="140" t="s">
        <v>475</v>
      </c>
      <c r="F680" s="142" t="s">
        <v>949</v>
      </c>
      <c r="G680" s="142" t="s">
        <v>861</v>
      </c>
      <c r="H680" s="142" t="s">
        <v>555</v>
      </c>
      <c r="I680" s="142" t="s">
        <v>46</v>
      </c>
      <c r="J680" s="157">
        <v>4</v>
      </c>
      <c r="K680" s="143">
        <v>55</v>
      </c>
      <c r="L680" s="143">
        <f>K680*J680</f>
        <v>220</v>
      </c>
      <c r="M680" s="143">
        <v>0</v>
      </c>
      <c r="N680" s="141">
        <v>45889</v>
      </c>
      <c r="O680" s="157">
        <f>WEEKNUM(N680)</f>
        <v>34</v>
      </c>
      <c r="P680" s="140"/>
      <c r="Q680" s="140" t="s">
        <v>29</v>
      </c>
      <c r="R680" s="143">
        <f>J680*0.25</f>
        <v>1</v>
      </c>
      <c r="S680" s="143">
        <f>J680*1.5</f>
        <v>6</v>
      </c>
      <c r="T680" s="143">
        <f>J680*5.27</f>
        <v>21.08</v>
      </c>
      <c r="U680" s="143">
        <f>J680*0.5</f>
        <v>2</v>
      </c>
      <c r="V680" s="156">
        <f>SUM(R680:U680)</f>
        <v>30.08</v>
      </c>
    </row>
    <row r="681" spans="1:22" s="128" customFormat="1" ht="15.6" hidden="1" x14ac:dyDescent="0.3">
      <c r="A681" s="142" t="s">
        <v>477</v>
      </c>
      <c r="B681" s="142">
        <v>867</v>
      </c>
      <c r="C681" s="141">
        <v>45859</v>
      </c>
      <c r="D681" s="140">
        <f>WEEKNUM(C681)</f>
        <v>30</v>
      </c>
      <c r="E681" s="142" t="s">
        <v>498</v>
      </c>
      <c r="F681" s="140" t="s">
        <v>883</v>
      </c>
      <c r="G681" s="142" t="s">
        <v>487</v>
      </c>
      <c r="H681" s="140" t="s">
        <v>51</v>
      </c>
      <c r="I681" s="142" t="s">
        <v>46</v>
      </c>
      <c r="J681" s="157">
        <v>240</v>
      </c>
      <c r="K681" s="143">
        <v>25</v>
      </c>
      <c r="L681" s="143">
        <f>K681*J681</f>
        <v>6000</v>
      </c>
      <c r="M681" s="143">
        <v>0</v>
      </c>
      <c r="N681" s="141">
        <v>45891</v>
      </c>
      <c r="O681" s="157">
        <f>WEEKNUM(N681)</f>
        <v>34</v>
      </c>
      <c r="P681" s="140"/>
      <c r="Q681" s="140" t="s">
        <v>29</v>
      </c>
      <c r="R681" s="143">
        <f>J681*0.25</f>
        <v>60</v>
      </c>
      <c r="S681" s="143">
        <f>J681*1</f>
        <v>240</v>
      </c>
      <c r="T681" s="143">
        <f>J681*1.84</f>
        <v>441.6</v>
      </c>
      <c r="U681" s="143">
        <f>J681*0.5</f>
        <v>120</v>
      </c>
      <c r="V681" s="143">
        <f>R681+S681+T681+U681</f>
        <v>861.6</v>
      </c>
    </row>
    <row r="682" spans="1:22" s="128" customFormat="1" ht="15.6" hidden="1" x14ac:dyDescent="0.3">
      <c r="A682" s="142" t="s">
        <v>496</v>
      </c>
      <c r="B682" s="142">
        <v>868</v>
      </c>
      <c r="C682" s="141">
        <v>45859</v>
      </c>
      <c r="D682" s="140">
        <f>WEEKNUM(C682)</f>
        <v>30</v>
      </c>
      <c r="E682" s="142" t="s">
        <v>68</v>
      </c>
      <c r="F682" s="142" t="s">
        <v>381</v>
      </c>
      <c r="G682" s="142" t="s">
        <v>301</v>
      </c>
      <c r="H682" s="140" t="s">
        <v>74</v>
      </c>
      <c r="I682" s="142" t="s">
        <v>46</v>
      </c>
      <c r="J682" s="157">
        <v>13</v>
      </c>
      <c r="K682" s="143">
        <v>36.75</v>
      </c>
      <c r="L682" s="143">
        <f>K682*J682</f>
        <v>477.75</v>
      </c>
      <c r="M682" s="143">
        <v>0</v>
      </c>
      <c r="N682" s="141">
        <v>45891</v>
      </c>
      <c r="O682" s="157">
        <f>WEEKNUM(N682)</f>
        <v>34</v>
      </c>
      <c r="P682" s="140"/>
      <c r="Q682" s="140" t="s">
        <v>29</v>
      </c>
      <c r="R682" s="143">
        <f>J682*0.25</f>
        <v>3.25</v>
      </c>
      <c r="S682" s="143">
        <f>J682*1</f>
        <v>13</v>
      </c>
      <c r="T682" s="143">
        <f>J682*1.5</f>
        <v>19.5</v>
      </c>
      <c r="U682" s="143">
        <f>J682*0.5</f>
        <v>6.5</v>
      </c>
      <c r="V682" s="143">
        <f>R682+S682+T682+U682</f>
        <v>42.25</v>
      </c>
    </row>
    <row r="683" spans="1:22" s="128" customFormat="1" ht="15.6" hidden="1" x14ac:dyDescent="0.3">
      <c r="A683" s="142" t="s">
        <v>496</v>
      </c>
      <c r="B683" s="142">
        <v>868</v>
      </c>
      <c r="C683" s="141">
        <v>45859</v>
      </c>
      <c r="D683" s="140">
        <f>WEEKNUM(C683)</f>
        <v>30</v>
      </c>
      <c r="E683" s="142" t="s">
        <v>68</v>
      </c>
      <c r="F683" s="142" t="s">
        <v>381</v>
      </c>
      <c r="G683" s="142" t="s">
        <v>368</v>
      </c>
      <c r="H683" s="140" t="s">
        <v>74</v>
      </c>
      <c r="I683" s="142" t="s">
        <v>46</v>
      </c>
      <c r="J683" s="157">
        <v>2</v>
      </c>
      <c r="K683" s="143">
        <v>45</v>
      </c>
      <c r="L683" s="143">
        <f>K683*J683</f>
        <v>90</v>
      </c>
      <c r="M683" s="143">
        <v>0</v>
      </c>
      <c r="N683" s="141">
        <v>45891</v>
      </c>
      <c r="O683" s="157">
        <f>WEEKNUM(N683)</f>
        <v>34</v>
      </c>
      <c r="P683" s="140"/>
      <c r="Q683" s="140" t="s">
        <v>29</v>
      </c>
      <c r="R683" s="143">
        <f>J683*0.25</f>
        <v>0.5</v>
      </c>
      <c r="S683" s="143">
        <f>J683*1</f>
        <v>2</v>
      </c>
      <c r="T683" s="143">
        <f>J683*1.5</f>
        <v>3</v>
      </c>
      <c r="U683" s="143">
        <f>J683*0.5</f>
        <v>1</v>
      </c>
      <c r="V683" s="143">
        <f>R683+S683+T683+U683</f>
        <v>6.5</v>
      </c>
    </row>
    <row r="684" spans="1:22" s="128" customFormat="1" ht="15.6" hidden="1" x14ac:dyDescent="0.3">
      <c r="A684" s="142" t="s">
        <v>496</v>
      </c>
      <c r="B684" s="142">
        <v>868</v>
      </c>
      <c r="C684" s="141">
        <v>45859</v>
      </c>
      <c r="D684" s="140">
        <f>WEEKNUM(C684)</f>
        <v>30</v>
      </c>
      <c r="E684" s="142" t="s">
        <v>68</v>
      </c>
      <c r="F684" s="142" t="s">
        <v>381</v>
      </c>
      <c r="G684" s="142" t="s">
        <v>311</v>
      </c>
      <c r="H684" s="140" t="s">
        <v>51</v>
      </c>
      <c r="I684" s="142" t="s">
        <v>46</v>
      </c>
      <c r="J684" s="157">
        <v>4</v>
      </c>
      <c r="K684" s="143">
        <v>25</v>
      </c>
      <c r="L684" s="143">
        <f>K684*J684</f>
        <v>100</v>
      </c>
      <c r="M684" s="143">
        <v>0</v>
      </c>
      <c r="N684" s="141">
        <v>45891</v>
      </c>
      <c r="O684" s="157">
        <f>WEEKNUM(N684)</f>
        <v>34</v>
      </c>
      <c r="P684" s="140"/>
      <c r="Q684" s="140" t="s">
        <v>29</v>
      </c>
      <c r="R684" s="143">
        <f>J684*0.25</f>
        <v>1</v>
      </c>
      <c r="S684" s="143">
        <f>J684*1</f>
        <v>4</v>
      </c>
      <c r="T684" s="143">
        <f>J684*1.5</f>
        <v>6</v>
      </c>
      <c r="U684" s="143">
        <f>J684*0.5</f>
        <v>2</v>
      </c>
      <c r="V684" s="143">
        <f>R684+S684+T684+U684</f>
        <v>13</v>
      </c>
    </row>
    <row r="685" spans="1:22" s="128" customFormat="1" ht="15.6" hidden="1" x14ac:dyDescent="0.3">
      <c r="A685" s="142" t="s">
        <v>496</v>
      </c>
      <c r="B685" s="142">
        <v>868</v>
      </c>
      <c r="C685" s="141">
        <v>45859</v>
      </c>
      <c r="D685" s="140">
        <f>WEEKNUM(C685)</f>
        <v>30</v>
      </c>
      <c r="E685" s="142" t="s">
        <v>68</v>
      </c>
      <c r="F685" s="142" t="s">
        <v>381</v>
      </c>
      <c r="G685" s="142" t="s">
        <v>408</v>
      </c>
      <c r="H685" s="140" t="s">
        <v>80</v>
      </c>
      <c r="I685" s="142" t="s">
        <v>46</v>
      </c>
      <c r="J685" s="157">
        <v>3</v>
      </c>
      <c r="K685" s="143">
        <v>21</v>
      </c>
      <c r="L685" s="143">
        <f>K685*J685</f>
        <v>63</v>
      </c>
      <c r="M685" s="143">
        <v>0</v>
      </c>
      <c r="N685" s="141">
        <v>45891</v>
      </c>
      <c r="O685" s="157">
        <f>WEEKNUM(N685)</f>
        <v>34</v>
      </c>
      <c r="P685" s="140"/>
      <c r="Q685" s="140" t="s">
        <v>29</v>
      </c>
      <c r="R685" s="156">
        <f>J685*0.25</f>
        <v>0.75</v>
      </c>
      <c r="S685" s="156">
        <f>J685*1</f>
        <v>3</v>
      </c>
      <c r="T685" s="156">
        <f>J685*1.2</f>
        <v>3.5999999999999996</v>
      </c>
      <c r="U685" s="156">
        <f>J685*0.5</f>
        <v>1.5</v>
      </c>
      <c r="V685" s="156">
        <f>R685+S685+T685+U685</f>
        <v>8.85</v>
      </c>
    </row>
    <row r="686" spans="1:22" s="128" customFormat="1" ht="15.6" hidden="1" x14ac:dyDescent="0.3">
      <c r="A686" s="142" t="s">
        <v>477</v>
      </c>
      <c r="B686" s="142">
        <v>204</v>
      </c>
      <c r="C686" s="141">
        <v>45862</v>
      </c>
      <c r="D686" s="140">
        <f>WEEKNUM(C686)</f>
        <v>30</v>
      </c>
      <c r="E686" s="140" t="s">
        <v>475</v>
      </c>
      <c r="F686" s="130" t="s">
        <v>621</v>
      </c>
      <c r="G686" s="142" t="s">
        <v>622</v>
      </c>
      <c r="H686" s="142" t="s">
        <v>623</v>
      </c>
      <c r="I686" s="142" t="s">
        <v>46</v>
      </c>
      <c r="J686" s="157">
        <v>100</v>
      </c>
      <c r="K686" s="143">
        <v>35</v>
      </c>
      <c r="L686" s="143">
        <f>K686*J686</f>
        <v>3500</v>
      </c>
      <c r="M686" s="143">
        <v>0</v>
      </c>
      <c r="N686" s="141">
        <v>45895</v>
      </c>
      <c r="O686" s="157">
        <f>WEEKNUM(N686)</f>
        <v>35</v>
      </c>
      <c r="P686" s="140"/>
      <c r="Q686" s="140" t="s">
        <v>29</v>
      </c>
      <c r="R686" s="143">
        <f>J686*0.25</f>
        <v>25</v>
      </c>
      <c r="S686" s="143">
        <f>J686*1.5</f>
        <v>150</v>
      </c>
      <c r="T686" s="143">
        <f>J686*3</f>
        <v>300</v>
      </c>
      <c r="U686" s="143">
        <f>J686*0.5</f>
        <v>50</v>
      </c>
      <c r="V686" s="143">
        <f>R686+S686+T686+U686</f>
        <v>525</v>
      </c>
    </row>
    <row r="687" spans="1:22" s="128" customFormat="1" ht="15.6" hidden="1" x14ac:dyDescent="0.3">
      <c r="A687" s="142" t="s">
        <v>477</v>
      </c>
      <c r="B687" s="142">
        <v>234</v>
      </c>
      <c r="C687" s="141">
        <v>45862</v>
      </c>
      <c r="D687" s="140">
        <f>WEEKNUM(C687)</f>
        <v>30</v>
      </c>
      <c r="E687" s="140" t="s">
        <v>475</v>
      </c>
      <c r="F687" s="142" t="s">
        <v>451</v>
      </c>
      <c r="G687" s="142" t="s">
        <v>487</v>
      </c>
      <c r="H687" s="140" t="s">
        <v>51</v>
      </c>
      <c r="I687" s="142" t="s">
        <v>46</v>
      </c>
      <c r="J687" s="157">
        <v>100</v>
      </c>
      <c r="K687" s="143">
        <v>23.5</v>
      </c>
      <c r="L687" s="143">
        <f>K687*J687</f>
        <v>2350</v>
      </c>
      <c r="M687" s="143">
        <v>0</v>
      </c>
      <c r="N687" s="141">
        <v>45895</v>
      </c>
      <c r="O687" s="157">
        <f>WEEKNUM(N687)</f>
        <v>35</v>
      </c>
      <c r="P687" s="140"/>
      <c r="Q687" s="140" t="s">
        <v>29</v>
      </c>
      <c r="R687" s="143">
        <f>J687*0.25</f>
        <v>25</v>
      </c>
      <c r="S687" s="143">
        <f>J687*1</f>
        <v>100</v>
      </c>
      <c r="T687" s="143">
        <f>J687*1.84</f>
        <v>184</v>
      </c>
      <c r="U687" s="143">
        <f>J687*0.5</f>
        <v>50</v>
      </c>
      <c r="V687" s="143">
        <f>R687+S687+T687+U687</f>
        <v>359</v>
      </c>
    </row>
    <row r="688" spans="1:22" s="128" customFormat="1" ht="15.6" hidden="1" x14ac:dyDescent="0.3">
      <c r="A688" s="142" t="s">
        <v>477</v>
      </c>
      <c r="B688" s="142">
        <v>234</v>
      </c>
      <c r="C688" s="141">
        <v>45862</v>
      </c>
      <c r="D688" s="140">
        <f>WEEKNUM(C688)</f>
        <v>30</v>
      </c>
      <c r="E688" s="140" t="s">
        <v>475</v>
      </c>
      <c r="F688" s="142" t="s">
        <v>451</v>
      </c>
      <c r="G688" s="142" t="s">
        <v>845</v>
      </c>
      <c r="H688" s="140" t="s">
        <v>494</v>
      </c>
      <c r="I688" s="142" t="s">
        <v>46</v>
      </c>
      <c r="J688" s="157">
        <v>100</v>
      </c>
      <c r="K688" s="143">
        <v>24.5</v>
      </c>
      <c r="L688" s="143">
        <f>K688*J688</f>
        <v>2450</v>
      </c>
      <c r="M688" s="143">
        <v>0</v>
      </c>
      <c r="N688" s="141">
        <v>45895</v>
      </c>
      <c r="O688" s="157">
        <f>WEEKNUM(N688)</f>
        <v>35</v>
      </c>
      <c r="P688" s="140"/>
      <c r="Q688" s="140" t="s">
        <v>29</v>
      </c>
      <c r="R688" s="143">
        <f>J688*0.25</f>
        <v>25</v>
      </c>
      <c r="S688" s="143">
        <f>J688*1</f>
        <v>100</v>
      </c>
      <c r="T688" s="143">
        <f>J688*1.5</f>
        <v>150</v>
      </c>
      <c r="U688" s="143">
        <f>J688*0.5</f>
        <v>50</v>
      </c>
      <c r="V688" s="143">
        <f>R688+S688+T688+U688</f>
        <v>325</v>
      </c>
    </row>
    <row r="689" spans="1:22" s="128" customFormat="1" ht="15.6" hidden="1" x14ac:dyDescent="0.3">
      <c r="A689" s="142" t="s">
        <v>477</v>
      </c>
      <c r="B689" s="142">
        <v>234</v>
      </c>
      <c r="C689" s="141">
        <v>45862</v>
      </c>
      <c r="D689" s="140">
        <f>WEEKNUM(C689)</f>
        <v>30</v>
      </c>
      <c r="E689" s="140" t="s">
        <v>475</v>
      </c>
      <c r="F689" s="142" t="s">
        <v>451</v>
      </c>
      <c r="G689" s="142" t="s">
        <v>554</v>
      </c>
      <c r="H689" s="142" t="s">
        <v>555</v>
      </c>
      <c r="I689" s="142" t="s">
        <v>46</v>
      </c>
      <c r="J689" s="157">
        <v>100</v>
      </c>
      <c r="K689" s="143">
        <v>26.5</v>
      </c>
      <c r="L689" s="143">
        <f>K689*J689</f>
        <v>2650</v>
      </c>
      <c r="M689" s="143">
        <v>0</v>
      </c>
      <c r="N689" s="141">
        <v>45895</v>
      </c>
      <c r="O689" s="157">
        <f>WEEKNUM(N689)</f>
        <v>35</v>
      </c>
      <c r="P689" s="140"/>
      <c r="Q689" s="140" t="s">
        <v>29</v>
      </c>
      <c r="R689" s="143">
        <f>J689*0.25</f>
        <v>25</v>
      </c>
      <c r="S689" s="143">
        <f>J689*1.5</f>
        <v>150</v>
      </c>
      <c r="T689" s="143">
        <f>J689*5.27</f>
        <v>527</v>
      </c>
      <c r="U689" s="143">
        <f>J689*0.5</f>
        <v>50</v>
      </c>
      <c r="V689" s="156">
        <f>SUM(R689:U689)</f>
        <v>752</v>
      </c>
    </row>
    <row r="690" spans="1:22" s="128" customFormat="1" ht="15.6" hidden="1" x14ac:dyDescent="0.3">
      <c r="A690" s="142" t="s">
        <v>477</v>
      </c>
      <c r="B690" s="142">
        <v>872</v>
      </c>
      <c r="C690" s="141">
        <v>45862</v>
      </c>
      <c r="D690" s="140">
        <f>WEEKNUM(C690)</f>
        <v>30</v>
      </c>
      <c r="E690" s="140" t="s">
        <v>475</v>
      </c>
      <c r="F690" s="142" t="s">
        <v>888</v>
      </c>
      <c r="G690" s="142" t="s">
        <v>218</v>
      </c>
      <c r="H690" s="140" t="s">
        <v>74</v>
      </c>
      <c r="I690" s="142" t="s">
        <v>46</v>
      </c>
      <c r="J690" s="157">
        <v>25</v>
      </c>
      <c r="K690" s="143">
        <v>18</v>
      </c>
      <c r="L690" s="143">
        <f>K690*J690</f>
        <v>450</v>
      </c>
      <c r="M690" s="143">
        <v>0</v>
      </c>
      <c r="N690" s="141">
        <v>45892</v>
      </c>
      <c r="O690" s="157">
        <f>WEEKNUM(N690)</f>
        <v>34</v>
      </c>
      <c r="P690" s="140"/>
      <c r="Q690" s="140" t="s">
        <v>29</v>
      </c>
      <c r="R690" s="143">
        <f>J690*0.25</f>
        <v>6.25</v>
      </c>
      <c r="S690" s="143">
        <f>J690*1</f>
        <v>25</v>
      </c>
      <c r="T690" s="143">
        <f>J690*1.5</f>
        <v>37.5</v>
      </c>
      <c r="U690" s="143">
        <f>J690*0.5</f>
        <v>12.5</v>
      </c>
      <c r="V690" s="143">
        <f>R690+S690+T690+U690</f>
        <v>81.25</v>
      </c>
    </row>
    <row r="691" spans="1:22" s="128" customFormat="1" ht="15.6" hidden="1" x14ac:dyDescent="0.3">
      <c r="A691" s="142" t="s">
        <v>496</v>
      </c>
      <c r="B691" s="142">
        <v>203</v>
      </c>
      <c r="C691" s="141">
        <v>45863</v>
      </c>
      <c r="D691" s="140">
        <f>WEEKNUM(C691)</f>
        <v>30</v>
      </c>
      <c r="E691" s="142" t="s">
        <v>68</v>
      </c>
      <c r="F691" s="142" t="s">
        <v>382</v>
      </c>
      <c r="G691" s="142" t="s">
        <v>311</v>
      </c>
      <c r="H691" s="140" t="s">
        <v>51</v>
      </c>
      <c r="I691" s="142" t="s">
        <v>46</v>
      </c>
      <c r="J691" s="157">
        <v>18</v>
      </c>
      <c r="K691" s="143">
        <v>25</v>
      </c>
      <c r="L691" s="143">
        <f>K691*J691</f>
        <v>450</v>
      </c>
      <c r="M691" s="143">
        <v>0</v>
      </c>
      <c r="N691" s="141">
        <v>45884</v>
      </c>
      <c r="O691" s="157">
        <f>WEEKNUM(N691)</f>
        <v>33</v>
      </c>
      <c r="P691" s="140"/>
      <c r="Q691" s="140" t="s">
        <v>29</v>
      </c>
      <c r="R691" s="143">
        <f>J691*0.25</f>
        <v>4.5</v>
      </c>
      <c r="S691" s="143">
        <f>J691*1</f>
        <v>18</v>
      </c>
      <c r="T691" s="143">
        <f>J691*1.5</f>
        <v>27</v>
      </c>
      <c r="U691" s="143">
        <f>J691*0.5</f>
        <v>9</v>
      </c>
      <c r="V691" s="143">
        <f>R691+S691+T691+U691</f>
        <v>58.5</v>
      </c>
    </row>
    <row r="692" spans="1:22" s="128" customFormat="1" ht="15.6" hidden="1" x14ac:dyDescent="0.3">
      <c r="A692" s="142" t="s">
        <v>496</v>
      </c>
      <c r="B692" s="142">
        <v>203</v>
      </c>
      <c r="C692" s="141">
        <v>45863</v>
      </c>
      <c r="D692" s="140">
        <f>WEEKNUM(C692)</f>
        <v>30</v>
      </c>
      <c r="E692" s="142" t="s">
        <v>68</v>
      </c>
      <c r="F692" s="142" t="s">
        <v>382</v>
      </c>
      <c r="G692" s="140" t="s">
        <v>503</v>
      </c>
      <c r="H692" s="140" t="s">
        <v>354</v>
      </c>
      <c r="I692" s="142" t="s">
        <v>46</v>
      </c>
      <c r="J692" s="157">
        <v>42</v>
      </c>
      <c r="K692" s="143">
        <v>36.75</v>
      </c>
      <c r="L692" s="143">
        <f>K692*J692</f>
        <v>1543.5</v>
      </c>
      <c r="M692" s="143">
        <v>0</v>
      </c>
      <c r="N692" s="141">
        <v>45884</v>
      </c>
      <c r="O692" s="157">
        <f>WEEKNUM(N692)</f>
        <v>33</v>
      </c>
      <c r="P692" s="140"/>
      <c r="Q692" s="140" t="s">
        <v>29</v>
      </c>
      <c r="R692" s="143">
        <f>J692*0.25</f>
        <v>10.5</v>
      </c>
      <c r="S692" s="143">
        <f>J692*1</f>
        <v>42</v>
      </c>
      <c r="T692" s="143">
        <f>J692*1.5</f>
        <v>63</v>
      </c>
      <c r="U692" s="143">
        <f>J692*0.5</f>
        <v>21</v>
      </c>
      <c r="V692" s="143">
        <f>R692+S692+T692+U692</f>
        <v>136.5</v>
      </c>
    </row>
    <row r="693" spans="1:22" s="128" customFormat="1" ht="15.6" hidden="1" x14ac:dyDescent="0.3">
      <c r="A693" s="142" t="s">
        <v>496</v>
      </c>
      <c r="B693" s="142">
        <v>203</v>
      </c>
      <c r="C693" s="141">
        <v>45863</v>
      </c>
      <c r="D693" s="140">
        <f>WEEKNUM(C693)</f>
        <v>30</v>
      </c>
      <c r="E693" s="142" t="s">
        <v>68</v>
      </c>
      <c r="F693" s="142" t="s">
        <v>382</v>
      </c>
      <c r="G693" s="142" t="s">
        <v>301</v>
      </c>
      <c r="H693" s="140" t="s">
        <v>74</v>
      </c>
      <c r="I693" s="142" t="s">
        <v>46</v>
      </c>
      <c r="J693" s="157">
        <v>20</v>
      </c>
      <c r="K693" s="143">
        <v>36.75</v>
      </c>
      <c r="L693" s="143">
        <f>K693*J693</f>
        <v>735</v>
      </c>
      <c r="M693" s="143">
        <v>0</v>
      </c>
      <c r="N693" s="141">
        <v>45884</v>
      </c>
      <c r="O693" s="157">
        <f>WEEKNUM(N693)</f>
        <v>33</v>
      </c>
      <c r="P693" s="140"/>
      <c r="Q693" s="140" t="s">
        <v>29</v>
      </c>
      <c r="R693" s="143">
        <f>J693*0.25</f>
        <v>5</v>
      </c>
      <c r="S693" s="143">
        <f>J693*1</f>
        <v>20</v>
      </c>
      <c r="T693" s="143">
        <f>J693*1.5</f>
        <v>30</v>
      </c>
      <c r="U693" s="143">
        <f>J693*0.5</f>
        <v>10</v>
      </c>
      <c r="V693" s="143">
        <f>R693+S693+T693+U693</f>
        <v>65</v>
      </c>
    </row>
    <row r="694" spans="1:22" s="128" customFormat="1" ht="15.6" hidden="1" x14ac:dyDescent="0.3">
      <c r="A694" s="142" t="s">
        <v>496</v>
      </c>
      <c r="B694" s="142">
        <v>203</v>
      </c>
      <c r="C694" s="141">
        <v>45863</v>
      </c>
      <c r="D694" s="140">
        <f>WEEKNUM(C694)</f>
        <v>30</v>
      </c>
      <c r="E694" s="142" t="s">
        <v>68</v>
      </c>
      <c r="F694" s="142" t="s">
        <v>382</v>
      </c>
      <c r="G694" s="142" t="s">
        <v>374</v>
      </c>
      <c r="H694" s="140" t="s">
        <v>74</v>
      </c>
      <c r="I694" s="142" t="s">
        <v>46</v>
      </c>
      <c r="J694" s="157">
        <v>6</v>
      </c>
      <c r="K694" s="143">
        <v>47.5</v>
      </c>
      <c r="L694" s="143">
        <f>K694*J694</f>
        <v>285</v>
      </c>
      <c r="M694" s="143">
        <v>0</v>
      </c>
      <c r="N694" s="141">
        <v>45884</v>
      </c>
      <c r="O694" s="157">
        <f>WEEKNUM(N694)</f>
        <v>33</v>
      </c>
      <c r="P694" s="140"/>
      <c r="Q694" s="140" t="s">
        <v>29</v>
      </c>
      <c r="R694" s="143">
        <f>J694*0.25</f>
        <v>1.5</v>
      </c>
      <c r="S694" s="143">
        <f>J694*1</f>
        <v>6</v>
      </c>
      <c r="T694" s="143">
        <f>J694*1.5</f>
        <v>9</v>
      </c>
      <c r="U694" s="143">
        <f>J694*0.5</f>
        <v>3</v>
      </c>
      <c r="V694" s="143">
        <f>R694+S694+T694+U694</f>
        <v>19.5</v>
      </c>
    </row>
    <row r="695" spans="1:22" s="128" customFormat="1" ht="15.6" hidden="1" x14ac:dyDescent="0.3">
      <c r="A695" s="142" t="s">
        <v>496</v>
      </c>
      <c r="B695" s="142">
        <v>203</v>
      </c>
      <c r="C695" s="141">
        <v>45863</v>
      </c>
      <c r="D695" s="140">
        <f>WEEKNUM(C695)</f>
        <v>30</v>
      </c>
      <c r="E695" s="142" t="s">
        <v>68</v>
      </c>
      <c r="F695" s="142" t="s">
        <v>382</v>
      </c>
      <c r="G695" s="142" t="s">
        <v>408</v>
      </c>
      <c r="H695" s="140" t="s">
        <v>80</v>
      </c>
      <c r="I695" s="142" t="s">
        <v>46</v>
      </c>
      <c r="J695" s="157">
        <v>22</v>
      </c>
      <c r="K695" s="143">
        <v>22</v>
      </c>
      <c r="L695" s="143">
        <f>K695*J695</f>
        <v>484</v>
      </c>
      <c r="M695" s="143">
        <v>0</v>
      </c>
      <c r="N695" s="141">
        <v>45884</v>
      </c>
      <c r="O695" s="157">
        <f>WEEKNUM(N695)</f>
        <v>33</v>
      </c>
      <c r="P695" s="140"/>
      <c r="Q695" s="140" t="s">
        <v>29</v>
      </c>
      <c r="R695" s="156">
        <f>J695*0.25</f>
        <v>5.5</v>
      </c>
      <c r="S695" s="156">
        <f>J695*1</f>
        <v>22</v>
      </c>
      <c r="T695" s="156">
        <f>J695*1.2</f>
        <v>26.4</v>
      </c>
      <c r="U695" s="156">
        <f>J695*0.5</f>
        <v>11</v>
      </c>
      <c r="V695" s="156">
        <f>R695+S695+T695+U695</f>
        <v>64.900000000000006</v>
      </c>
    </row>
    <row r="696" spans="1:22" s="128" customFormat="1" ht="15.6" hidden="1" x14ac:dyDescent="0.3">
      <c r="A696" s="142" t="s">
        <v>477</v>
      </c>
      <c r="B696" s="142">
        <v>873</v>
      </c>
      <c r="C696" s="141">
        <v>45863</v>
      </c>
      <c r="D696" s="140">
        <f>WEEKNUM(C696)</f>
        <v>30</v>
      </c>
      <c r="E696" s="142" t="s">
        <v>498</v>
      </c>
      <c r="F696" s="140" t="s">
        <v>459</v>
      </c>
      <c r="G696" s="142" t="s">
        <v>904</v>
      </c>
      <c r="H696" s="142" t="s">
        <v>903</v>
      </c>
      <c r="I696" s="142" t="s">
        <v>61</v>
      </c>
      <c r="J696" s="157">
        <v>100</v>
      </c>
      <c r="K696" s="143">
        <v>40</v>
      </c>
      <c r="L696" s="143">
        <f>K696*J696</f>
        <v>4000</v>
      </c>
      <c r="M696" s="143">
        <v>0</v>
      </c>
      <c r="N696" s="141">
        <v>45897</v>
      </c>
      <c r="O696" s="157">
        <f>WEEKNUM(N696)</f>
        <v>35</v>
      </c>
      <c r="P696" s="140"/>
      <c r="Q696" s="140" t="s">
        <v>29</v>
      </c>
      <c r="R696" s="143">
        <f>J696*0.5</f>
        <v>50</v>
      </c>
      <c r="S696" s="143">
        <f>J696*0.7</f>
        <v>70</v>
      </c>
      <c r="T696" s="143">
        <f>J696*3</f>
        <v>300</v>
      </c>
      <c r="U696" s="143">
        <f>J696*0.5</f>
        <v>50</v>
      </c>
      <c r="V696" s="143">
        <f>R696+S696+T696+U696</f>
        <v>470</v>
      </c>
    </row>
    <row r="697" spans="1:22" s="128" customFormat="1" ht="15.6" hidden="1" x14ac:dyDescent="0.3">
      <c r="A697" s="142" t="s">
        <v>477</v>
      </c>
      <c r="B697" s="142">
        <v>880</v>
      </c>
      <c r="C697" s="141">
        <v>45866</v>
      </c>
      <c r="D697" s="140">
        <f>WEEKNUM(C697)</f>
        <v>31</v>
      </c>
      <c r="E697" s="142" t="s">
        <v>68</v>
      </c>
      <c r="F697" s="142" t="s">
        <v>302</v>
      </c>
      <c r="G697" s="142" t="s">
        <v>301</v>
      </c>
      <c r="H697" s="140" t="s">
        <v>74</v>
      </c>
      <c r="I697" s="142" t="s">
        <v>46</v>
      </c>
      <c r="J697" s="157">
        <v>32</v>
      </c>
      <c r="K697" s="143">
        <v>45</v>
      </c>
      <c r="L697" s="143">
        <f>K697*J697</f>
        <v>1440</v>
      </c>
      <c r="M697" s="143">
        <v>0</v>
      </c>
      <c r="N697" s="141">
        <v>45877</v>
      </c>
      <c r="O697" s="157">
        <f>WEEKNUM(N697)</f>
        <v>32</v>
      </c>
      <c r="P697" s="140"/>
      <c r="Q697" s="140" t="s">
        <v>29</v>
      </c>
      <c r="R697" s="143">
        <f>J697*0.25</f>
        <v>8</v>
      </c>
      <c r="S697" s="143">
        <f>J697*1</f>
        <v>32</v>
      </c>
      <c r="T697" s="143">
        <f>J697*1.5</f>
        <v>48</v>
      </c>
      <c r="U697" s="143">
        <f>J697*0.5</f>
        <v>16</v>
      </c>
      <c r="V697" s="143">
        <f>R697+S697+T697+U697</f>
        <v>104</v>
      </c>
    </row>
    <row r="698" spans="1:22" s="128" customFormat="1" ht="15.6" hidden="1" x14ac:dyDescent="0.3">
      <c r="A698" s="142" t="s">
        <v>496</v>
      </c>
      <c r="B698" s="142">
        <v>238</v>
      </c>
      <c r="C698" s="141">
        <v>45866</v>
      </c>
      <c r="D698" s="140">
        <f>WEEKNUM(C698)</f>
        <v>31</v>
      </c>
      <c r="E698" s="140" t="s">
        <v>475</v>
      </c>
      <c r="F698" s="140" t="s">
        <v>869</v>
      </c>
      <c r="G698" s="142" t="s">
        <v>311</v>
      </c>
      <c r="H698" s="140" t="s">
        <v>51</v>
      </c>
      <c r="I698" s="142" t="s">
        <v>46</v>
      </c>
      <c r="J698" s="157">
        <v>100</v>
      </c>
      <c r="K698" s="143">
        <v>17</v>
      </c>
      <c r="L698" s="143">
        <f>K698*J698</f>
        <v>1700</v>
      </c>
      <c r="M698" s="143">
        <v>0</v>
      </c>
      <c r="N698" s="141">
        <v>45903</v>
      </c>
      <c r="O698" s="157">
        <f>WEEKNUM(N698)</f>
        <v>36</v>
      </c>
      <c r="P698" s="140"/>
      <c r="Q698" s="140" t="s">
        <v>29</v>
      </c>
      <c r="R698" s="143">
        <f>J698*0.25</f>
        <v>25</v>
      </c>
      <c r="S698" s="143">
        <f>J698*1</f>
        <v>100</v>
      </c>
      <c r="T698" s="143">
        <f>J698*1.5</f>
        <v>150</v>
      </c>
      <c r="U698" s="143">
        <f>J698*0.5</f>
        <v>50</v>
      </c>
      <c r="V698" s="143">
        <f>R698+S698+T698+U698</f>
        <v>325</v>
      </c>
    </row>
    <row r="699" spans="1:22" s="128" customFormat="1" ht="15.6" hidden="1" x14ac:dyDescent="0.3">
      <c r="A699" s="142" t="s">
        <v>477</v>
      </c>
      <c r="B699" s="142">
        <v>877</v>
      </c>
      <c r="C699" s="141">
        <v>45867</v>
      </c>
      <c r="D699" s="140">
        <f>WEEKNUM(C699)</f>
        <v>31</v>
      </c>
      <c r="E699" s="140" t="s">
        <v>475</v>
      </c>
      <c r="F699" s="142" t="s">
        <v>888</v>
      </c>
      <c r="G699" s="142" t="s">
        <v>891</v>
      </c>
      <c r="H699" s="142" t="s">
        <v>892</v>
      </c>
      <c r="I699" s="142" t="s">
        <v>46</v>
      </c>
      <c r="J699" s="157">
        <v>300</v>
      </c>
      <c r="K699" s="143">
        <v>14</v>
      </c>
      <c r="L699" s="143">
        <f>K699*J699</f>
        <v>4200</v>
      </c>
      <c r="M699" s="143">
        <v>0</v>
      </c>
      <c r="N699" s="141">
        <v>45898</v>
      </c>
      <c r="O699" s="157">
        <f>WEEKNUM(N699)</f>
        <v>35</v>
      </c>
      <c r="P699" s="140"/>
      <c r="Q699" s="140" t="s">
        <v>29</v>
      </c>
      <c r="R699" s="143">
        <f>J699*0.25</f>
        <v>75</v>
      </c>
      <c r="S699" s="143">
        <f>J699*0.6</f>
        <v>180</v>
      </c>
      <c r="T699" s="143">
        <f>J699*1.87</f>
        <v>561</v>
      </c>
      <c r="U699" s="143">
        <f>J699*0.5</f>
        <v>150</v>
      </c>
      <c r="V699" s="156">
        <f>SUM(R699:U699)</f>
        <v>966</v>
      </c>
    </row>
    <row r="700" spans="1:22" s="128" customFormat="1" ht="15.6" hidden="1" x14ac:dyDescent="0.3">
      <c r="A700" s="142" t="s">
        <v>496</v>
      </c>
      <c r="B700" s="142">
        <v>879</v>
      </c>
      <c r="C700" s="141">
        <v>45868</v>
      </c>
      <c r="D700" s="140">
        <f>WEEKNUM(C700)</f>
        <v>31</v>
      </c>
      <c r="E700" s="142" t="s">
        <v>68</v>
      </c>
      <c r="F700" s="142" t="s">
        <v>353</v>
      </c>
      <c r="G700" s="142" t="s">
        <v>339</v>
      </c>
      <c r="H700" s="140" t="s">
        <v>74</v>
      </c>
      <c r="I700" s="142" t="s">
        <v>46</v>
      </c>
      <c r="J700" s="157">
        <v>2</v>
      </c>
      <c r="K700" s="143">
        <v>65</v>
      </c>
      <c r="L700" s="143">
        <f>K700*J700</f>
        <v>130</v>
      </c>
      <c r="M700" s="143">
        <v>0</v>
      </c>
      <c r="N700" s="141">
        <v>45888</v>
      </c>
      <c r="O700" s="157">
        <f>WEEKNUM(N700)</f>
        <v>34</v>
      </c>
      <c r="P700" s="140"/>
      <c r="Q700" s="140" t="s">
        <v>29</v>
      </c>
      <c r="R700" s="143">
        <v>0</v>
      </c>
      <c r="S700" s="143">
        <f>J700*1</f>
        <v>2</v>
      </c>
      <c r="T700" s="143">
        <v>0</v>
      </c>
      <c r="U700" s="143">
        <f>J700*0.5</f>
        <v>1</v>
      </c>
      <c r="V700" s="143">
        <f>R700+S700+T700+U700</f>
        <v>3</v>
      </c>
    </row>
    <row r="701" spans="1:22" s="128" customFormat="1" ht="15.6" hidden="1" x14ac:dyDescent="0.3">
      <c r="A701" s="142" t="s">
        <v>496</v>
      </c>
      <c r="B701" s="142">
        <v>879</v>
      </c>
      <c r="C701" s="141">
        <v>45868</v>
      </c>
      <c r="D701" s="140">
        <f>WEEKNUM(C701)</f>
        <v>31</v>
      </c>
      <c r="E701" s="142" t="s">
        <v>68</v>
      </c>
      <c r="F701" s="142" t="s">
        <v>353</v>
      </c>
      <c r="G701" s="140" t="s">
        <v>356</v>
      </c>
      <c r="H701" s="140" t="s">
        <v>321</v>
      </c>
      <c r="I701" s="142" t="s">
        <v>46</v>
      </c>
      <c r="J701" s="157">
        <v>3</v>
      </c>
      <c r="K701" s="143">
        <v>85</v>
      </c>
      <c r="L701" s="143">
        <f>K701*J701</f>
        <v>255</v>
      </c>
      <c r="M701" s="143">
        <v>0</v>
      </c>
      <c r="N701" s="141">
        <v>45888</v>
      </c>
      <c r="O701" s="157">
        <f>WEEKNUM(N701)</f>
        <v>34</v>
      </c>
      <c r="P701" s="140"/>
      <c r="Q701" s="140" t="s">
        <v>29</v>
      </c>
      <c r="R701" s="156">
        <f>J701*0.25</f>
        <v>0.75</v>
      </c>
      <c r="S701" s="156">
        <f>PRODUCT(1.5,J701)</f>
        <v>4.5</v>
      </c>
      <c r="T701" s="156">
        <f>PRODUCT(1.5,J701)</f>
        <v>4.5</v>
      </c>
      <c r="U701" s="156">
        <f>J701*0.5</f>
        <v>1.5</v>
      </c>
      <c r="V701" s="156">
        <f>R701+S701+T701+U701</f>
        <v>11.25</v>
      </c>
    </row>
    <row r="702" spans="1:22" s="128" customFormat="1" ht="15.6" hidden="1" x14ac:dyDescent="0.3">
      <c r="A702" s="142" t="s">
        <v>496</v>
      </c>
      <c r="B702" s="142">
        <v>879</v>
      </c>
      <c r="C702" s="141">
        <v>45868</v>
      </c>
      <c r="D702" s="140">
        <f>WEEKNUM(C702)</f>
        <v>31</v>
      </c>
      <c r="E702" s="142" t="s">
        <v>68</v>
      </c>
      <c r="F702" s="142" t="s">
        <v>353</v>
      </c>
      <c r="G702" s="142" t="s">
        <v>374</v>
      </c>
      <c r="H702" s="140" t="s">
        <v>74</v>
      </c>
      <c r="I702" s="142" t="s">
        <v>46</v>
      </c>
      <c r="J702" s="157">
        <v>2</v>
      </c>
      <c r="K702" s="143">
        <v>47.5</v>
      </c>
      <c r="L702" s="143">
        <f>K702*J702</f>
        <v>95</v>
      </c>
      <c r="M702" s="143">
        <v>0</v>
      </c>
      <c r="N702" s="141">
        <v>45888</v>
      </c>
      <c r="O702" s="157">
        <f>WEEKNUM(N702)</f>
        <v>34</v>
      </c>
      <c r="P702" s="140"/>
      <c r="Q702" s="140" t="s">
        <v>29</v>
      </c>
      <c r="R702" s="143">
        <f>J702*0.25</f>
        <v>0.5</v>
      </c>
      <c r="S702" s="143">
        <f>J702*1</f>
        <v>2</v>
      </c>
      <c r="T702" s="143">
        <f>J702*1.5</f>
        <v>3</v>
      </c>
      <c r="U702" s="143">
        <f>J702*0.5</f>
        <v>1</v>
      </c>
      <c r="V702" s="143">
        <f>R702+S702+T702+U702</f>
        <v>6.5</v>
      </c>
    </row>
    <row r="703" spans="1:22" s="128" customFormat="1" ht="15.6" hidden="1" x14ac:dyDescent="0.3">
      <c r="A703" s="142" t="s">
        <v>496</v>
      </c>
      <c r="B703" s="142">
        <v>879</v>
      </c>
      <c r="C703" s="141">
        <v>45868</v>
      </c>
      <c r="D703" s="140">
        <f>WEEKNUM(C703)</f>
        <v>31</v>
      </c>
      <c r="E703" s="142" t="s">
        <v>68</v>
      </c>
      <c r="F703" s="142" t="s">
        <v>353</v>
      </c>
      <c r="G703" s="140" t="s">
        <v>503</v>
      </c>
      <c r="H703" s="140" t="s">
        <v>354</v>
      </c>
      <c r="I703" s="142" t="s">
        <v>46</v>
      </c>
      <c r="J703" s="157">
        <v>2</v>
      </c>
      <c r="K703" s="143">
        <v>36.75</v>
      </c>
      <c r="L703" s="143">
        <f>K703*J703</f>
        <v>73.5</v>
      </c>
      <c r="M703" s="143">
        <v>0</v>
      </c>
      <c r="N703" s="141">
        <v>45888</v>
      </c>
      <c r="O703" s="157">
        <f>WEEKNUM(N703)</f>
        <v>34</v>
      </c>
      <c r="P703" s="140"/>
      <c r="Q703" s="140" t="s">
        <v>29</v>
      </c>
      <c r="R703" s="143">
        <f>J703*0.25</f>
        <v>0.5</v>
      </c>
      <c r="S703" s="143">
        <f>J703*1</f>
        <v>2</v>
      </c>
      <c r="T703" s="143">
        <f>J703*1.5</f>
        <v>3</v>
      </c>
      <c r="U703" s="143">
        <f>J703*0.5</f>
        <v>1</v>
      </c>
      <c r="V703" s="143">
        <f>R703+S703+T703+U703</f>
        <v>6.5</v>
      </c>
    </row>
    <row r="704" spans="1:22" s="128" customFormat="1" ht="15.6" hidden="1" x14ac:dyDescent="0.3">
      <c r="A704" s="142" t="s">
        <v>496</v>
      </c>
      <c r="B704" s="142">
        <v>235</v>
      </c>
      <c r="C704" s="141">
        <v>45868</v>
      </c>
      <c r="D704" s="140">
        <f>WEEKNUM(C704)</f>
        <v>31</v>
      </c>
      <c r="E704" s="140" t="s">
        <v>475</v>
      </c>
      <c r="F704" s="142" t="s">
        <v>685</v>
      </c>
      <c r="G704" s="142" t="s">
        <v>311</v>
      </c>
      <c r="H704" s="140" t="s">
        <v>51</v>
      </c>
      <c r="I704" s="142" t="s">
        <v>46</v>
      </c>
      <c r="J704" s="157">
        <v>100</v>
      </c>
      <c r="K704" s="143">
        <v>17</v>
      </c>
      <c r="L704" s="143">
        <f>K704*J704</f>
        <v>1700</v>
      </c>
      <c r="M704" s="143">
        <v>0</v>
      </c>
      <c r="N704" s="141">
        <v>45898</v>
      </c>
      <c r="O704" s="157">
        <f>WEEKNUM(N704)</f>
        <v>35</v>
      </c>
      <c r="P704" s="140"/>
      <c r="Q704" s="140" t="s">
        <v>29</v>
      </c>
      <c r="R704" s="143">
        <f>J704*0.25</f>
        <v>25</v>
      </c>
      <c r="S704" s="143">
        <f>J704*1</f>
        <v>100</v>
      </c>
      <c r="T704" s="143">
        <f>J704*1.5</f>
        <v>150</v>
      </c>
      <c r="U704" s="143">
        <f>J704*0.5</f>
        <v>50</v>
      </c>
      <c r="V704" s="143">
        <f>R704+S704+T704+U704</f>
        <v>325</v>
      </c>
    </row>
    <row r="705" spans="1:22" s="128" customFormat="1" ht="15.6" hidden="1" x14ac:dyDescent="0.3">
      <c r="A705" s="142" t="s">
        <v>496</v>
      </c>
      <c r="B705" s="142">
        <v>237</v>
      </c>
      <c r="C705" s="141">
        <v>45869</v>
      </c>
      <c r="D705" s="140">
        <f>WEEKNUM(C705)</f>
        <v>31</v>
      </c>
      <c r="E705" s="140" t="s">
        <v>475</v>
      </c>
      <c r="F705" s="142" t="s">
        <v>879</v>
      </c>
      <c r="G705" s="142" t="s">
        <v>311</v>
      </c>
      <c r="H705" s="140" t="s">
        <v>51</v>
      </c>
      <c r="I705" s="142" t="s">
        <v>46</v>
      </c>
      <c r="J705" s="157">
        <v>30</v>
      </c>
      <c r="K705" s="143">
        <v>20</v>
      </c>
      <c r="L705" s="143">
        <f>K705*J705</f>
        <v>600</v>
      </c>
      <c r="M705" s="143">
        <v>0</v>
      </c>
      <c r="N705" s="141">
        <v>45902</v>
      </c>
      <c r="O705" s="157">
        <f>WEEKNUM(N705)</f>
        <v>36</v>
      </c>
      <c r="P705" s="140"/>
      <c r="Q705" s="140" t="s">
        <v>29</v>
      </c>
      <c r="R705" s="143">
        <f>J705*0.25</f>
        <v>7.5</v>
      </c>
      <c r="S705" s="143">
        <f>J705*1</f>
        <v>30</v>
      </c>
      <c r="T705" s="143">
        <f>J705*1.5</f>
        <v>45</v>
      </c>
      <c r="U705" s="143">
        <f>J705*0.5</f>
        <v>15</v>
      </c>
      <c r="V705" s="143">
        <f>R705+S705+T705+U705</f>
        <v>97.5</v>
      </c>
    </row>
    <row r="706" spans="1:22" s="128" customFormat="1" ht="15.6" hidden="1" x14ac:dyDescent="0.3">
      <c r="A706" s="142" t="s">
        <v>496</v>
      </c>
      <c r="B706" s="142">
        <v>237</v>
      </c>
      <c r="C706" s="141">
        <v>45869</v>
      </c>
      <c r="D706" s="140">
        <f>WEEKNUM(C706)</f>
        <v>31</v>
      </c>
      <c r="E706" s="140" t="s">
        <v>475</v>
      </c>
      <c r="F706" s="142" t="s">
        <v>879</v>
      </c>
      <c r="G706" s="142" t="s">
        <v>646</v>
      </c>
      <c r="H706" s="140" t="s">
        <v>494</v>
      </c>
      <c r="I706" s="142" t="s">
        <v>46</v>
      </c>
      <c r="J706" s="157">
        <v>1</v>
      </c>
      <c r="K706" s="143">
        <v>45</v>
      </c>
      <c r="L706" s="143">
        <f>K706*J706</f>
        <v>45</v>
      </c>
      <c r="M706" s="143">
        <v>0</v>
      </c>
      <c r="N706" s="141">
        <v>45902</v>
      </c>
      <c r="O706" s="157">
        <f>WEEKNUM(N706)</f>
        <v>36</v>
      </c>
      <c r="P706" s="140"/>
      <c r="Q706" s="140" t="s">
        <v>29</v>
      </c>
      <c r="R706" s="143">
        <f>J706*0.25</f>
        <v>0.25</v>
      </c>
      <c r="S706" s="143">
        <f>J706*1</f>
        <v>1</v>
      </c>
      <c r="T706" s="143">
        <f>J706*1.5</f>
        <v>1.5</v>
      </c>
      <c r="U706" s="143">
        <f>J706*0.5</f>
        <v>0.5</v>
      </c>
      <c r="V706" s="143">
        <f>R706+S706+T706+U706</f>
        <v>3.25</v>
      </c>
    </row>
    <row r="707" spans="1:22" s="128" customFormat="1" ht="15.6" hidden="1" x14ac:dyDescent="0.3">
      <c r="A707" s="142" t="s">
        <v>496</v>
      </c>
      <c r="B707" s="142">
        <v>237</v>
      </c>
      <c r="C707" s="141">
        <v>45869</v>
      </c>
      <c r="D707" s="140">
        <f>WEEKNUM(C707)</f>
        <v>31</v>
      </c>
      <c r="E707" s="140" t="s">
        <v>475</v>
      </c>
      <c r="F707" s="142" t="s">
        <v>879</v>
      </c>
      <c r="G707" s="142" t="s">
        <v>726</v>
      </c>
      <c r="H707" s="140" t="s">
        <v>494</v>
      </c>
      <c r="I707" s="142" t="s">
        <v>46</v>
      </c>
      <c r="J707" s="157">
        <v>20</v>
      </c>
      <c r="K707" s="143">
        <v>20</v>
      </c>
      <c r="L707" s="143">
        <f>K707*J707</f>
        <v>400</v>
      </c>
      <c r="M707" s="143">
        <v>0</v>
      </c>
      <c r="N707" s="141">
        <v>45902</v>
      </c>
      <c r="O707" s="157">
        <f>WEEKNUM(N707)</f>
        <v>36</v>
      </c>
      <c r="P707" s="140"/>
      <c r="Q707" s="140" t="s">
        <v>29</v>
      </c>
      <c r="R707" s="143">
        <f>J707*0.25</f>
        <v>5</v>
      </c>
      <c r="S707" s="143">
        <f>J707*1</f>
        <v>20</v>
      </c>
      <c r="T707" s="143">
        <f>J707*1.5</f>
        <v>30</v>
      </c>
      <c r="U707" s="143">
        <f>J707*0.5</f>
        <v>10</v>
      </c>
      <c r="V707" s="143">
        <f>R707+S707+T707+U707</f>
        <v>65</v>
      </c>
    </row>
    <row r="708" spans="1:22" s="128" customFormat="1" ht="15.6" hidden="1" x14ac:dyDescent="0.3">
      <c r="A708" s="142" t="s">
        <v>477</v>
      </c>
      <c r="B708" s="142">
        <v>882</v>
      </c>
      <c r="C708" s="141">
        <v>45870</v>
      </c>
      <c r="D708" s="140">
        <f>WEEKNUM(C708)</f>
        <v>31</v>
      </c>
      <c r="E708" s="140" t="s">
        <v>475</v>
      </c>
      <c r="F708" s="142" t="s">
        <v>565</v>
      </c>
      <c r="G708" s="142" t="s">
        <v>489</v>
      </c>
      <c r="H708" s="140" t="s">
        <v>51</v>
      </c>
      <c r="I708" s="142" t="s">
        <v>61</v>
      </c>
      <c r="J708" s="157">
        <v>60</v>
      </c>
      <c r="K708" s="143">
        <v>55</v>
      </c>
      <c r="L708" s="143">
        <f>K708*J708</f>
        <v>3300</v>
      </c>
      <c r="M708" s="143">
        <v>0</v>
      </c>
      <c r="N708" s="141">
        <v>45898</v>
      </c>
      <c r="O708" s="157">
        <f>WEEKNUM(N708)</f>
        <v>35</v>
      </c>
      <c r="P708" s="140"/>
      <c r="Q708" s="140" t="s">
        <v>29</v>
      </c>
      <c r="R708" s="143">
        <f>J708*0.25</f>
        <v>15</v>
      </c>
      <c r="S708" s="143">
        <f>J708*1</f>
        <v>60</v>
      </c>
      <c r="T708" s="143">
        <f>J708*3</f>
        <v>180</v>
      </c>
      <c r="U708" s="143">
        <f>J708*1</f>
        <v>60</v>
      </c>
      <c r="V708" s="143">
        <f>R708+S708+T708+U708</f>
        <v>315</v>
      </c>
    </row>
    <row r="709" spans="1:22" s="128" customFormat="1" ht="15.6" hidden="1" x14ac:dyDescent="0.3">
      <c r="A709" s="142" t="s">
        <v>477</v>
      </c>
      <c r="B709" s="142">
        <v>881</v>
      </c>
      <c r="C709" s="141">
        <v>45870</v>
      </c>
      <c r="D709" s="140">
        <f>WEEKNUM(C709)</f>
        <v>31</v>
      </c>
      <c r="E709" s="142" t="s">
        <v>498</v>
      </c>
      <c r="F709" s="140" t="s">
        <v>459</v>
      </c>
      <c r="G709" s="142" t="s">
        <v>218</v>
      </c>
      <c r="H709" s="140" t="s">
        <v>74</v>
      </c>
      <c r="I709" s="142" t="s">
        <v>46</v>
      </c>
      <c r="J709" s="157">
        <v>353</v>
      </c>
      <c r="K709" s="143">
        <v>25.5</v>
      </c>
      <c r="L709" s="143">
        <f>K709*J709</f>
        <v>9001.5</v>
      </c>
      <c r="M709" s="143">
        <v>0</v>
      </c>
      <c r="N709" s="141">
        <v>45877</v>
      </c>
      <c r="O709" s="157">
        <f>WEEKNUM(N709)</f>
        <v>32</v>
      </c>
      <c r="P709" s="140"/>
      <c r="Q709" s="140" t="s">
        <v>29</v>
      </c>
      <c r="R709" s="143">
        <f>J709*0.25</f>
        <v>88.25</v>
      </c>
      <c r="S709" s="143">
        <f>J709*1</f>
        <v>353</v>
      </c>
      <c r="T709" s="143">
        <f>J709*1.5</f>
        <v>529.5</v>
      </c>
      <c r="U709" s="143">
        <f>J709*0.5</f>
        <v>176.5</v>
      </c>
      <c r="V709" s="143">
        <f>R709+S709+T709+U709</f>
        <v>1147.25</v>
      </c>
    </row>
    <row r="710" spans="1:22" s="128" customFormat="1" ht="15.6" hidden="1" x14ac:dyDescent="0.3">
      <c r="A710" s="142" t="s">
        <v>477</v>
      </c>
      <c r="B710" s="142">
        <v>883</v>
      </c>
      <c r="C710" s="141">
        <v>45873</v>
      </c>
      <c r="D710" s="140">
        <f>WEEKNUM(C710)</f>
        <v>32</v>
      </c>
      <c r="E710" s="142" t="s">
        <v>498</v>
      </c>
      <c r="F710" s="142" t="s">
        <v>952</v>
      </c>
      <c r="G710" s="142" t="s">
        <v>487</v>
      </c>
      <c r="H710" s="140" t="s">
        <v>51</v>
      </c>
      <c r="I710" s="142" t="s">
        <v>46</v>
      </c>
      <c r="J710" s="157">
        <v>450</v>
      </c>
      <c r="K710" s="143">
        <v>21.5</v>
      </c>
      <c r="L710" s="143">
        <f>K710*J710</f>
        <v>9675</v>
      </c>
      <c r="M710" s="143">
        <v>0</v>
      </c>
      <c r="N710" s="141">
        <v>45903</v>
      </c>
      <c r="O710" s="157">
        <f>WEEKNUM(N710)</f>
        <v>36</v>
      </c>
      <c r="P710" s="140"/>
      <c r="Q710" s="140" t="s">
        <v>29</v>
      </c>
      <c r="R710" s="143">
        <f>J710*0.25</f>
        <v>112.5</v>
      </c>
      <c r="S710" s="143">
        <f>J710*1</f>
        <v>450</v>
      </c>
      <c r="T710" s="143">
        <f>J710*1.84</f>
        <v>828</v>
      </c>
      <c r="U710" s="143">
        <f>J710*0.5</f>
        <v>225</v>
      </c>
      <c r="V710" s="143">
        <f>R710+S710+T710+U710</f>
        <v>1615.5</v>
      </c>
    </row>
    <row r="711" spans="1:22" s="128" customFormat="1" ht="15.6" hidden="1" x14ac:dyDescent="0.3">
      <c r="A711" s="142" t="s">
        <v>477</v>
      </c>
      <c r="B711" s="142">
        <v>239</v>
      </c>
      <c r="C711" s="141">
        <v>45874</v>
      </c>
      <c r="D711" s="140">
        <f>WEEKNUM(C711)</f>
        <v>32</v>
      </c>
      <c r="E711" s="140" t="s">
        <v>475</v>
      </c>
      <c r="F711" s="142" t="s">
        <v>773</v>
      </c>
      <c r="G711" s="142" t="s">
        <v>774</v>
      </c>
      <c r="H711" s="140" t="s">
        <v>74</v>
      </c>
      <c r="I711" s="142" t="s">
        <v>46</v>
      </c>
      <c r="J711" s="157">
        <v>70</v>
      </c>
      <c r="K711" s="143">
        <v>22.5</v>
      </c>
      <c r="L711" s="143">
        <f>K711*J711</f>
        <v>1575</v>
      </c>
      <c r="M711" s="143">
        <v>0</v>
      </c>
      <c r="N711" s="141">
        <v>45904</v>
      </c>
      <c r="O711" s="157">
        <f>WEEKNUM(N711)</f>
        <v>36</v>
      </c>
      <c r="P711" s="140"/>
      <c r="Q711" s="140" t="s">
        <v>29</v>
      </c>
      <c r="R711" s="143">
        <f>J711*0.25</f>
        <v>17.5</v>
      </c>
      <c r="S711" s="143">
        <f>J711*1</f>
        <v>70</v>
      </c>
      <c r="T711" s="143">
        <f>J711*1.5</f>
        <v>105</v>
      </c>
      <c r="U711" s="143">
        <f>J711*0.5</f>
        <v>35</v>
      </c>
      <c r="V711" s="143">
        <f>R711+S711+T711+U711</f>
        <v>227.5</v>
      </c>
    </row>
    <row r="712" spans="1:22" s="128" customFormat="1" ht="15.6" hidden="1" x14ac:dyDescent="0.3">
      <c r="A712" s="142" t="s">
        <v>477</v>
      </c>
      <c r="B712" s="142">
        <v>885</v>
      </c>
      <c r="C712" s="141">
        <v>45874</v>
      </c>
      <c r="D712" s="140">
        <f>WEEKNUM(C712)</f>
        <v>32</v>
      </c>
      <c r="E712" s="140" t="s">
        <v>478</v>
      </c>
      <c r="F712" s="140" t="s">
        <v>444</v>
      </c>
      <c r="G712" s="130" t="s">
        <v>638</v>
      </c>
      <c r="H712" s="140" t="s">
        <v>60</v>
      </c>
      <c r="I712" s="142" t="s">
        <v>61</v>
      </c>
      <c r="J712" s="157">
        <v>300</v>
      </c>
      <c r="K712" s="143">
        <v>23</v>
      </c>
      <c r="L712" s="143">
        <f>K712*J712</f>
        <v>6900</v>
      </c>
      <c r="M712" s="143">
        <v>0</v>
      </c>
      <c r="N712" s="141">
        <v>45904</v>
      </c>
      <c r="O712" s="157">
        <f>WEEKNUM(N712)</f>
        <v>36</v>
      </c>
      <c r="P712" s="140"/>
      <c r="Q712" s="140" t="s">
        <v>29</v>
      </c>
      <c r="R712" s="143">
        <f>J712*0.25</f>
        <v>75</v>
      </c>
      <c r="S712" s="143">
        <f>J712*0.5</f>
        <v>150</v>
      </c>
      <c r="T712" s="143">
        <f>J712*2.5</f>
        <v>750</v>
      </c>
      <c r="U712" s="143">
        <f>J712*0.5</f>
        <v>150</v>
      </c>
      <c r="V712" s="143">
        <f>R712+S712+T712+U712</f>
        <v>1125</v>
      </c>
    </row>
    <row r="713" spans="1:22" s="128" customFormat="1" ht="15.6" hidden="1" x14ac:dyDescent="0.3">
      <c r="A713" s="142" t="s">
        <v>477</v>
      </c>
      <c r="B713" s="142">
        <v>240</v>
      </c>
      <c r="C713" s="141">
        <v>45875</v>
      </c>
      <c r="D713" s="140">
        <f>WEEKNUM(C713)</f>
        <v>32</v>
      </c>
      <c r="E713" s="140" t="s">
        <v>475</v>
      </c>
      <c r="F713" s="142" t="s">
        <v>628</v>
      </c>
      <c r="G713" s="142" t="s">
        <v>571</v>
      </c>
      <c r="H713" s="140" t="s">
        <v>354</v>
      </c>
      <c r="I713" s="142" t="s">
        <v>46</v>
      </c>
      <c r="J713" s="157">
        <v>100</v>
      </c>
      <c r="K713" s="143">
        <v>25</v>
      </c>
      <c r="L713" s="143">
        <f>K713*J713</f>
        <v>2500</v>
      </c>
      <c r="M713" s="143">
        <v>0</v>
      </c>
      <c r="N713" s="141">
        <v>45884</v>
      </c>
      <c r="O713" s="157">
        <f>WEEKNUM(N713)</f>
        <v>33</v>
      </c>
      <c r="P713" s="140"/>
      <c r="Q713" s="140" t="s">
        <v>29</v>
      </c>
      <c r="R713" s="143">
        <f>J713*0.25</f>
        <v>25</v>
      </c>
      <c r="S713" s="143">
        <f>J713*1</f>
        <v>100</v>
      </c>
      <c r="T713" s="143">
        <f>J713*1.5</f>
        <v>150</v>
      </c>
      <c r="U713" s="143">
        <f>J713*0.5</f>
        <v>50</v>
      </c>
      <c r="V713" s="143">
        <f>R713+S713+T713+U713</f>
        <v>325</v>
      </c>
    </row>
    <row r="714" spans="1:22" s="128" customFormat="1" ht="15.6" hidden="1" x14ac:dyDescent="0.3">
      <c r="A714" s="142" t="s">
        <v>477</v>
      </c>
      <c r="B714" s="142">
        <v>240</v>
      </c>
      <c r="C714" s="141">
        <v>45875</v>
      </c>
      <c r="D714" s="140">
        <f>WEEKNUM(C714)</f>
        <v>32</v>
      </c>
      <c r="E714" s="140" t="s">
        <v>475</v>
      </c>
      <c r="F714" s="142" t="s">
        <v>628</v>
      </c>
      <c r="G714" s="142" t="s">
        <v>311</v>
      </c>
      <c r="H714" s="140" t="s">
        <v>51</v>
      </c>
      <c r="I714" s="142" t="s">
        <v>46</v>
      </c>
      <c r="J714" s="157">
        <v>100</v>
      </c>
      <c r="K714" s="143">
        <v>12.99</v>
      </c>
      <c r="L714" s="143">
        <f>K714*J714</f>
        <v>1299</v>
      </c>
      <c r="M714" s="143">
        <v>0</v>
      </c>
      <c r="N714" s="141">
        <v>45884</v>
      </c>
      <c r="O714" s="157">
        <f>WEEKNUM(N714)</f>
        <v>33</v>
      </c>
      <c r="P714" s="140"/>
      <c r="Q714" s="140" t="s">
        <v>29</v>
      </c>
      <c r="R714" s="143">
        <f>J714*0.25</f>
        <v>25</v>
      </c>
      <c r="S714" s="143">
        <f>J714*1</f>
        <v>100</v>
      </c>
      <c r="T714" s="143">
        <f>J714*1.5</f>
        <v>150</v>
      </c>
      <c r="U714" s="143">
        <f>J714*0.5</f>
        <v>50</v>
      </c>
      <c r="V714" s="143">
        <f>R714+S714+T714+U714</f>
        <v>325</v>
      </c>
    </row>
    <row r="715" spans="1:22" s="128" customFormat="1" ht="15.6" hidden="1" x14ac:dyDescent="0.3">
      <c r="A715" s="142" t="s">
        <v>477</v>
      </c>
      <c r="B715" s="142">
        <v>890</v>
      </c>
      <c r="C715" s="141">
        <v>45875</v>
      </c>
      <c r="D715" s="140">
        <f>WEEKNUM(C715)</f>
        <v>32</v>
      </c>
      <c r="E715" s="142" t="s">
        <v>498</v>
      </c>
      <c r="F715" s="142" t="s">
        <v>668</v>
      </c>
      <c r="G715" s="142" t="s">
        <v>487</v>
      </c>
      <c r="H715" s="140" t="s">
        <v>51</v>
      </c>
      <c r="I715" s="142" t="s">
        <v>46</v>
      </c>
      <c r="J715" s="157">
        <v>300</v>
      </c>
      <c r="K715" s="143">
        <v>23.5</v>
      </c>
      <c r="L715" s="143">
        <f>K715*J715</f>
        <v>7050</v>
      </c>
      <c r="M715" s="143">
        <v>0</v>
      </c>
      <c r="N715" s="141">
        <v>45902</v>
      </c>
      <c r="O715" s="157">
        <f>WEEKNUM(N715)</f>
        <v>36</v>
      </c>
      <c r="P715" s="140"/>
      <c r="Q715" s="140" t="s">
        <v>29</v>
      </c>
      <c r="R715" s="143">
        <f>J715*0.25</f>
        <v>75</v>
      </c>
      <c r="S715" s="143">
        <f>J715*1</f>
        <v>300</v>
      </c>
      <c r="T715" s="143">
        <f>J715*1.84</f>
        <v>552</v>
      </c>
      <c r="U715" s="143">
        <f>J715*0.5</f>
        <v>150</v>
      </c>
      <c r="V715" s="143">
        <f>R715+S715+T715+U715</f>
        <v>1077</v>
      </c>
    </row>
    <row r="716" spans="1:22" s="128" customFormat="1" ht="15.6" hidden="1" x14ac:dyDescent="0.3">
      <c r="A716" s="142" t="s">
        <v>477</v>
      </c>
      <c r="B716" s="142">
        <v>886</v>
      </c>
      <c r="C716" s="141">
        <v>45875</v>
      </c>
      <c r="D716" s="140">
        <f>WEEKNUM(C716)</f>
        <v>32</v>
      </c>
      <c r="E716" s="142" t="s">
        <v>498</v>
      </c>
      <c r="F716" s="140" t="s">
        <v>637</v>
      </c>
      <c r="G716" s="142" t="s">
        <v>487</v>
      </c>
      <c r="H716" s="140" t="s">
        <v>51</v>
      </c>
      <c r="I716" s="142" t="s">
        <v>46</v>
      </c>
      <c r="J716" s="157">
        <v>250</v>
      </c>
      <c r="K716" s="143">
        <v>21.5</v>
      </c>
      <c r="L716" s="143">
        <f>K716*J716</f>
        <v>5375</v>
      </c>
      <c r="M716" s="143">
        <v>0</v>
      </c>
      <c r="N716" s="141">
        <v>45880</v>
      </c>
      <c r="O716" s="157">
        <f>WEEKNUM(N716)</f>
        <v>33</v>
      </c>
      <c r="P716" s="140"/>
      <c r="Q716" s="140" t="s">
        <v>29</v>
      </c>
      <c r="R716" s="143">
        <f>J716*0.25</f>
        <v>62.5</v>
      </c>
      <c r="S716" s="143">
        <f>J716*1</f>
        <v>250</v>
      </c>
      <c r="T716" s="143">
        <f>J716*1.84</f>
        <v>460</v>
      </c>
      <c r="U716" s="143">
        <f>J716*0.5</f>
        <v>125</v>
      </c>
      <c r="V716" s="143">
        <f>R716+S716+T716+U716</f>
        <v>897.5</v>
      </c>
    </row>
    <row r="717" spans="1:22" s="128" customFormat="1" ht="15.6" hidden="1" x14ac:dyDescent="0.3">
      <c r="A717" s="142" t="s">
        <v>477</v>
      </c>
      <c r="B717" s="142">
        <v>887</v>
      </c>
      <c r="C717" s="141">
        <v>45875</v>
      </c>
      <c r="D717" s="140">
        <f>WEEKNUM(C717)</f>
        <v>32</v>
      </c>
      <c r="E717" s="142" t="s">
        <v>498</v>
      </c>
      <c r="F717" s="140" t="s">
        <v>637</v>
      </c>
      <c r="G717" s="142" t="s">
        <v>487</v>
      </c>
      <c r="H717" s="140" t="s">
        <v>51</v>
      </c>
      <c r="I717" s="142" t="s">
        <v>46</v>
      </c>
      <c r="J717" s="157">
        <v>250</v>
      </c>
      <c r="K717" s="143">
        <v>23.5</v>
      </c>
      <c r="L717" s="143">
        <f>K717*J717</f>
        <v>5875</v>
      </c>
      <c r="M717" s="143">
        <v>0</v>
      </c>
      <c r="N717" s="141">
        <v>45897</v>
      </c>
      <c r="O717" s="157">
        <f>WEEKNUM(N717)</f>
        <v>35</v>
      </c>
      <c r="P717" s="140"/>
      <c r="Q717" s="140" t="s">
        <v>29</v>
      </c>
      <c r="R717" s="143">
        <f>J717*0.25</f>
        <v>62.5</v>
      </c>
      <c r="S717" s="143">
        <f>J717*1</f>
        <v>250</v>
      </c>
      <c r="T717" s="143">
        <f>J717*1.84</f>
        <v>460</v>
      </c>
      <c r="U717" s="143">
        <f>J717*0.5</f>
        <v>125</v>
      </c>
      <c r="V717" s="143">
        <f>R717+S717+T717+U717</f>
        <v>897.5</v>
      </c>
    </row>
    <row r="718" spans="1:22" s="128" customFormat="1" ht="15.6" hidden="1" x14ac:dyDescent="0.3">
      <c r="A718" s="142" t="s">
        <v>496</v>
      </c>
      <c r="B718" s="142">
        <v>891</v>
      </c>
      <c r="C718" s="141">
        <v>45876</v>
      </c>
      <c r="D718" s="140">
        <f>WEEKNUM(C718)</f>
        <v>32</v>
      </c>
      <c r="E718" s="142" t="s">
        <v>68</v>
      </c>
      <c r="F718" s="142" t="s">
        <v>383</v>
      </c>
      <c r="G718" s="142" t="s">
        <v>311</v>
      </c>
      <c r="H718" s="140" t="s">
        <v>51</v>
      </c>
      <c r="I718" s="142" t="s">
        <v>46</v>
      </c>
      <c r="J718" s="157">
        <v>3</v>
      </c>
      <c r="K718" s="143">
        <v>25</v>
      </c>
      <c r="L718" s="143">
        <f>K718*J718</f>
        <v>75</v>
      </c>
      <c r="M718" s="143">
        <v>0</v>
      </c>
      <c r="N718" s="141">
        <v>45903</v>
      </c>
      <c r="O718" s="157">
        <f>WEEKNUM(N718)</f>
        <v>36</v>
      </c>
      <c r="P718" s="140"/>
      <c r="Q718" s="140" t="s">
        <v>29</v>
      </c>
      <c r="R718" s="143">
        <f>J718*0.25</f>
        <v>0.75</v>
      </c>
      <c r="S718" s="143">
        <f>J718*1</f>
        <v>3</v>
      </c>
      <c r="T718" s="143">
        <f>J718*1.5</f>
        <v>4.5</v>
      </c>
      <c r="U718" s="143">
        <f>J718*0.5</f>
        <v>1.5</v>
      </c>
      <c r="V718" s="143">
        <f>R718+S718+T718+U718</f>
        <v>9.75</v>
      </c>
    </row>
    <row r="719" spans="1:22" s="128" customFormat="1" ht="15.6" hidden="1" x14ac:dyDescent="0.3">
      <c r="A719" s="142" t="s">
        <v>496</v>
      </c>
      <c r="B719" s="142">
        <v>891</v>
      </c>
      <c r="C719" s="141">
        <v>45876</v>
      </c>
      <c r="D719" s="140">
        <f>WEEKNUM(C719)</f>
        <v>32</v>
      </c>
      <c r="E719" s="142" t="s">
        <v>68</v>
      </c>
      <c r="F719" s="142" t="s">
        <v>383</v>
      </c>
      <c r="G719" s="142" t="s">
        <v>301</v>
      </c>
      <c r="H719" s="140" t="s">
        <v>74</v>
      </c>
      <c r="I719" s="142" t="s">
        <v>46</v>
      </c>
      <c r="J719" s="157">
        <v>6</v>
      </c>
      <c r="K719" s="143">
        <v>36.75</v>
      </c>
      <c r="L719" s="143">
        <f>K719*J719</f>
        <v>220.5</v>
      </c>
      <c r="M719" s="143">
        <v>0</v>
      </c>
      <c r="N719" s="141">
        <v>45903</v>
      </c>
      <c r="O719" s="157">
        <f>WEEKNUM(N719)</f>
        <v>36</v>
      </c>
      <c r="P719" s="140"/>
      <c r="Q719" s="140" t="s">
        <v>29</v>
      </c>
      <c r="R719" s="143">
        <f>J719*0.25</f>
        <v>1.5</v>
      </c>
      <c r="S719" s="143">
        <f>J719*1</f>
        <v>6</v>
      </c>
      <c r="T719" s="143">
        <f>J719*1.5</f>
        <v>9</v>
      </c>
      <c r="U719" s="143">
        <f>J719*0.5</f>
        <v>3</v>
      </c>
      <c r="V719" s="143">
        <f>R719+S719+T719+U719</f>
        <v>19.5</v>
      </c>
    </row>
    <row r="720" spans="1:22" s="128" customFormat="1" ht="15.6" hidden="1" x14ac:dyDescent="0.3">
      <c r="A720" s="142" t="s">
        <v>496</v>
      </c>
      <c r="B720" s="142">
        <v>891</v>
      </c>
      <c r="C720" s="141">
        <v>45876</v>
      </c>
      <c r="D720" s="140">
        <f>WEEKNUM(C720)</f>
        <v>32</v>
      </c>
      <c r="E720" s="142" t="s">
        <v>68</v>
      </c>
      <c r="F720" s="142" t="s">
        <v>383</v>
      </c>
      <c r="G720" s="140" t="s">
        <v>503</v>
      </c>
      <c r="H720" s="140" t="s">
        <v>354</v>
      </c>
      <c r="I720" s="142" t="s">
        <v>46</v>
      </c>
      <c r="J720" s="157">
        <v>2</v>
      </c>
      <c r="K720" s="143">
        <v>36.75</v>
      </c>
      <c r="L720" s="143">
        <f>K720*J720</f>
        <v>73.5</v>
      </c>
      <c r="M720" s="143">
        <v>0</v>
      </c>
      <c r="N720" s="141">
        <v>45903</v>
      </c>
      <c r="O720" s="157">
        <f>WEEKNUM(N720)</f>
        <v>36</v>
      </c>
      <c r="P720" s="140"/>
      <c r="Q720" s="140" t="s">
        <v>29</v>
      </c>
      <c r="R720" s="143">
        <f>J720*0.25</f>
        <v>0.5</v>
      </c>
      <c r="S720" s="143">
        <f>J720*1</f>
        <v>2</v>
      </c>
      <c r="T720" s="143">
        <f>J720*1.5</f>
        <v>3</v>
      </c>
      <c r="U720" s="143">
        <f>J720*0.5</f>
        <v>1</v>
      </c>
      <c r="V720" s="143">
        <f>R720+S720+T720+U720</f>
        <v>6.5</v>
      </c>
    </row>
    <row r="721" spans="1:22" s="128" customFormat="1" ht="15.6" hidden="1" x14ac:dyDescent="0.3">
      <c r="A721" s="142" t="s">
        <v>496</v>
      </c>
      <c r="B721" s="142">
        <v>891</v>
      </c>
      <c r="C721" s="141">
        <v>45876</v>
      </c>
      <c r="D721" s="140">
        <f>WEEKNUM(C721)</f>
        <v>32</v>
      </c>
      <c r="E721" s="142" t="s">
        <v>68</v>
      </c>
      <c r="F721" s="142" t="s">
        <v>383</v>
      </c>
      <c r="G721" s="142" t="s">
        <v>339</v>
      </c>
      <c r="H721" s="142" t="s">
        <v>340</v>
      </c>
      <c r="I721" s="142" t="s">
        <v>46</v>
      </c>
      <c r="J721" s="157">
        <v>2</v>
      </c>
      <c r="K721" s="143">
        <v>65</v>
      </c>
      <c r="L721" s="143">
        <f>K721*J721</f>
        <v>130</v>
      </c>
      <c r="M721" s="143">
        <v>0</v>
      </c>
      <c r="N721" s="141">
        <v>45903</v>
      </c>
      <c r="O721" s="157">
        <f>WEEKNUM(N721)</f>
        <v>36</v>
      </c>
      <c r="P721" s="140"/>
      <c r="Q721" s="140" t="s">
        <v>29</v>
      </c>
      <c r="R721" s="143">
        <v>0</v>
      </c>
      <c r="S721" s="143">
        <f>J721*1</f>
        <v>2</v>
      </c>
      <c r="T721" s="143">
        <v>0</v>
      </c>
      <c r="U721" s="143">
        <f>J721*0.5</f>
        <v>1</v>
      </c>
      <c r="V721" s="143">
        <f>R721+S721+T721+U721</f>
        <v>3</v>
      </c>
    </row>
    <row r="722" spans="1:22" s="128" customFormat="1" ht="15.6" hidden="1" x14ac:dyDescent="0.3">
      <c r="A722" s="142" t="s">
        <v>496</v>
      </c>
      <c r="B722" s="142">
        <v>245</v>
      </c>
      <c r="C722" s="141">
        <v>45876</v>
      </c>
      <c r="D722" s="140">
        <f>WEEKNUM(C722)</f>
        <v>32</v>
      </c>
      <c r="E722" s="142" t="s">
        <v>498</v>
      </c>
      <c r="F722" s="142" t="s">
        <v>690</v>
      </c>
      <c r="G722" s="142" t="s">
        <v>487</v>
      </c>
      <c r="H722" s="140" t="s">
        <v>51</v>
      </c>
      <c r="I722" s="142" t="s">
        <v>46</v>
      </c>
      <c r="J722" s="157">
        <v>100</v>
      </c>
      <c r="K722" s="143">
        <v>24.5</v>
      </c>
      <c r="L722" s="143">
        <f>K722*J722</f>
        <v>2450</v>
      </c>
      <c r="M722" s="143">
        <v>0</v>
      </c>
      <c r="N722" s="141">
        <v>45903</v>
      </c>
      <c r="O722" s="157">
        <f>WEEKNUM(N722)</f>
        <v>36</v>
      </c>
      <c r="P722" s="140"/>
      <c r="Q722" s="140" t="s">
        <v>29</v>
      </c>
      <c r="R722" s="143">
        <f>J722*0.25</f>
        <v>25</v>
      </c>
      <c r="S722" s="143">
        <f>J722*1</f>
        <v>100</v>
      </c>
      <c r="T722" s="143">
        <f>J722*1.84</f>
        <v>184</v>
      </c>
      <c r="U722" s="143">
        <f>J722*0.5</f>
        <v>50</v>
      </c>
      <c r="V722" s="143">
        <f>R722+S722+T722+U722</f>
        <v>359</v>
      </c>
    </row>
    <row r="723" spans="1:22" s="128" customFormat="1" ht="15.6" hidden="1" x14ac:dyDescent="0.3">
      <c r="A723" s="142" t="s">
        <v>477</v>
      </c>
      <c r="B723" s="142">
        <v>243</v>
      </c>
      <c r="C723" s="141">
        <v>45876</v>
      </c>
      <c r="D723" s="140">
        <f>WEEKNUM(C723)</f>
        <v>32</v>
      </c>
      <c r="E723" s="140" t="s">
        <v>475</v>
      </c>
      <c r="F723" s="142" t="s">
        <v>719</v>
      </c>
      <c r="G723" s="142" t="s">
        <v>695</v>
      </c>
      <c r="H723" s="142" t="s">
        <v>304</v>
      </c>
      <c r="I723" s="142" t="s">
        <v>61</v>
      </c>
      <c r="J723" s="157">
        <v>200</v>
      </c>
      <c r="K723" s="143">
        <v>9.9</v>
      </c>
      <c r="L723" s="143">
        <f>K723*J723</f>
        <v>1980</v>
      </c>
      <c r="M723" s="143">
        <v>0</v>
      </c>
      <c r="N723" s="141">
        <v>45898</v>
      </c>
      <c r="O723" s="157">
        <f>WEEKNUM(N723)</f>
        <v>35</v>
      </c>
      <c r="P723" s="140"/>
      <c r="Q723" s="140" t="s">
        <v>29</v>
      </c>
      <c r="R723" s="143">
        <f>J723*0.25</f>
        <v>50</v>
      </c>
      <c r="S723" s="143">
        <f>J723*0.7</f>
        <v>140</v>
      </c>
      <c r="T723" s="143">
        <f>J723*1</f>
        <v>200</v>
      </c>
      <c r="U723" s="143">
        <f>J723*1</f>
        <v>200</v>
      </c>
      <c r="V723" s="143">
        <f>R723+S723+T723+U723</f>
        <v>590</v>
      </c>
    </row>
    <row r="724" spans="1:22" s="128" customFormat="1" ht="15.6" hidden="1" x14ac:dyDescent="0.3">
      <c r="A724" s="142" t="s">
        <v>477</v>
      </c>
      <c r="B724" s="142">
        <v>244</v>
      </c>
      <c r="C724" s="141">
        <v>45876</v>
      </c>
      <c r="D724" s="140">
        <f>WEEKNUM(C724)</f>
        <v>32</v>
      </c>
      <c r="E724" s="140" t="s">
        <v>475</v>
      </c>
      <c r="F724" s="142" t="s">
        <v>981</v>
      </c>
      <c r="G724" s="142" t="s">
        <v>984</v>
      </c>
      <c r="H724" s="142" t="s">
        <v>95</v>
      </c>
      <c r="I724" s="142" t="s">
        <v>46</v>
      </c>
      <c r="J724" s="157">
        <v>400</v>
      </c>
      <c r="K724" s="143">
        <v>8.9</v>
      </c>
      <c r="L724" s="143">
        <f>K724*J724</f>
        <v>3560</v>
      </c>
      <c r="M724" s="143">
        <v>0</v>
      </c>
      <c r="N724" s="141">
        <v>45898</v>
      </c>
      <c r="O724" s="157">
        <f>WEEKNUM(N724)</f>
        <v>35</v>
      </c>
      <c r="P724" s="140"/>
      <c r="Q724" s="140" t="s">
        <v>29</v>
      </c>
      <c r="R724" s="143">
        <f>J724*1</f>
        <v>400</v>
      </c>
      <c r="S724" s="143">
        <f>J724*0.6</f>
        <v>240</v>
      </c>
      <c r="T724" s="143">
        <f>J724*0.7</f>
        <v>280</v>
      </c>
      <c r="U724" s="143">
        <f>J724*1</f>
        <v>400</v>
      </c>
      <c r="V724" s="143">
        <f>R724+S724+T724+U724</f>
        <v>1320</v>
      </c>
    </row>
    <row r="725" spans="1:22" s="128" customFormat="1" ht="15.6" hidden="1" x14ac:dyDescent="0.3">
      <c r="A725" s="142" t="s">
        <v>477</v>
      </c>
      <c r="B725" s="142">
        <v>244</v>
      </c>
      <c r="C725" s="141">
        <v>45876</v>
      </c>
      <c r="D725" s="140">
        <f>WEEKNUM(C725)</f>
        <v>32</v>
      </c>
      <c r="E725" s="140" t="s">
        <v>475</v>
      </c>
      <c r="F725" s="142" t="s">
        <v>981</v>
      </c>
      <c r="G725" s="142" t="s">
        <v>985</v>
      </c>
      <c r="H725" s="140" t="s">
        <v>60</v>
      </c>
      <c r="I725" s="142" t="s">
        <v>61</v>
      </c>
      <c r="J725" s="157">
        <v>300</v>
      </c>
      <c r="K725" s="143">
        <v>12.5</v>
      </c>
      <c r="L725" s="143">
        <f>K725*J725</f>
        <v>3750</v>
      </c>
      <c r="M725" s="143">
        <v>0</v>
      </c>
      <c r="N725" s="141">
        <v>45898</v>
      </c>
      <c r="O725" s="157">
        <f>WEEKNUM(N725)</f>
        <v>35</v>
      </c>
      <c r="P725" s="140"/>
      <c r="Q725" s="140" t="s">
        <v>29</v>
      </c>
      <c r="R725" s="143">
        <f>J725*0.25</f>
        <v>75</v>
      </c>
      <c r="S725" s="143">
        <f>J725*0.5</f>
        <v>150</v>
      </c>
      <c r="T725" s="143">
        <f>J725*2.5</f>
        <v>750</v>
      </c>
      <c r="U725" s="143">
        <f>J725*0.5</f>
        <v>150</v>
      </c>
      <c r="V725" s="143">
        <f>R725+S725+T725+U725</f>
        <v>1125</v>
      </c>
    </row>
    <row r="726" spans="1:22" s="128" customFormat="1" ht="15.6" hidden="1" x14ac:dyDescent="0.3">
      <c r="A726" s="142" t="s">
        <v>477</v>
      </c>
      <c r="B726" s="142">
        <v>892</v>
      </c>
      <c r="C726" s="141">
        <v>45877</v>
      </c>
      <c r="D726" s="140">
        <f>WEEKNUM(C726)</f>
        <v>32</v>
      </c>
      <c r="E726" s="140" t="s">
        <v>475</v>
      </c>
      <c r="F726" s="140" t="s">
        <v>568</v>
      </c>
      <c r="G726" s="142" t="s">
        <v>573</v>
      </c>
      <c r="H726" s="142" t="s">
        <v>574</v>
      </c>
      <c r="I726" s="142" t="s">
        <v>46</v>
      </c>
      <c r="J726" s="157">
        <v>3200</v>
      </c>
      <c r="K726" s="143">
        <v>6.9</v>
      </c>
      <c r="L726" s="143">
        <f>K726*J726</f>
        <v>22080</v>
      </c>
      <c r="M726" s="143">
        <v>0</v>
      </c>
      <c r="N726" s="141">
        <v>45898</v>
      </c>
      <c r="O726" s="157">
        <f>WEEKNUM(N726)</f>
        <v>35</v>
      </c>
      <c r="P726" s="140"/>
      <c r="Q726" s="140" t="s">
        <v>29</v>
      </c>
      <c r="R726" s="143">
        <f>J726*0.25</f>
        <v>800</v>
      </c>
      <c r="S726" s="143">
        <f>J726*1</f>
        <v>3200</v>
      </c>
      <c r="T726" s="143"/>
      <c r="U726" s="143">
        <f>J726*0.5</f>
        <v>1600</v>
      </c>
      <c r="V726" s="143"/>
    </row>
    <row r="727" spans="1:22" s="128" customFormat="1" ht="15.6" hidden="1" x14ac:dyDescent="0.3">
      <c r="A727" s="142" t="s">
        <v>477</v>
      </c>
      <c r="B727" s="142">
        <v>893</v>
      </c>
      <c r="C727" s="141">
        <v>45877</v>
      </c>
      <c r="D727" s="140">
        <f>WEEKNUM(C727)</f>
        <v>32</v>
      </c>
      <c r="E727" s="140" t="s">
        <v>475</v>
      </c>
      <c r="F727" s="142" t="s">
        <v>748</v>
      </c>
      <c r="G727" s="142" t="s">
        <v>749</v>
      </c>
      <c r="H727" s="140" t="s">
        <v>60</v>
      </c>
      <c r="I727" s="142" t="s">
        <v>61</v>
      </c>
      <c r="J727" s="157">
        <v>350</v>
      </c>
      <c r="K727" s="143">
        <v>15.5</v>
      </c>
      <c r="L727" s="143">
        <f>K727*J727</f>
        <v>5425</v>
      </c>
      <c r="M727" s="143">
        <v>0</v>
      </c>
      <c r="N727" s="141">
        <v>45904</v>
      </c>
      <c r="O727" s="157">
        <f>WEEKNUM(N727)</f>
        <v>36</v>
      </c>
      <c r="P727" s="140"/>
      <c r="Q727" s="140" t="s">
        <v>29</v>
      </c>
      <c r="R727" s="143">
        <f>J727*0.25</f>
        <v>87.5</v>
      </c>
      <c r="S727" s="143">
        <f>J727*0.5</f>
        <v>175</v>
      </c>
      <c r="T727" s="143">
        <f>J727*2</f>
        <v>700</v>
      </c>
      <c r="U727" s="143">
        <f>J727*0.5</f>
        <v>175</v>
      </c>
      <c r="V727" s="143">
        <f>R727+S727+T727+U727</f>
        <v>1137.5</v>
      </c>
    </row>
    <row r="728" spans="1:22" s="128" customFormat="1" ht="15.6" hidden="1" x14ac:dyDescent="0.3">
      <c r="A728" s="142" t="s">
        <v>477</v>
      </c>
      <c r="B728" s="142">
        <v>893</v>
      </c>
      <c r="C728" s="141">
        <v>45877</v>
      </c>
      <c r="D728" s="140">
        <f>WEEKNUM(C728)</f>
        <v>32</v>
      </c>
      <c r="E728" s="140" t="s">
        <v>475</v>
      </c>
      <c r="F728" s="142" t="s">
        <v>748</v>
      </c>
      <c r="G728" s="142" t="s">
        <v>750</v>
      </c>
      <c r="H728" s="142" t="s">
        <v>751</v>
      </c>
      <c r="I728" s="142" t="s">
        <v>61</v>
      </c>
      <c r="J728" s="157">
        <v>200</v>
      </c>
      <c r="K728" s="143">
        <v>18.8</v>
      </c>
      <c r="L728" s="143">
        <f>K728*J728</f>
        <v>3760</v>
      </c>
      <c r="M728" s="143">
        <v>0</v>
      </c>
      <c r="N728" s="141">
        <v>45904</v>
      </c>
      <c r="O728" s="157">
        <f>WEEKNUM(N728)</f>
        <v>36</v>
      </c>
      <c r="P728" s="140"/>
      <c r="Q728" s="140" t="s">
        <v>29</v>
      </c>
      <c r="R728" s="143">
        <f>J728*3</f>
        <v>600</v>
      </c>
      <c r="S728" s="143">
        <f>J728*0.7</f>
        <v>140</v>
      </c>
      <c r="T728" s="143">
        <f>J728*0.5</f>
        <v>100</v>
      </c>
      <c r="U728" s="143">
        <f>J728*0.5</f>
        <v>100</v>
      </c>
      <c r="V728" s="143">
        <f>R728+S728+T728+U728</f>
        <v>940</v>
      </c>
    </row>
    <row r="729" spans="1:22" s="128" customFormat="1" ht="15.6" hidden="1" x14ac:dyDescent="0.3">
      <c r="A729" s="142" t="s">
        <v>496</v>
      </c>
      <c r="B729" s="142">
        <v>246</v>
      </c>
      <c r="C729" s="141">
        <v>45877</v>
      </c>
      <c r="D729" s="140">
        <f>WEEKNUM(C729)</f>
        <v>32</v>
      </c>
      <c r="E729" s="140" t="s">
        <v>475</v>
      </c>
      <c r="F729" s="142" t="s">
        <v>872</v>
      </c>
      <c r="G729" s="142" t="s">
        <v>489</v>
      </c>
      <c r="H729" s="140" t="s">
        <v>51</v>
      </c>
      <c r="I729" s="142" t="s">
        <v>61</v>
      </c>
      <c r="J729" s="157">
        <v>100</v>
      </c>
      <c r="K729" s="143">
        <v>67</v>
      </c>
      <c r="L729" s="143">
        <f>K729*J729</f>
        <v>6700</v>
      </c>
      <c r="M729" s="143">
        <v>0</v>
      </c>
      <c r="N729" s="141">
        <v>45903</v>
      </c>
      <c r="O729" s="157">
        <f>WEEKNUM(N729)</f>
        <v>36</v>
      </c>
      <c r="P729" s="140"/>
      <c r="Q729" s="140" t="s">
        <v>29</v>
      </c>
      <c r="R729" s="143">
        <f>J729*0.25</f>
        <v>25</v>
      </c>
      <c r="S729" s="143">
        <f>J729*1</f>
        <v>100</v>
      </c>
      <c r="T729" s="143">
        <f>J729*3</f>
        <v>300</v>
      </c>
      <c r="U729" s="143">
        <f>J729*1</f>
        <v>100</v>
      </c>
      <c r="V729" s="143">
        <f>R729+S729+T729+U729</f>
        <v>525</v>
      </c>
    </row>
    <row r="730" spans="1:22" s="128" customFormat="1" ht="15.6" hidden="1" x14ac:dyDescent="0.3">
      <c r="A730" s="142" t="s">
        <v>477</v>
      </c>
      <c r="B730" s="142">
        <v>247</v>
      </c>
      <c r="C730" s="141">
        <v>45880</v>
      </c>
      <c r="D730" s="140">
        <f>WEEKNUM(C730)</f>
        <v>33</v>
      </c>
      <c r="E730" s="140" t="s">
        <v>475</v>
      </c>
      <c r="F730" s="142" t="s">
        <v>97</v>
      </c>
      <c r="G730" s="142" t="s">
        <v>218</v>
      </c>
      <c r="H730" s="140" t="s">
        <v>74</v>
      </c>
      <c r="I730" s="142" t="s">
        <v>46</v>
      </c>
      <c r="J730" s="157">
        <v>100</v>
      </c>
      <c r="K730" s="143">
        <v>26.5</v>
      </c>
      <c r="L730" s="143">
        <f>K730*J730</f>
        <v>2650</v>
      </c>
      <c r="M730" s="143">
        <v>0</v>
      </c>
      <c r="N730" s="141">
        <v>45905</v>
      </c>
      <c r="O730" s="157">
        <f>WEEKNUM(N730)</f>
        <v>36</v>
      </c>
      <c r="P730" s="140"/>
      <c r="Q730" s="140" t="s">
        <v>29</v>
      </c>
      <c r="R730" s="143">
        <f>J730*0.25</f>
        <v>25</v>
      </c>
      <c r="S730" s="143">
        <f>J730*1</f>
        <v>100</v>
      </c>
      <c r="T730" s="143">
        <f>J730*1.5</f>
        <v>150</v>
      </c>
      <c r="U730" s="143">
        <f>J730*0.5</f>
        <v>50</v>
      </c>
      <c r="V730" s="143">
        <f>R730+S730+T730+U730</f>
        <v>325</v>
      </c>
    </row>
    <row r="731" spans="1:22" s="128" customFormat="1" ht="15.6" hidden="1" x14ac:dyDescent="0.3">
      <c r="A731" s="142" t="s">
        <v>477</v>
      </c>
      <c r="B731" s="142">
        <v>250</v>
      </c>
      <c r="C731" s="141">
        <v>45880</v>
      </c>
      <c r="D731" s="140">
        <f>WEEKNUM(C731)</f>
        <v>33</v>
      </c>
      <c r="E731" s="140" t="s">
        <v>475</v>
      </c>
      <c r="F731" s="159" t="s">
        <v>804</v>
      </c>
      <c r="G731" s="142" t="s">
        <v>695</v>
      </c>
      <c r="H731" s="142" t="s">
        <v>304</v>
      </c>
      <c r="I731" s="142" t="s">
        <v>61</v>
      </c>
      <c r="J731" s="157">
        <v>500</v>
      </c>
      <c r="K731" s="143">
        <v>13</v>
      </c>
      <c r="L731" s="143">
        <f>K731*J731</f>
        <v>6500</v>
      </c>
      <c r="M731" s="143">
        <v>0</v>
      </c>
      <c r="N731" s="141">
        <v>45905</v>
      </c>
      <c r="O731" s="157">
        <f>WEEKNUM(N731)</f>
        <v>36</v>
      </c>
      <c r="P731" s="140"/>
      <c r="Q731" s="140" t="s">
        <v>29</v>
      </c>
      <c r="R731" s="143">
        <f>J731*0.25</f>
        <v>125</v>
      </c>
      <c r="S731" s="143">
        <f>J731*0.7</f>
        <v>350</v>
      </c>
      <c r="T731" s="143">
        <f>J731*1</f>
        <v>500</v>
      </c>
      <c r="U731" s="143">
        <f>J731*1</f>
        <v>500</v>
      </c>
      <c r="V731" s="143">
        <f>R731+S731+T731+U731</f>
        <v>1475</v>
      </c>
    </row>
    <row r="732" spans="1:22" s="128" customFormat="1" ht="15.6" hidden="1" x14ac:dyDescent="0.3">
      <c r="A732" s="142" t="s">
        <v>477</v>
      </c>
      <c r="B732" s="142">
        <v>251</v>
      </c>
      <c r="C732" s="141">
        <v>45880</v>
      </c>
      <c r="D732" s="140">
        <f>WEEKNUM(C732)</f>
        <v>33</v>
      </c>
      <c r="E732" s="140" t="s">
        <v>475</v>
      </c>
      <c r="F732" s="142" t="s">
        <v>831</v>
      </c>
      <c r="G732" s="142" t="s">
        <v>311</v>
      </c>
      <c r="H732" s="140" t="s">
        <v>51</v>
      </c>
      <c r="I732" s="142" t="s">
        <v>46</v>
      </c>
      <c r="J732" s="157">
        <v>200</v>
      </c>
      <c r="K732" s="143">
        <v>12.99</v>
      </c>
      <c r="L732" s="143">
        <f>K732*J732</f>
        <v>2598</v>
      </c>
      <c r="M732" s="143">
        <v>0</v>
      </c>
      <c r="N732" s="141">
        <v>45905</v>
      </c>
      <c r="O732" s="157">
        <f>WEEKNUM(N732)</f>
        <v>36</v>
      </c>
      <c r="P732" s="140"/>
      <c r="Q732" s="140" t="s">
        <v>29</v>
      </c>
      <c r="R732" s="143">
        <f>J732*0.25</f>
        <v>50</v>
      </c>
      <c r="S732" s="143">
        <f>J732*1</f>
        <v>200</v>
      </c>
      <c r="T732" s="143">
        <f>J732*3</f>
        <v>600</v>
      </c>
      <c r="U732" s="143">
        <f>J732*1</f>
        <v>200</v>
      </c>
      <c r="V732" s="143">
        <f>R732+S732+T732+U732</f>
        <v>1050</v>
      </c>
    </row>
    <row r="733" spans="1:22" s="128" customFormat="1" ht="15.6" hidden="1" x14ac:dyDescent="0.3">
      <c r="A733" s="142" t="s">
        <v>477</v>
      </c>
      <c r="B733" s="142">
        <v>249</v>
      </c>
      <c r="C733" s="141">
        <v>45880</v>
      </c>
      <c r="D733" s="140">
        <f>WEEKNUM(C733)</f>
        <v>33</v>
      </c>
      <c r="E733" s="140" t="s">
        <v>475</v>
      </c>
      <c r="F733" s="142" t="s">
        <v>1002</v>
      </c>
      <c r="G733" s="140" t="s">
        <v>480</v>
      </c>
      <c r="H733" s="140" t="s">
        <v>51</v>
      </c>
      <c r="I733" s="142" t="s">
        <v>46</v>
      </c>
      <c r="J733" s="157">
        <v>100</v>
      </c>
      <c r="K733" s="143">
        <v>14.99</v>
      </c>
      <c r="L733" s="143">
        <f>K733*J733</f>
        <v>1499</v>
      </c>
      <c r="M733" s="143">
        <v>0</v>
      </c>
      <c r="N733" s="141">
        <v>45905</v>
      </c>
      <c r="O733" s="157">
        <f>WEEKNUM(N733)</f>
        <v>36</v>
      </c>
      <c r="P733" s="140"/>
      <c r="Q733" s="140" t="s">
        <v>29</v>
      </c>
      <c r="R733" s="143">
        <f>J733*0.25</f>
        <v>25</v>
      </c>
      <c r="S733" s="143">
        <f>J733*1</f>
        <v>100</v>
      </c>
      <c r="T733" s="143">
        <f>J733*3</f>
        <v>300</v>
      </c>
      <c r="U733" s="143">
        <f>J733*1</f>
        <v>100</v>
      </c>
      <c r="V733" s="143">
        <f>R733+S733+T733+U733</f>
        <v>525</v>
      </c>
    </row>
    <row r="734" spans="1:22" s="128" customFormat="1" ht="15.6" hidden="1" x14ac:dyDescent="0.3">
      <c r="A734" s="142" t="s">
        <v>496</v>
      </c>
      <c r="B734" s="142">
        <v>252</v>
      </c>
      <c r="C734" s="141">
        <v>45883</v>
      </c>
      <c r="D734" s="140">
        <f>WEEKNUM(C734)</f>
        <v>33</v>
      </c>
      <c r="E734" s="140" t="s">
        <v>475</v>
      </c>
      <c r="F734" s="142" t="s">
        <v>689</v>
      </c>
      <c r="G734" s="140" t="s">
        <v>480</v>
      </c>
      <c r="H734" s="140" t="s">
        <v>51</v>
      </c>
      <c r="I734" s="142" t="s">
        <v>46</v>
      </c>
      <c r="J734" s="157">
        <v>100</v>
      </c>
      <c r="K734" s="143">
        <v>14.99</v>
      </c>
      <c r="L734" s="143">
        <f>K734*J734</f>
        <v>1499</v>
      </c>
      <c r="M734" s="143">
        <v>0</v>
      </c>
      <c r="N734" s="141">
        <v>45908</v>
      </c>
      <c r="O734" s="157">
        <f>WEEKNUM(N734)</f>
        <v>37</v>
      </c>
      <c r="P734" s="140"/>
      <c r="Q734" s="140" t="s">
        <v>29</v>
      </c>
      <c r="R734" s="143">
        <f>J734*0.25</f>
        <v>25</v>
      </c>
      <c r="S734" s="143">
        <f>J734*1</f>
        <v>100</v>
      </c>
      <c r="T734" s="143">
        <f>J734*1.84</f>
        <v>184</v>
      </c>
      <c r="U734" s="143">
        <f>J734*0.5</f>
        <v>50</v>
      </c>
      <c r="V734" s="143">
        <f>R734+S734+T734+U734</f>
        <v>359</v>
      </c>
    </row>
    <row r="735" spans="1:22" s="128" customFormat="1" ht="15.6" hidden="1" x14ac:dyDescent="0.3">
      <c r="A735" s="142" t="s">
        <v>496</v>
      </c>
      <c r="B735" s="142">
        <v>209</v>
      </c>
      <c r="C735" s="141">
        <v>45883</v>
      </c>
      <c r="D735" s="140">
        <f>WEEKNUM(C735)</f>
        <v>33</v>
      </c>
      <c r="E735" s="142" t="s">
        <v>68</v>
      </c>
      <c r="F735" s="142" t="s">
        <v>343</v>
      </c>
      <c r="G735" s="142" t="s">
        <v>301</v>
      </c>
      <c r="H735" s="140" t="s">
        <v>74</v>
      </c>
      <c r="I735" s="142" t="s">
        <v>46</v>
      </c>
      <c r="J735" s="157">
        <v>6</v>
      </c>
      <c r="K735" s="143">
        <v>36.75</v>
      </c>
      <c r="L735" s="143">
        <f>K735*J735</f>
        <v>220.5</v>
      </c>
      <c r="M735" s="143">
        <v>0</v>
      </c>
      <c r="N735" s="141">
        <v>45903</v>
      </c>
      <c r="O735" s="157">
        <f>WEEKNUM(N735)</f>
        <v>36</v>
      </c>
      <c r="P735" s="140"/>
      <c r="Q735" s="140" t="s">
        <v>29</v>
      </c>
      <c r="R735" s="143">
        <f>J735*0.25</f>
        <v>1.5</v>
      </c>
      <c r="S735" s="143">
        <f>J735*1</f>
        <v>6</v>
      </c>
      <c r="T735" s="143">
        <f>J735*1.5</f>
        <v>9</v>
      </c>
      <c r="U735" s="143">
        <f>J735*0.5</f>
        <v>3</v>
      </c>
      <c r="V735" s="143">
        <f>R735+S735+T735+U735</f>
        <v>19.5</v>
      </c>
    </row>
    <row r="736" spans="1:22" s="128" customFormat="1" ht="15.6" hidden="1" x14ac:dyDescent="0.3">
      <c r="A736" s="142" t="s">
        <v>496</v>
      </c>
      <c r="B736" s="142">
        <v>209</v>
      </c>
      <c r="C736" s="141">
        <v>45883</v>
      </c>
      <c r="D736" s="140">
        <f>WEEKNUM(C736)</f>
        <v>33</v>
      </c>
      <c r="E736" s="142" t="s">
        <v>68</v>
      </c>
      <c r="F736" s="142" t="s">
        <v>343</v>
      </c>
      <c r="G736" s="142" t="s">
        <v>505</v>
      </c>
      <c r="H736" s="140" t="s">
        <v>78</v>
      </c>
      <c r="I736" s="142" t="s">
        <v>61</v>
      </c>
      <c r="J736" s="157">
        <v>2</v>
      </c>
      <c r="K736" s="143">
        <v>75</v>
      </c>
      <c r="L736" s="143">
        <f>K736*J736</f>
        <v>150</v>
      </c>
      <c r="M736" s="143">
        <v>0</v>
      </c>
      <c r="N736" s="141">
        <v>45903</v>
      </c>
      <c r="O736" s="157">
        <f>WEEKNUM(N736)</f>
        <v>36</v>
      </c>
      <c r="P736" s="140"/>
      <c r="Q736" s="140" t="s">
        <v>29</v>
      </c>
      <c r="R736" s="143">
        <f>J736*2</f>
        <v>4</v>
      </c>
      <c r="S736" s="143">
        <f>J736*0</f>
        <v>0</v>
      </c>
      <c r="T736" s="143">
        <f>J736*3</f>
        <v>6</v>
      </c>
      <c r="U736" s="143">
        <f>J736*1</f>
        <v>2</v>
      </c>
      <c r="V736" s="143">
        <f>R736+S736+T736+U736</f>
        <v>12</v>
      </c>
    </row>
    <row r="737" spans="1:22" s="128" customFormat="1" ht="15.6" hidden="1" x14ac:dyDescent="0.3">
      <c r="A737" s="142" t="s">
        <v>496</v>
      </c>
      <c r="B737" s="142">
        <v>253</v>
      </c>
      <c r="C737" s="141">
        <v>45884</v>
      </c>
      <c r="D737" s="140">
        <f>WEEKNUM(C737)</f>
        <v>33</v>
      </c>
      <c r="E737" s="140" t="s">
        <v>475</v>
      </c>
      <c r="F737" s="142" t="s">
        <v>497</v>
      </c>
      <c r="G737" s="142" t="s">
        <v>311</v>
      </c>
      <c r="H737" s="140" t="s">
        <v>51</v>
      </c>
      <c r="I737" s="142" t="s">
        <v>46</v>
      </c>
      <c r="J737" s="157">
        <v>100</v>
      </c>
      <c r="K737" s="143">
        <v>12.99</v>
      </c>
      <c r="L737" s="143">
        <f>K737*J737</f>
        <v>1299</v>
      </c>
      <c r="M737" s="143">
        <v>0</v>
      </c>
      <c r="N737" s="141">
        <v>45910</v>
      </c>
      <c r="O737" s="157">
        <f>WEEKNUM(N737)</f>
        <v>37</v>
      </c>
      <c r="P737" s="140"/>
      <c r="Q737" s="140" t="s">
        <v>29</v>
      </c>
      <c r="R737" s="143">
        <f>J737*0.25</f>
        <v>25</v>
      </c>
      <c r="S737" s="143">
        <f>J737*0.5</f>
        <v>50</v>
      </c>
      <c r="T737" s="143">
        <f>J737*1.3</f>
        <v>130</v>
      </c>
      <c r="U737" s="143">
        <f>J737*0.5</f>
        <v>50</v>
      </c>
      <c r="V737" s="143">
        <f>R737+S737+T737+U737</f>
        <v>255</v>
      </c>
    </row>
    <row r="738" spans="1:22" s="128" customFormat="1" ht="15.6" hidden="1" x14ac:dyDescent="0.3">
      <c r="A738" s="142" t="s">
        <v>477</v>
      </c>
      <c r="B738" s="142">
        <v>7</v>
      </c>
      <c r="C738" s="141">
        <v>45884</v>
      </c>
      <c r="D738" s="140">
        <f>WEEKNUM(C738)</f>
        <v>33</v>
      </c>
      <c r="E738" s="140" t="s">
        <v>475</v>
      </c>
      <c r="F738" s="140" t="s">
        <v>568</v>
      </c>
      <c r="G738" s="142" t="s">
        <v>575</v>
      </c>
      <c r="H738" s="140" t="s">
        <v>51</v>
      </c>
      <c r="I738" s="142" t="s">
        <v>46</v>
      </c>
      <c r="J738" s="157">
        <v>1700</v>
      </c>
      <c r="K738" s="143">
        <v>19.5</v>
      </c>
      <c r="L738" s="143">
        <f>K738*J738</f>
        <v>33150</v>
      </c>
      <c r="M738" s="143">
        <v>0</v>
      </c>
      <c r="N738" s="141">
        <v>45910</v>
      </c>
      <c r="O738" s="157">
        <f>WEEKNUM(N738)</f>
        <v>37</v>
      </c>
      <c r="P738" s="140"/>
      <c r="Q738" s="140" t="s">
        <v>29</v>
      </c>
      <c r="R738" s="143">
        <f>J738*0.25</f>
        <v>425</v>
      </c>
      <c r="S738" s="143">
        <f>J738*0.5</f>
        <v>850</v>
      </c>
      <c r="T738" s="143">
        <f>J738*1.3</f>
        <v>2210</v>
      </c>
      <c r="U738" s="143">
        <f>J738*0.5</f>
        <v>850</v>
      </c>
      <c r="V738" s="143">
        <f>R738+S738+T738+U738</f>
        <v>4335</v>
      </c>
    </row>
    <row r="739" spans="1:22" s="128" customFormat="1" ht="15.6" hidden="1" x14ac:dyDescent="0.3">
      <c r="A739" s="142" t="s">
        <v>477</v>
      </c>
      <c r="B739" s="142">
        <v>8</v>
      </c>
      <c r="C739" s="141">
        <v>45884</v>
      </c>
      <c r="D739" s="140">
        <f>WEEKNUM(C739)</f>
        <v>33</v>
      </c>
      <c r="E739" s="140" t="s">
        <v>475</v>
      </c>
      <c r="F739" s="140" t="s">
        <v>568</v>
      </c>
      <c r="G739" s="142" t="s">
        <v>575</v>
      </c>
      <c r="H739" s="140" t="s">
        <v>51</v>
      </c>
      <c r="I739" s="142" t="s">
        <v>46</v>
      </c>
      <c r="J739" s="157">
        <v>300</v>
      </c>
      <c r="K739" s="143">
        <v>19.5</v>
      </c>
      <c r="L739" s="143">
        <f>K739*J739</f>
        <v>5850</v>
      </c>
      <c r="M739" s="143">
        <v>0</v>
      </c>
      <c r="N739" s="141">
        <v>45910</v>
      </c>
      <c r="O739" s="157">
        <f>WEEKNUM(N739)</f>
        <v>37</v>
      </c>
      <c r="P739" s="140"/>
      <c r="Q739" s="140" t="s">
        <v>29</v>
      </c>
      <c r="R739" s="143">
        <f>J739*0.25</f>
        <v>75</v>
      </c>
      <c r="S739" s="143">
        <f>J739*0.5</f>
        <v>150</v>
      </c>
      <c r="T739" s="143">
        <f>J739*1.3</f>
        <v>390</v>
      </c>
      <c r="U739" s="143">
        <f>J739*0.5</f>
        <v>150</v>
      </c>
      <c r="V739" s="143">
        <f>R739+S739+T739+U739</f>
        <v>765</v>
      </c>
    </row>
    <row r="740" spans="1:22" s="128" customFormat="1" ht="15.6" hidden="1" x14ac:dyDescent="0.3">
      <c r="A740" s="142" t="s">
        <v>477</v>
      </c>
      <c r="B740" s="142">
        <v>897</v>
      </c>
      <c r="C740" s="141">
        <v>45887</v>
      </c>
      <c r="D740" s="140">
        <f>WEEKNUM(C740)</f>
        <v>34</v>
      </c>
      <c r="E740" s="142" t="s">
        <v>672</v>
      </c>
      <c r="F740" s="142" t="s">
        <v>673</v>
      </c>
      <c r="G740" s="142" t="s">
        <v>674</v>
      </c>
      <c r="H740" s="140" t="s">
        <v>60</v>
      </c>
      <c r="I740" s="142" t="s">
        <v>61</v>
      </c>
      <c r="J740" s="157">
        <v>120</v>
      </c>
      <c r="K740" s="143">
        <v>19.149999999999999</v>
      </c>
      <c r="L740" s="143">
        <f>K740*J740</f>
        <v>2298</v>
      </c>
      <c r="M740" s="143">
        <v>0</v>
      </c>
      <c r="N740" s="141">
        <v>45908</v>
      </c>
      <c r="O740" s="157">
        <f>WEEKNUM(N740)</f>
        <v>37</v>
      </c>
      <c r="P740" s="140"/>
      <c r="Q740" s="140" t="s">
        <v>29</v>
      </c>
      <c r="R740" s="143">
        <f>J740*0.25</f>
        <v>30</v>
      </c>
      <c r="S740" s="143">
        <f>J740*0.7</f>
        <v>84</v>
      </c>
      <c r="T740" s="143">
        <f>J740*2.5</f>
        <v>300</v>
      </c>
      <c r="U740" s="143">
        <f>J740*0.5</f>
        <v>60</v>
      </c>
      <c r="V740" s="143">
        <f>R740+S740+T740+U740</f>
        <v>474</v>
      </c>
    </row>
    <row r="741" spans="1:22" s="128" customFormat="1" ht="15.6" hidden="1" x14ac:dyDescent="0.3">
      <c r="A741" s="142" t="s">
        <v>477</v>
      </c>
      <c r="B741" s="142">
        <v>255</v>
      </c>
      <c r="C741" s="141">
        <v>45887</v>
      </c>
      <c r="D741" s="140">
        <f>WEEKNUM(C741)</f>
        <v>34</v>
      </c>
      <c r="E741" s="142" t="s">
        <v>691</v>
      </c>
      <c r="F741" s="142" t="s">
        <v>692</v>
      </c>
      <c r="G741" s="142" t="s">
        <v>693</v>
      </c>
      <c r="H741" s="142" t="s">
        <v>304</v>
      </c>
      <c r="I741" s="142" t="s">
        <v>46</v>
      </c>
      <c r="J741" s="157">
        <v>400</v>
      </c>
      <c r="K741" s="143">
        <v>7.9</v>
      </c>
      <c r="L741" s="143">
        <f>K741*J741</f>
        <v>3160</v>
      </c>
      <c r="M741" s="143">
        <v>0</v>
      </c>
      <c r="N741" s="141">
        <v>45912</v>
      </c>
      <c r="O741" s="157">
        <f>WEEKNUM(N741)</f>
        <v>37</v>
      </c>
      <c r="P741" s="140"/>
      <c r="Q741" s="140" t="s">
        <v>29</v>
      </c>
      <c r="R741" s="143">
        <f>J741*0.25</f>
        <v>100</v>
      </c>
      <c r="S741" s="143">
        <f>J741*0.7</f>
        <v>280</v>
      </c>
      <c r="T741" s="143">
        <f>J741*1</f>
        <v>400</v>
      </c>
      <c r="U741" s="143">
        <f>J741*1</f>
        <v>400</v>
      </c>
      <c r="V741" s="143">
        <f>R741+S741+T741+U741</f>
        <v>1180</v>
      </c>
    </row>
    <row r="742" spans="1:22" s="128" customFormat="1" ht="15.6" hidden="1" x14ac:dyDescent="0.3">
      <c r="A742" s="142" t="s">
        <v>477</v>
      </c>
      <c r="B742" s="142">
        <v>896</v>
      </c>
      <c r="C742" s="141">
        <v>45887</v>
      </c>
      <c r="D742" s="140">
        <f>WEEKNUM(C742)</f>
        <v>34</v>
      </c>
      <c r="E742" s="142" t="s">
        <v>68</v>
      </c>
      <c r="F742" s="142" t="s">
        <v>384</v>
      </c>
      <c r="G742" s="140" t="s">
        <v>503</v>
      </c>
      <c r="H742" s="140" t="s">
        <v>354</v>
      </c>
      <c r="I742" s="142" t="s">
        <v>46</v>
      </c>
      <c r="J742" s="157">
        <v>2</v>
      </c>
      <c r="K742" s="143">
        <v>36.75</v>
      </c>
      <c r="L742" s="143">
        <f>K742*J742</f>
        <v>73.5</v>
      </c>
      <c r="M742" s="143">
        <v>0</v>
      </c>
      <c r="N742" s="141">
        <v>45905</v>
      </c>
      <c r="O742" s="157">
        <f>WEEKNUM(N742)</f>
        <v>36</v>
      </c>
      <c r="P742" s="140"/>
      <c r="Q742" s="140" t="s">
        <v>29</v>
      </c>
      <c r="R742" s="143">
        <f>J742*0.25</f>
        <v>0.5</v>
      </c>
      <c r="S742" s="143">
        <f>J742*1</f>
        <v>2</v>
      </c>
      <c r="T742" s="143">
        <f>J742*1.5</f>
        <v>3</v>
      </c>
      <c r="U742" s="143">
        <f>J742*0.5</f>
        <v>1</v>
      </c>
      <c r="V742" s="143">
        <f>R742+S742+T742+U742</f>
        <v>6.5</v>
      </c>
    </row>
    <row r="743" spans="1:22" s="128" customFormat="1" ht="15.6" hidden="1" x14ac:dyDescent="0.3">
      <c r="A743" s="142" t="s">
        <v>477</v>
      </c>
      <c r="B743" s="142">
        <v>896</v>
      </c>
      <c r="C743" s="141">
        <v>45887</v>
      </c>
      <c r="D743" s="140">
        <f>WEEKNUM(C743)</f>
        <v>34</v>
      </c>
      <c r="E743" s="142" t="s">
        <v>68</v>
      </c>
      <c r="F743" s="142" t="s">
        <v>384</v>
      </c>
      <c r="G743" s="142" t="s">
        <v>374</v>
      </c>
      <c r="H743" s="140" t="s">
        <v>74</v>
      </c>
      <c r="I743" s="142" t="s">
        <v>46</v>
      </c>
      <c r="J743" s="157">
        <v>2</v>
      </c>
      <c r="K743" s="143">
        <v>47.5</v>
      </c>
      <c r="L743" s="143">
        <f>K743*J743</f>
        <v>95</v>
      </c>
      <c r="M743" s="143">
        <v>0</v>
      </c>
      <c r="N743" s="141">
        <v>45905</v>
      </c>
      <c r="O743" s="157">
        <f>WEEKNUM(N743)</f>
        <v>36</v>
      </c>
      <c r="P743" s="140"/>
      <c r="Q743" s="140" t="s">
        <v>29</v>
      </c>
      <c r="R743" s="143">
        <f>J743*0.25</f>
        <v>0.5</v>
      </c>
      <c r="S743" s="143">
        <f>J743*1</f>
        <v>2</v>
      </c>
      <c r="T743" s="143">
        <f>J743*1.5</f>
        <v>3</v>
      </c>
      <c r="U743" s="143">
        <f>J743*0.5</f>
        <v>1</v>
      </c>
      <c r="V743" s="143">
        <f>R743+S743+T743+U743</f>
        <v>6.5</v>
      </c>
    </row>
    <row r="744" spans="1:22" s="128" customFormat="1" ht="15.6" hidden="1" x14ac:dyDescent="0.3">
      <c r="A744" s="142" t="s">
        <v>477</v>
      </c>
      <c r="B744" s="142">
        <v>896</v>
      </c>
      <c r="C744" s="141">
        <v>45887</v>
      </c>
      <c r="D744" s="140">
        <f>WEEKNUM(C744)</f>
        <v>34</v>
      </c>
      <c r="E744" s="142" t="s">
        <v>68</v>
      </c>
      <c r="F744" s="142" t="s">
        <v>384</v>
      </c>
      <c r="G744" s="142" t="s">
        <v>301</v>
      </c>
      <c r="H744" s="140" t="s">
        <v>74</v>
      </c>
      <c r="I744" s="142" t="s">
        <v>46</v>
      </c>
      <c r="J744" s="157">
        <v>1</v>
      </c>
      <c r="K744" s="143">
        <v>36.75</v>
      </c>
      <c r="L744" s="143">
        <f>K744*J744</f>
        <v>36.75</v>
      </c>
      <c r="M744" s="143">
        <v>0</v>
      </c>
      <c r="N744" s="141">
        <v>45905</v>
      </c>
      <c r="O744" s="157">
        <f>WEEKNUM(N744)</f>
        <v>36</v>
      </c>
      <c r="P744" s="140"/>
      <c r="Q744" s="140" t="s">
        <v>29</v>
      </c>
      <c r="R744" s="143">
        <f>J744*0.25</f>
        <v>0.25</v>
      </c>
      <c r="S744" s="143">
        <f>J744*1</f>
        <v>1</v>
      </c>
      <c r="T744" s="143">
        <f>J744*1.5</f>
        <v>1.5</v>
      </c>
      <c r="U744" s="143">
        <f>J744*0.5</f>
        <v>0.5</v>
      </c>
      <c r="V744" s="143">
        <f>R744+S744+T744+U744</f>
        <v>3.25</v>
      </c>
    </row>
    <row r="745" spans="1:22" s="128" customFormat="1" ht="15.6" hidden="1" x14ac:dyDescent="0.3">
      <c r="A745" s="142" t="s">
        <v>477</v>
      </c>
      <c r="B745" s="142">
        <v>896</v>
      </c>
      <c r="C745" s="141">
        <v>45887</v>
      </c>
      <c r="D745" s="140">
        <f>WEEKNUM(C745)</f>
        <v>34</v>
      </c>
      <c r="E745" s="142" t="s">
        <v>68</v>
      </c>
      <c r="F745" s="142" t="s">
        <v>384</v>
      </c>
      <c r="G745" s="142" t="s">
        <v>339</v>
      </c>
      <c r="H745" s="142" t="s">
        <v>340</v>
      </c>
      <c r="I745" s="142" t="s">
        <v>46</v>
      </c>
      <c r="J745" s="157">
        <v>2</v>
      </c>
      <c r="K745" s="143">
        <v>65</v>
      </c>
      <c r="L745" s="143">
        <f>K745*J745</f>
        <v>130</v>
      </c>
      <c r="M745" s="143">
        <v>0</v>
      </c>
      <c r="N745" s="141">
        <v>45905</v>
      </c>
      <c r="O745" s="157">
        <f>WEEKNUM(N745)</f>
        <v>36</v>
      </c>
      <c r="P745" s="140"/>
      <c r="Q745" s="140" t="s">
        <v>29</v>
      </c>
      <c r="R745" s="143">
        <v>0</v>
      </c>
      <c r="S745" s="143">
        <f>J745*1</f>
        <v>2</v>
      </c>
      <c r="T745" s="143">
        <v>0</v>
      </c>
      <c r="U745" s="143">
        <f>J745*0.5</f>
        <v>1</v>
      </c>
      <c r="V745" s="143">
        <f>R745+S745+T745+U745</f>
        <v>3</v>
      </c>
    </row>
    <row r="746" spans="1:22" s="128" customFormat="1" ht="15.6" hidden="1" x14ac:dyDescent="0.3">
      <c r="A746" s="142" t="s">
        <v>477</v>
      </c>
      <c r="B746" s="142">
        <v>256</v>
      </c>
      <c r="C746" s="141">
        <v>45888</v>
      </c>
      <c r="D746" s="140">
        <f>WEEKNUM(C746)</f>
        <v>34</v>
      </c>
      <c r="E746" s="140" t="s">
        <v>475</v>
      </c>
      <c r="F746" s="142" t="s">
        <v>611</v>
      </c>
      <c r="G746" s="140" t="s">
        <v>480</v>
      </c>
      <c r="H746" s="140" t="s">
        <v>51</v>
      </c>
      <c r="I746" s="142" t="s">
        <v>46</v>
      </c>
      <c r="J746" s="157">
        <v>50</v>
      </c>
      <c r="K746" s="143">
        <v>14.99</v>
      </c>
      <c r="L746" s="143">
        <f>K746*J746</f>
        <v>749.5</v>
      </c>
      <c r="M746" s="143">
        <v>0</v>
      </c>
      <c r="N746" s="141">
        <v>45915</v>
      </c>
      <c r="O746" s="157">
        <f>WEEKNUM(N746)</f>
        <v>38</v>
      </c>
      <c r="P746" s="140"/>
      <c r="Q746" s="140" t="s">
        <v>29</v>
      </c>
      <c r="R746" s="143">
        <f>J746*0.25</f>
        <v>12.5</v>
      </c>
      <c r="S746" s="143">
        <f>J746*0.5</f>
        <v>25</v>
      </c>
      <c r="T746" s="143">
        <f>J746*1.3</f>
        <v>65</v>
      </c>
      <c r="U746" s="143">
        <f>J746*0.5</f>
        <v>25</v>
      </c>
      <c r="V746" s="143">
        <f>R746+S746+T746+U746</f>
        <v>127.5</v>
      </c>
    </row>
    <row r="747" spans="1:22" s="128" customFormat="1" ht="15.6" hidden="1" x14ac:dyDescent="0.3">
      <c r="A747" s="142" t="s">
        <v>477</v>
      </c>
      <c r="B747" s="142">
        <v>256</v>
      </c>
      <c r="C747" s="141">
        <v>45888</v>
      </c>
      <c r="D747" s="140">
        <f>WEEKNUM(C747)</f>
        <v>34</v>
      </c>
      <c r="E747" s="140" t="s">
        <v>475</v>
      </c>
      <c r="F747" s="142" t="s">
        <v>611</v>
      </c>
      <c r="G747" s="142" t="s">
        <v>311</v>
      </c>
      <c r="H747" s="140" t="s">
        <v>51</v>
      </c>
      <c r="I747" s="142" t="s">
        <v>46</v>
      </c>
      <c r="J747" s="157">
        <v>50</v>
      </c>
      <c r="K747" s="143">
        <v>12.99</v>
      </c>
      <c r="L747" s="143">
        <f>K747*J747</f>
        <v>649.5</v>
      </c>
      <c r="M747" s="143">
        <v>0</v>
      </c>
      <c r="N747" s="141">
        <v>45915</v>
      </c>
      <c r="O747" s="157">
        <f>WEEKNUM(N747)</f>
        <v>38</v>
      </c>
      <c r="P747" s="140"/>
      <c r="Q747" s="140" t="s">
        <v>29</v>
      </c>
      <c r="R747" s="143">
        <f>J747*0.25</f>
        <v>12.5</v>
      </c>
      <c r="S747" s="143">
        <f>J747*0.5</f>
        <v>25</v>
      </c>
      <c r="T747" s="143">
        <f>J747*1.3</f>
        <v>65</v>
      </c>
      <c r="U747" s="143">
        <f>J747*0.5</f>
        <v>25</v>
      </c>
      <c r="V747" s="143">
        <f>R747+S747+T747+U747</f>
        <v>127.5</v>
      </c>
    </row>
    <row r="748" spans="1:22" s="128" customFormat="1" ht="15.6" hidden="1" x14ac:dyDescent="0.3">
      <c r="A748" s="142" t="s">
        <v>477</v>
      </c>
      <c r="B748" s="142">
        <v>287</v>
      </c>
      <c r="C748" s="141">
        <v>45889</v>
      </c>
      <c r="D748" s="140">
        <f>WEEKNUM(C748)</f>
        <v>34</v>
      </c>
      <c r="E748" s="142" t="s">
        <v>68</v>
      </c>
      <c r="F748" s="195" t="s">
        <v>306</v>
      </c>
      <c r="G748" s="142" t="s">
        <v>339</v>
      </c>
      <c r="H748" s="142" t="s">
        <v>340</v>
      </c>
      <c r="I748" s="142" t="s">
        <v>46</v>
      </c>
      <c r="J748" s="157">
        <v>6</v>
      </c>
      <c r="K748" s="143">
        <v>65</v>
      </c>
      <c r="L748" s="143">
        <f>K748*J748</f>
        <v>390</v>
      </c>
      <c r="M748" s="143">
        <v>0</v>
      </c>
      <c r="N748" s="141">
        <v>45894</v>
      </c>
      <c r="O748" s="157">
        <f>WEEKNUM(N748)</f>
        <v>35</v>
      </c>
      <c r="P748" s="140"/>
      <c r="Q748" s="140" t="s">
        <v>29</v>
      </c>
      <c r="R748" s="143">
        <v>0</v>
      </c>
      <c r="S748" s="143">
        <f>J748*1</f>
        <v>6</v>
      </c>
      <c r="T748" s="143">
        <v>0</v>
      </c>
      <c r="U748" s="143">
        <f>J748*0.5</f>
        <v>3</v>
      </c>
      <c r="V748" s="143">
        <f>R748+S748+T748+U748</f>
        <v>9</v>
      </c>
    </row>
    <row r="749" spans="1:22" s="128" customFormat="1" ht="15.6" hidden="1" x14ac:dyDescent="0.3">
      <c r="A749" s="142" t="s">
        <v>477</v>
      </c>
      <c r="B749" s="142">
        <v>287</v>
      </c>
      <c r="C749" s="141">
        <v>45889</v>
      </c>
      <c r="D749" s="140">
        <f>WEEKNUM(C749)</f>
        <v>34</v>
      </c>
      <c r="E749" s="142" t="s">
        <v>68</v>
      </c>
      <c r="F749" s="195" t="s">
        <v>306</v>
      </c>
      <c r="G749" s="142" t="s">
        <v>301</v>
      </c>
      <c r="H749" s="140" t="s">
        <v>74</v>
      </c>
      <c r="I749" s="142" t="s">
        <v>46</v>
      </c>
      <c r="J749" s="157">
        <v>20</v>
      </c>
      <c r="K749" s="143">
        <v>36.75</v>
      </c>
      <c r="L749" s="143">
        <f>K749*J749</f>
        <v>735</v>
      </c>
      <c r="M749" s="143">
        <v>0</v>
      </c>
      <c r="N749" s="141">
        <v>45894</v>
      </c>
      <c r="O749" s="157">
        <f>WEEKNUM(N749)</f>
        <v>35</v>
      </c>
      <c r="P749" s="140"/>
      <c r="Q749" s="140" t="s">
        <v>29</v>
      </c>
      <c r="R749" s="143">
        <f>J749*0.25</f>
        <v>5</v>
      </c>
      <c r="S749" s="143">
        <f>J749*1</f>
        <v>20</v>
      </c>
      <c r="T749" s="143">
        <f>J749*1.5</f>
        <v>30</v>
      </c>
      <c r="U749" s="143">
        <f>J749*0.5</f>
        <v>10</v>
      </c>
      <c r="V749" s="143">
        <f>R749+S749+T749+U749</f>
        <v>65</v>
      </c>
    </row>
    <row r="750" spans="1:22" s="128" customFormat="1" ht="15.6" hidden="1" x14ac:dyDescent="0.3">
      <c r="A750" s="142" t="s">
        <v>477</v>
      </c>
      <c r="B750" s="142">
        <v>287</v>
      </c>
      <c r="C750" s="141">
        <v>45889</v>
      </c>
      <c r="D750" s="140">
        <f>WEEKNUM(C750)</f>
        <v>34</v>
      </c>
      <c r="E750" s="142" t="s">
        <v>68</v>
      </c>
      <c r="F750" s="195" t="s">
        <v>306</v>
      </c>
      <c r="G750" s="142" t="s">
        <v>374</v>
      </c>
      <c r="H750" s="140" t="s">
        <v>74</v>
      </c>
      <c r="I750" s="142" t="s">
        <v>46</v>
      </c>
      <c r="J750" s="157">
        <v>11</v>
      </c>
      <c r="K750" s="143">
        <v>47.5</v>
      </c>
      <c r="L750" s="143">
        <f>K750*J750</f>
        <v>522.5</v>
      </c>
      <c r="M750" s="143">
        <v>0</v>
      </c>
      <c r="N750" s="141">
        <v>45894</v>
      </c>
      <c r="O750" s="157">
        <f>WEEKNUM(N750)</f>
        <v>35</v>
      </c>
      <c r="P750" s="140"/>
      <c r="Q750" s="140" t="s">
        <v>29</v>
      </c>
      <c r="R750" s="143">
        <f>J750*0.25</f>
        <v>2.75</v>
      </c>
      <c r="S750" s="143">
        <f>J750*1</f>
        <v>11</v>
      </c>
      <c r="T750" s="143">
        <f>J750*1.5</f>
        <v>16.5</v>
      </c>
      <c r="U750" s="143">
        <f>J750*0.5</f>
        <v>5.5</v>
      </c>
      <c r="V750" s="143">
        <f>R750+S750+T750+U750</f>
        <v>35.75</v>
      </c>
    </row>
    <row r="751" spans="1:22" s="128" customFormat="1" ht="15.6" hidden="1" x14ac:dyDescent="0.3">
      <c r="A751" s="142" t="s">
        <v>477</v>
      </c>
      <c r="B751" s="142">
        <v>287</v>
      </c>
      <c r="C751" s="141">
        <v>45889</v>
      </c>
      <c r="D751" s="140">
        <f>WEEKNUM(C751)</f>
        <v>34</v>
      </c>
      <c r="E751" s="142" t="s">
        <v>68</v>
      </c>
      <c r="F751" s="195" t="s">
        <v>306</v>
      </c>
      <c r="G751" s="140" t="s">
        <v>503</v>
      </c>
      <c r="H751" s="140" t="s">
        <v>354</v>
      </c>
      <c r="I751" s="142" t="s">
        <v>46</v>
      </c>
      <c r="J751" s="157">
        <v>20</v>
      </c>
      <c r="K751" s="143">
        <v>36.75</v>
      </c>
      <c r="L751" s="143">
        <f>K751*J751</f>
        <v>735</v>
      </c>
      <c r="M751" s="143">
        <v>0</v>
      </c>
      <c r="N751" s="141">
        <v>45894</v>
      </c>
      <c r="O751" s="157">
        <f>WEEKNUM(N751)</f>
        <v>35</v>
      </c>
      <c r="P751" s="140"/>
      <c r="Q751" s="140" t="s">
        <v>29</v>
      </c>
      <c r="R751" s="143">
        <f>J751*0.25</f>
        <v>5</v>
      </c>
      <c r="S751" s="143">
        <f>J751*1</f>
        <v>20</v>
      </c>
      <c r="T751" s="143">
        <f>J751*1.5</f>
        <v>30</v>
      </c>
      <c r="U751" s="143">
        <f>J751*0.5</f>
        <v>10</v>
      </c>
      <c r="V751" s="143">
        <f>R751+S751+T751+U751</f>
        <v>65</v>
      </c>
    </row>
    <row r="752" spans="1:22" s="128" customFormat="1" ht="15.6" hidden="1" x14ac:dyDescent="0.3">
      <c r="A752" s="142" t="s">
        <v>477</v>
      </c>
      <c r="B752" s="142">
        <v>287</v>
      </c>
      <c r="C752" s="141">
        <v>45889</v>
      </c>
      <c r="D752" s="140">
        <f>WEEKNUM(C752)</f>
        <v>34</v>
      </c>
      <c r="E752" s="142" t="s">
        <v>68</v>
      </c>
      <c r="F752" s="195" t="s">
        <v>306</v>
      </c>
      <c r="G752" s="140" t="s">
        <v>356</v>
      </c>
      <c r="H752" s="140" t="s">
        <v>321</v>
      </c>
      <c r="I752" s="142" t="s">
        <v>46</v>
      </c>
      <c r="J752" s="157">
        <v>14</v>
      </c>
      <c r="K752" s="143">
        <v>85</v>
      </c>
      <c r="L752" s="143">
        <f>K752*J752</f>
        <v>1190</v>
      </c>
      <c r="M752" s="143">
        <v>0</v>
      </c>
      <c r="N752" s="141">
        <v>45894</v>
      </c>
      <c r="O752" s="157">
        <f>WEEKNUM(N752)</f>
        <v>35</v>
      </c>
      <c r="P752" s="140"/>
      <c r="Q752" s="140" t="s">
        <v>29</v>
      </c>
      <c r="R752" s="156">
        <f>J752*0.25</f>
        <v>3.5</v>
      </c>
      <c r="S752" s="156">
        <f>PRODUCT(1.5,J752)</f>
        <v>21</v>
      </c>
      <c r="T752" s="156">
        <f>PRODUCT(1.5,J752)</f>
        <v>21</v>
      </c>
      <c r="U752" s="156">
        <f>J752*0.5</f>
        <v>7</v>
      </c>
      <c r="V752" s="156">
        <f>R752+S752+T752+U752</f>
        <v>52.5</v>
      </c>
    </row>
    <row r="753" spans="1:22" s="128" customFormat="1" ht="15.6" hidden="1" x14ac:dyDescent="0.3">
      <c r="A753" s="142" t="s">
        <v>477</v>
      </c>
      <c r="B753" s="142">
        <v>287</v>
      </c>
      <c r="C753" s="141">
        <v>45889</v>
      </c>
      <c r="D753" s="140">
        <f>WEEKNUM(C753)</f>
        <v>34</v>
      </c>
      <c r="E753" s="142" t="s">
        <v>68</v>
      </c>
      <c r="F753" s="195" t="s">
        <v>306</v>
      </c>
      <c r="G753" s="142" t="s">
        <v>505</v>
      </c>
      <c r="H753" s="140" t="s">
        <v>78</v>
      </c>
      <c r="I753" s="142" t="s">
        <v>61</v>
      </c>
      <c r="J753" s="157">
        <v>26</v>
      </c>
      <c r="K753" s="143">
        <v>75</v>
      </c>
      <c r="L753" s="143">
        <f>K753*J753</f>
        <v>1950</v>
      </c>
      <c r="M753" s="143">
        <v>0</v>
      </c>
      <c r="N753" s="141">
        <v>45894</v>
      </c>
      <c r="O753" s="157">
        <f>WEEKNUM(N753)</f>
        <v>35</v>
      </c>
      <c r="P753" s="140"/>
      <c r="Q753" s="140" t="s">
        <v>29</v>
      </c>
      <c r="R753" s="143">
        <f>J753*2</f>
        <v>52</v>
      </c>
      <c r="S753" s="143">
        <f>J753*0</f>
        <v>0</v>
      </c>
      <c r="T753" s="143">
        <f>J753*3</f>
        <v>78</v>
      </c>
      <c r="U753" s="143">
        <f>J753*1</f>
        <v>26</v>
      </c>
      <c r="V753" s="143">
        <f>R753+S753+T753+U753</f>
        <v>156</v>
      </c>
    </row>
    <row r="754" spans="1:22" s="128" customFormat="1" ht="15.6" hidden="1" x14ac:dyDescent="0.3">
      <c r="A754" s="142" t="s">
        <v>477</v>
      </c>
      <c r="B754" s="142">
        <v>287</v>
      </c>
      <c r="C754" s="141">
        <v>45889</v>
      </c>
      <c r="D754" s="140">
        <f>WEEKNUM(C754)</f>
        <v>34</v>
      </c>
      <c r="E754" s="142" t="s">
        <v>68</v>
      </c>
      <c r="F754" s="195" t="s">
        <v>306</v>
      </c>
      <c r="G754" s="142" t="s">
        <v>408</v>
      </c>
      <c r="H754" s="140" t="s">
        <v>80</v>
      </c>
      <c r="I754" s="142" t="s">
        <v>46</v>
      </c>
      <c r="J754" s="157">
        <v>10</v>
      </c>
      <c r="K754" s="143">
        <v>21</v>
      </c>
      <c r="L754" s="143">
        <f>K754*J754</f>
        <v>210</v>
      </c>
      <c r="M754" s="143">
        <v>0</v>
      </c>
      <c r="N754" s="141">
        <v>45894</v>
      </c>
      <c r="O754" s="157">
        <f>WEEKNUM(N754)</f>
        <v>35</v>
      </c>
      <c r="P754" s="140"/>
      <c r="Q754" s="140" t="s">
        <v>29</v>
      </c>
      <c r="R754" s="156">
        <f>J754*0.25</f>
        <v>2.5</v>
      </c>
      <c r="S754" s="156">
        <f>J754*1</f>
        <v>10</v>
      </c>
      <c r="T754" s="156">
        <f>J754*1.2</f>
        <v>12</v>
      </c>
      <c r="U754" s="156">
        <f>J754*0.5</f>
        <v>5</v>
      </c>
      <c r="V754" s="156">
        <f>R754+S754+T754+U754</f>
        <v>29.5</v>
      </c>
    </row>
    <row r="755" spans="1:22" s="128" customFormat="1" ht="15.6" hidden="1" x14ac:dyDescent="0.3">
      <c r="A755" s="142" t="s">
        <v>477</v>
      </c>
      <c r="B755" s="142">
        <v>287</v>
      </c>
      <c r="C755" s="141">
        <v>45889</v>
      </c>
      <c r="D755" s="140">
        <f>WEEKNUM(C755)</f>
        <v>34</v>
      </c>
      <c r="E755" s="142" t="s">
        <v>68</v>
      </c>
      <c r="F755" s="195" t="s">
        <v>306</v>
      </c>
      <c r="G755" s="142" t="s">
        <v>311</v>
      </c>
      <c r="H755" s="140" t="s">
        <v>51</v>
      </c>
      <c r="I755" s="142" t="s">
        <v>46</v>
      </c>
      <c r="J755" s="157">
        <v>30</v>
      </c>
      <c r="K755" s="143">
        <v>25</v>
      </c>
      <c r="L755" s="143">
        <f>K755*J755</f>
        <v>750</v>
      </c>
      <c r="M755" s="143">
        <v>0</v>
      </c>
      <c r="N755" s="141">
        <v>45894</v>
      </c>
      <c r="O755" s="157">
        <f>WEEKNUM(N755)</f>
        <v>35</v>
      </c>
      <c r="P755" s="140"/>
      <c r="Q755" s="140" t="s">
        <v>29</v>
      </c>
      <c r="R755" s="143">
        <f>J755*0.25</f>
        <v>7.5</v>
      </c>
      <c r="S755" s="143">
        <f>J755*0.5</f>
        <v>15</v>
      </c>
      <c r="T755" s="143">
        <f>J755*1.3</f>
        <v>39</v>
      </c>
      <c r="U755" s="143">
        <f>J755*0.5</f>
        <v>15</v>
      </c>
      <c r="V755" s="143">
        <f>R755+S755+T755+U755</f>
        <v>76.5</v>
      </c>
    </row>
    <row r="756" spans="1:22" s="128" customFormat="1" ht="15.6" hidden="1" x14ac:dyDescent="0.3">
      <c r="A756" s="142" t="s">
        <v>477</v>
      </c>
      <c r="B756" s="142">
        <v>257</v>
      </c>
      <c r="C756" s="141">
        <v>45889</v>
      </c>
      <c r="D756" s="140">
        <f>WEEKNUM(C756)</f>
        <v>34</v>
      </c>
      <c r="E756" s="142" t="s">
        <v>672</v>
      </c>
      <c r="F756" s="142" t="s">
        <v>780</v>
      </c>
      <c r="G756" s="140" t="s">
        <v>356</v>
      </c>
      <c r="H756" s="140" t="s">
        <v>321</v>
      </c>
      <c r="I756" s="142" t="s">
        <v>46</v>
      </c>
      <c r="J756" s="157">
        <v>111</v>
      </c>
      <c r="K756" s="143">
        <v>110</v>
      </c>
      <c r="L756" s="143">
        <f>K756*J756</f>
        <v>12210</v>
      </c>
      <c r="M756" s="143">
        <v>0</v>
      </c>
      <c r="N756" s="141">
        <v>45917</v>
      </c>
      <c r="O756" s="157">
        <f>WEEKNUM(N756)</f>
        <v>38</v>
      </c>
      <c r="P756" s="140"/>
      <c r="Q756" s="140" t="s">
        <v>29</v>
      </c>
      <c r="R756" s="156">
        <f>J756*0.25</f>
        <v>27.75</v>
      </c>
      <c r="S756" s="156">
        <f>PRODUCT(1.5,J756)</f>
        <v>166.5</v>
      </c>
      <c r="T756" s="156">
        <f>PRODUCT(1.5,J756)</f>
        <v>166.5</v>
      </c>
      <c r="U756" s="156">
        <f>J756*0.5</f>
        <v>55.5</v>
      </c>
      <c r="V756" s="156">
        <f>R756+S756+T756+U756</f>
        <v>416.25</v>
      </c>
    </row>
    <row r="757" spans="1:22" s="128" customFormat="1" ht="15.6" hidden="1" x14ac:dyDescent="0.3">
      <c r="A757" s="142" t="s">
        <v>477</v>
      </c>
      <c r="B757" s="142">
        <v>900</v>
      </c>
      <c r="C757" s="141">
        <v>45890</v>
      </c>
      <c r="D757" s="140">
        <f>WEEKNUM(C757)</f>
        <v>34</v>
      </c>
      <c r="E757" s="140" t="s">
        <v>475</v>
      </c>
      <c r="F757" s="140" t="s">
        <v>499</v>
      </c>
      <c r="G757" s="142" t="s">
        <v>485</v>
      </c>
      <c r="H757" s="142" t="s">
        <v>502</v>
      </c>
      <c r="I757" s="142" t="s">
        <v>46</v>
      </c>
      <c r="J757" s="157">
        <v>4000</v>
      </c>
      <c r="K757" s="143">
        <v>1</v>
      </c>
      <c r="L757" s="143">
        <f>K757*J757</f>
        <v>4000</v>
      </c>
      <c r="M757" s="143">
        <v>0</v>
      </c>
      <c r="N757" s="141">
        <v>45918</v>
      </c>
      <c r="O757" s="157">
        <f>WEEKNUM(N757)</f>
        <v>38</v>
      </c>
      <c r="P757" s="140"/>
      <c r="Q757" s="140" t="s">
        <v>29</v>
      </c>
      <c r="R757" s="143">
        <f>PRODUCT(0.25,J757)</f>
        <v>1000</v>
      </c>
      <c r="S757" s="143">
        <f>PRODUCT(1,J757)</f>
        <v>4000</v>
      </c>
      <c r="T757" s="143">
        <f>PRODUCT(1.5,J757)</f>
        <v>6000</v>
      </c>
      <c r="U757" s="143">
        <f>PRODUCT(0.5,J757)</f>
        <v>2000</v>
      </c>
      <c r="V757" s="143">
        <f>SUM(R757:U757)</f>
        <v>13000</v>
      </c>
    </row>
    <row r="758" spans="1:22" s="128" customFormat="1" ht="15.6" hidden="1" x14ac:dyDescent="0.3">
      <c r="A758" s="142" t="s">
        <v>483</v>
      </c>
      <c r="B758" s="142">
        <v>899</v>
      </c>
      <c r="C758" s="141">
        <v>45890</v>
      </c>
      <c r="D758" s="140">
        <f>WEEKNUM(C758)</f>
        <v>34</v>
      </c>
      <c r="E758" s="140" t="s">
        <v>475</v>
      </c>
      <c r="F758" s="142" t="s">
        <v>645</v>
      </c>
      <c r="G758" s="142" t="s">
        <v>218</v>
      </c>
      <c r="H758" s="140" t="s">
        <v>74</v>
      </c>
      <c r="I758" s="142" t="s">
        <v>46</v>
      </c>
      <c r="J758" s="157">
        <v>100</v>
      </c>
      <c r="K758" s="143">
        <v>26.5</v>
      </c>
      <c r="L758" s="143">
        <f>K758*J758</f>
        <v>2650</v>
      </c>
      <c r="M758" s="143">
        <v>0</v>
      </c>
      <c r="N758" s="141">
        <v>45918</v>
      </c>
      <c r="O758" s="157">
        <f>WEEKNUM(N758)</f>
        <v>38</v>
      </c>
      <c r="P758" s="140"/>
      <c r="Q758" s="140" t="s">
        <v>29</v>
      </c>
      <c r="R758" s="143">
        <f>J758*0.25</f>
        <v>25</v>
      </c>
      <c r="S758" s="143">
        <f>J758*1</f>
        <v>100</v>
      </c>
      <c r="T758" s="143">
        <f>J758*1.5</f>
        <v>150</v>
      </c>
      <c r="U758" s="143">
        <f>J758*0.5</f>
        <v>50</v>
      </c>
      <c r="V758" s="143">
        <f>R758+S758+T758+U758</f>
        <v>325</v>
      </c>
    </row>
    <row r="759" spans="1:22" s="128" customFormat="1" ht="15.6" hidden="1" x14ac:dyDescent="0.3">
      <c r="A759" s="142" t="s">
        <v>477</v>
      </c>
      <c r="B759" s="142">
        <v>258</v>
      </c>
      <c r="C759" s="141">
        <v>45890</v>
      </c>
      <c r="D759" s="140">
        <f>WEEKNUM(C759)</f>
        <v>34</v>
      </c>
      <c r="E759" s="140" t="s">
        <v>475</v>
      </c>
      <c r="F759" s="142" t="s">
        <v>843</v>
      </c>
      <c r="G759" s="142" t="s">
        <v>311</v>
      </c>
      <c r="H759" s="140" t="s">
        <v>51</v>
      </c>
      <c r="I759" s="142" t="s">
        <v>46</v>
      </c>
      <c r="J759" s="157">
        <v>100</v>
      </c>
      <c r="K759" s="143">
        <v>17</v>
      </c>
      <c r="L759" s="143">
        <f>K759*J759</f>
        <v>1700</v>
      </c>
      <c r="M759" s="143">
        <v>0</v>
      </c>
      <c r="N759" s="141">
        <v>45905</v>
      </c>
      <c r="O759" s="157">
        <f>WEEKNUM(N759)</f>
        <v>36</v>
      </c>
      <c r="P759" s="140"/>
      <c r="Q759" s="140" t="s">
        <v>29</v>
      </c>
      <c r="R759" s="143">
        <f>J759*0.25</f>
        <v>25</v>
      </c>
      <c r="S759" s="143">
        <f>J759*0.5</f>
        <v>50</v>
      </c>
      <c r="T759" s="143">
        <f>J759*1.3</f>
        <v>130</v>
      </c>
      <c r="U759" s="143">
        <f>J759*0.5</f>
        <v>50</v>
      </c>
      <c r="V759" s="143">
        <f>R759+S759+T759+U759</f>
        <v>255</v>
      </c>
    </row>
    <row r="760" spans="1:22" s="128" customFormat="1" ht="15.6" hidden="1" x14ac:dyDescent="0.3">
      <c r="A760" s="142" t="s">
        <v>477</v>
      </c>
      <c r="B760" s="142">
        <v>901</v>
      </c>
      <c r="C760" s="141">
        <v>45891</v>
      </c>
      <c r="D760" s="140">
        <f>WEEKNUM(C760)</f>
        <v>34</v>
      </c>
      <c r="E760" s="140" t="s">
        <v>475</v>
      </c>
      <c r="F760" s="142" t="s">
        <v>711</v>
      </c>
      <c r="G760" s="142" t="s">
        <v>311</v>
      </c>
      <c r="H760" s="140" t="s">
        <v>51</v>
      </c>
      <c r="I760" s="142" t="s">
        <v>46</v>
      </c>
      <c r="J760" s="157">
        <v>150</v>
      </c>
      <c r="K760" s="143">
        <v>17</v>
      </c>
      <c r="L760" s="143">
        <f>K760*J760</f>
        <v>2550</v>
      </c>
      <c r="M760" s="143">
        <v>0</v>
      </c>
      <c r="N760" s="141">
        <v>45919</v>
      </c>
      <c r="O760" s="157">
        <f>WEEKNUM(N760)</f>
        <v>38</v>
      </c>
      <c r="P760" s="140"/>
      <c r="Q760" s="140" t="s">
        <v>29</v>
      </c>
      <c r="R760" s="143">
        <f>J760*0.25</f>
        <v>37.5</v>
      </c>
      <c r="S760" s="143">
        <f>J760*0.5</f>
        <v>75</v>
      </c>
      <c r="T760" s="143">
        <f>J760*1.3</f>
        <v>195</v>
      </c>
      <c r="U760" s="143">
        <f>J760*0.5</f>
        <v>75</v>
      </c>
      <c r="V760" s="143">
        <f>R760+S760+T760+U760</f>
        <v>382.5</v>
      </c>
    </row>
    <row r="761" spans="1:22" s="128" customFormat="1" ht="15.6" hidden="1" x14ac:dyDescent="0.3">
      <c r="A761" s="142" t="s">
        <v>477</v>
      </c>
      <c r="B761" s="142">
        <v>902</v>
      </c>
      <c r="C761" s="141">
        <v>45891</v>
      </c>
      <c r="D761" s="140">
        <f>WEEKNUM(C761)</f>
        <v>34</v>
      </c>
      <c r="E761" s="142" t="s">
        <v>498</v>
      </c>
      <c r="F761" s="140" t="s">
        <v>459</v>
      </c>
      <c r="G761" s="142" t="s">
        <v>218</v>
      </c>
      <c r="H761" s="140" t="s">
        <v>74</v>
      </c>
      <c r="I761" s="142" t="s">
        <v>46</v>
      </c>
      <c r="J761" s="157">
        <v>35</v>
      </c>
      <c r="K761" s="143">
        <v>45</v>
      </c>
      <c r="L761" s="143">
        <f>K761*J761</f>
        <v>1575</v>
      </c>
      <c r="M761" s="143">
        <v>0</v>
      </c>
      <c r="N761" s="141">
        <v>45919</v>
      </c>
      <c r="O761" s="157">
        <f>WEEKNUM(N761)</f>
        <v>38</v>
      </c>
      <c r="P761" s="140"/>
      <c r="Q761" s="140" t="s">
        <v>29</v>
      </c>
      <c r="R761" s="143">
        <f>J761*0.25</f>
        <v>8.75</v>
      </c>
      <c r="S761" s="143">
        <f>J761*1</f>
        <v>35</v>
      </c>
      <c r="T761" s="143">
        <f>J761*1.5</f>
        <v>52.5</v>
      </c>
      <c r="U761" s="143">
        <f>J761*0.5</f>
        <v>17.5</v>
      </c>
      <c r="V761" s="143">
        <f>R761+S761+T761+U761</f>
        <v>113.75</v>
      </c>
    </row>
    <row r="762" spans="1:22" s="128" customFormat="1" ht="15.6" hidden="1" x14ac:dyDescent="0.3">
      <c r="A762" s="142" t="s">
        <v>477</v>
      </c>
      <c r="B762" s="142">
        <v>903</v>
      </c>
      <c r="C762" s="141">
        <v>45891</v>
      </c>
      <c r="D762" s="140">
        <f>WEEKNUM(C762)</f>
        <v>34</v>
      </c>
      <c r="E762" s="140" t="s">
        <v>475</v>
      </c>
      <c r="F762" s="140" t="s">
        <v>940</v>
      </c>
      <c r="G762" s="140" t="s">
        <v>480</v>
      </c>
      <c r="H762" s="140" t="s">
        <v>51</v>
      </c>
      <c r="I762" s="142" t="s">
        <v>46</v>
      </c>
      <c r="J762" s="157">
        <v>100</v>
      </c>
      <c r="K762" s="143">
        <v>19.5</v>
      </c>
      <c r="L762" s="143">
        <f>K762*J762</f>
        <v>1950</v>
      </c>
      <c r="M762" s="143">
        <v>0</v>
      </c>
      <c r="N762" s="141">
        <v>45919</v>
      </c>
      <c r="O762" s="157">
        <f>WEEKNUM(N762)</f>
        <v>38</v>
      </c>
      <c r="P762" s="140"/>
      <c r="Q762" s="140" t="s">
        <v>29</v>
      </c>
      <c r="R762" s="143">
        <f>J762*0.25</f>
        <v>25</v>
      </c>
      <c r="S762" s="143">
        <f>J762*0.5</f>
        <v>50</v>
      </c>
      <c r="T762" s="143">
        <f>J762*1.3</f>
        <v>130</v>
      </c>
      <c r="U762" s="143">
        <f>J762*0.5</f>
        <v>50</v>
      </c>
      <c r="V762" s="143">
        <f>R762+S762+T762+U762</f>
        <v>255</v>
      </c>
    </row>
    <row r="763" spans="1:22" s="128" customFormat="1" ht="15.6" hidden="1" x14ac:dyDescent="0.3">
      <c r="A763" s="142" t="s">
        <v>477</v>
      </c>
      <c r="B763" s="142">
        <v>903</v>
      </c>
      <c r="C763" s="141">
        <v>45891</v>
      </c>
      <c r="D763" s="140">
        <f>WEEKNUM(C763)</f>
        <v>34</v>
      </c>
      <c r="E763" s="140" t="s">
        <v>475</v>
      </c>
      <c r="F763" s="140" t="s">
        <v>940</v>
      </c>
      <c r="G763" s="140" t="s">
        <v>480</v>
      </c>
      <c r="H763" s="140" t="s">
        <v>51</v>
      </c>
      <c r="I763" s="142" t="s">
        <v>46</v>
      </c>
      <c r="J763" s="157">
        <v>100</v>
      </c>
      <c r="K763" s="143">
        <v>18</v>
      </c>
      <c r="L763" s="143">
        <f>K763*J763</f>
        <v>1800</v>
      </c>
      <c r="M763" s="143">
        <v>0</v>
      </c>
      <c r="N763" s="141">
        <v>45919</v>
      </c>
      <c r="O763" s="157">
        <f>WEEKNUM(N763)</f>
        <v>38</v>
      </c>
      <c r="P763" s="140"/>
      <c r="Q763" s="140" t="s">
        <v>29</v>
      </c>
      <c r="R763" s="143">
        <f>J763*0.25</f>
        <v>25</v>
      </c>
      <c r="S763" s="143">
        <v>0</v>
      </c>
      <c r="T763" s="143">
        <f>J763*1.3</f>
        <v>130</v>
      </c>
      <c r="U763" s="143">
        <f>J763*0.5</f>
        <v>50</v>
      </c>
      <c r="V763" s="143">
        <f>R763+S763+T763+U763</f>
        <v>205</v>
      </c>
    </row>
    <row r="764" spans="1:22" s="128" customFormat="1" ht="15.6" hidden="1" x14ac:dyDescent="0.3">
      <c r="A764" s="142" t="s">
        <v>477</v>
      </c>
      <c r="B764" s="142">
        <v>904</v>
      </c>
      <c r="C764" s="141">
        <v>45894</v>
      </c>
      <c r="D764" s="140">
        <f>WEEKNUM(C764)</f>
        <v>35</v>
      </c>
      <c r="E764" s="140" t="s">
        <v>475</v>
      </c>
      <c r="F764" s="140" t="s">
        <v>568</v>
      </c>
      <c r="G764" s="142" t="s">
        <v>301</v>
      </c>
      <c r="H764" s="140" t="s">
        <v>74</v>
      </c>
      <c r="I764" s="142" t="s">
        <v>46</v>
      </c>
      <c r="J764" s="157">
        <v>60</v>
      </c>
      <c r="K764" s="143">
        <v>37</v>
      </c>
      <c r="L764" s="143">
        <f>K764*J764</f>
        <v>2220</v>
      </c>
      <c r="M764" s="143">
        <v>0</v>
      </c>
      <c r="N764" s="141">
        <v>45919</v>
      </c>
      <c r="O764" s="157">
        <f>WEEKNUM(N764)</f>
        <v>38</v>
      </c>
      <c r="P764" s="140"/>
      <c r="Q764" s="140" t="s">
        <v>29</v>
      </c>
      <c r="R764" s="143">
        <f>J764*0.25</f>
        <v>15</v>
      </c>
      <c r="S764" s="143">
        <f>J764*1</f>
        <v>60</v>
      </c>
      <c r="T764" s="143">
        <f>J764*1.5</f>
        <v>90</v>
      </c>
      <c r="U764" s="143">
        <f>J764*0.5</f>
        <v>30</v>
      </c>
      <c r="V764" s="143">
        <f>R764+S764+T764+U764</f>
        <v>195</v>
      </c>
    </row>
    <row r="765" spans="1:22" s="128" customFormat="1" ht="15.6" hidden="1" x14ac:dyDescent="0.3">
      <c r="A765" s="160" t="s">
        <v>477</v>
      </c>
      <c r="B765" s="142">
        <v>904</v>
      </c>
      <c r="C765" s="141">
        <v>45894</v>
      </c>
      <c r="D765" s="140">
        <f>WEEKNUM(C765)</f>
        <v>35</v>
      </c>
      <c r="E765" s="140" t="s">
        <v>475</v>
      </c>
      <c r="F765" s="140" t="s">
        <v>568</v>
      </c>
      <c r="G765" s="142" t="s">
        <v>576</v>
      </c>
      <c r="H765" s="142" t="s">
        <v>577</v>
      </c>
      <c r="I765" s="142" t="s">
        <v>46</v>
      </c>
      <c r="J765" s="157">
        <v>10</v>
      </c>
      <c r="K765" s="143">
        <v>199</v>
      </c>
      <c r="L765" s="143">
        <f>K765*J765</f>
        <v>1990</v>
      </c>
      <c r="M765" s="143">
        <v>0</v>
      </c>
      <c r="N765" s="141">
        <v>45919</v>
      </c>
      <c r="O765" s="157">
        <f>WEEKNUM(N765)</f>
        <v>38</v>
      </c>
      <c r="P765" s="140"/>
      <c r="Q765" s="140" t="s">
        <v>29</v>
      </c>
      <c r="R765" s="143">
        <f>J765*0.25</f>
        <v>2.5</v>
      </c>
      <c r="S765" s="143"/>
      <c r="T765" s="143"/>
      <c r="U765" s="143">
        <f>J765*0.5</f>
        <v>5</v>
      </c>
      <c r="V765" s="143"/>
    </row>
    <row r="766" spans="1:22" s="128" customFormat="1" ht="15.6" hidden="1" x14ac:dyDescent="0.3">
      <c r="A766" s="142" t="s">
        <v>481</v>
      </c>
      <c r="B766" s="142">
        <v>260</v>
      </c>
      <c r="C766" s="141">
        <v>45895</v>
      </c>
      <c r="D766" s="140">
        <f>WEEKNUM(C766)</f>
        <v>35</v>
      </c>
      <c r="E766" s="140" t="s">
        <v>475</v>
      </c>
      <c r="F766" s="143" t="s">
        <v>777</v>
      </c>
      <c r="G766" s="143" t="s">
        <v>301</v>
      </c>
      <c r="H766" s="140" t="s">
        <v>74</v>
      </c>
      <c r="I766" s="143" t="s">
        <v>46</v>
      </c>
      <c r="J766" s="157">
        <v>10</v>
      </c>
      <c r="K766" s="143">
        <v>47</v>
      </c>
      <c r="L766" s="143">
        <f>K766*J766</f>
        <v>470</v>
      </c>
      <c r="M766" s="143">
        <v>0</v>
      </c>
      <c r="N766" s="141">
        <v>45905</v>
      </c>
      <c r="O766" s="157">
        <f>WEEKNUM(N766)</f>
        <v>36</v>
      </c>
      <c r="P766" s="140"/>
      <c r="Q766" s="140" t="s">
        <v>29</v>
      </c>
      <c r="R766" s="143">
        <f>J766*0.25</f>
        <v>2.5</v>
      </c>
      <c r="S766" s="143">
        <f>J766*1</f>
        <v>10</v>
      </c>
      <c r="T766" s="143">
        <f>J766*1.5</f>
        <v>15</v>
      </c>
      <c r="U766" s="143">
        <f>J766*0.5</f>
        <v>5</v>
      </c>
      <c r="V766" s="143">
        <f>R766+S766+T766+U766</f>
        <v>32.5</v>
      </c>
    </row>
    <row r="767" spans="1:22" s="128" customFormat="1" ht="15.6" hidden="1" x14ac:dyDescent="0.3">
      <c r="A767" s="142" t="s">
        <v>481</v>
      </c>
      <c r="B767" s="142">
        <v>260</v>
      </c>
      <c r="C767" s="141">
        <v>45895</v>
      </c>
      <c r="D767" s="140">
        <f>WEEKNUM(C767)</f>
        <v>35</v>
      </c>
      <c r="E767" s="140" t="s">
        <v>475</v>
      </c>
      <c r="F767" s="143" t="s">
        <v>777</v>
      </c>
      <c r="G767" s="143" t="s">
        <v>578</v>
      </c>
      <c r="H767" s="140" t="s">
        <v>354</v>
      </c>
      <c r="I767" s="143" t="s">
        <v>46</v>
      </c>
      <c r="J767" s="157">
        <v>20</v>
      </c>
      <c r="K767" s="143">
        <v>47</v>
      </c>
      <c r="L767" s="143">
        <f>K767*J767</f>
        <v>940</v>
      </c>
      <c r="M767" s="143">
        <v>0</v>
      </c>
      <c r="N767" s="141">
        <v>45905</v>
      </c>
      <c r="O767" s="157">
        <f>WEEKNUM(N767)</f>
        <v>36</v>
      </c>
      <c r="P767" s="140"/>
      <c r="Q767" s="140" t="s">
        <v>29</v>
      </c>
      <c r="R767" s="143">
        <f>J767*0.25</f>
        <v>5</v>
      </c>
      <c r="S767" s="143">
        <f>J767*1</f>
        <v>20</v>
      </c>
      <c r="T767" s="143">
        <f>J767*1.5</f>
        <v>30</v>
      </c>
      <c r="U767" s="143">
        <f>J767*0.5</f>
        <v>10</v>
      </c>
      <c r="V767" s="143">
        <f>R767+S767+T767+U767</f>
        <v>65</v>
      </c>
    </row>
    <row r="768" spans="1:22" s="128" customFormat="1" ht="15.6" hidden="1" x14ac:dyDescent="0.3">
      <c r="A768" s="142" t="s">
        <v>496</v>
      </c>
      <c r="B768" s="142">
        <v>259</v>
      </c>
      <c r="C768" s="141">
        <v>45895</v>
      </c>
      <c r="D768" s="140">
        <f>WEEKNUM(C768)</f>
        <v>35</v>
      </c>
      <c r="E768" s="140" t="s">
        <v>475</v>
      </c>
      <c r="F768" s="142" t="s">
        <v>722</v>
      </c>
      <c r="G768" s="142" t="s">
        <v>218</v>
      </c>
      <c r="H768" s="140" t="s">
        <v>74</v>
      </c>
      <c r="I768" s="142" t="s">
        <v>46</v>
      </c>
      <c r="J768" s="157">
        <v>90</v>
      </c>
      <c r="K768" s="143">
        <v>28.5</v>
      </c>
      <c r="L768" s="143">
        <f>K768*J768</f>
        <v>2565</v>
      </c>
      <c r="M768" s="143">
        <v>0</v>
      </c>
      <c r="N768" s="141">
        <v>45919</v>
      </c>
      <c r="O768" s="157">
        <f>WEEKNUM(N768)</f>
        <v>38</v>
      </c>
      <c r="P768" s="140"/>
      <c r="Q768" s="140" t="s">
        <v>29</v>
      </c>
      <c r="R768" s="143">
        <f>J768*0.25</f>
        <v>22.5</v>
      </c>
      <c r="S768" s="143">
        <f>J768*1</f>
        <v>90</v>
      </c>
      <c r="T768" s="143">
        <f>J768*1.5</f>
        <v>135</v>
      </c>
      <c r="U768" s="143">
        <f>J768*0.5</f>
        <v>45</v>
      </c>
      <c r="V768" s="143">
        <f>R768+S768+T768+U768</f>
        <v>292.5</v>
      </c>
    </row>
    <row r="769" spans="1:22" s="128" customFormat="1" ht="15.6" hidden="1" x14ac:dyDescent="0.3">
      <c r="A769" s="142" t="s">
        <v>496</v>
      </c>
      <c r="B769" s="142">
        <v>259</v>
      </c>
      <c r="C769" s="141">
        <v>45895</v>
      </c>
      <c r="D769" s="140">
        <f>WEEKNUM(C769)</f>
        <v>35</v>
      </c>
      <c r="E769" s="140" t="s">
        <v>475</v>
      </c>
      <c r="F769" s="142" t="s">
        <v>722</v>
      </c>
      <c r="G769" s="142" t="s">
        <v>723</v>
      </c>
      <c r="H769" s="140" t="s">
        <v>74</v>
      </c>
      <c r="I769" s="142" t="s">
        <v>46</v>
      </c>
      <c r="J769" s="157">
        <v>10</v>
      </c>
      <c r="K769" s="143">
        <v>37</v>
      </c>
      <c r="L769" s="143">
        <f>K769*J769</f>
        <v>370</v>
      </c>
      <c r="M769" s="143">
        <v>0</v>
      </c>
      <c r="N769" s="141">
        <v>45919</v>
      </c>
      <c r="O769" s="157">
        <f>WEEKNUM(N769)</f>
        <v>38</v>
      </c>
      <c r="P769" s="140"/>
      <c r="Q769" s="140" t="s">
        <v>29</v>
      </c>
      <c r="R769" s="143">
        <f>J769*0.25</f>
        <v>2.5</v>
      </c>
      <c r="S769" s="143">
        <f>J769*1</f>
        <v>10</v>
      </c>
      <c r="T769" s="143">
        <f>J769*1.5</f>
        <v>15</v>
      </c>
      <c r="U769" s="143">
        <f>J769*0.5</f>
        <v>5</v>
      </c>
      <c r="V769" s="143">
        <f>R769+S769+T769+U769</f>
        <v>32.5</v>
      </c>
    </row>
    <row r="770" spans="1:22" s="128" customFormat="1" ht="15.6" hidden="1" x14ac:dyDescent="0.3">
      <c r="A770" s="142" t="s">
        <v>483</v>
      </c>
      <c r="B770" s="142">
        <v>262</v>
      </c>
      <c r="C770" s="141">
        <v>45895</v>
      </c>
      <c r="D770" s="140">
        <f>WEEKNUM(C770)</f>
        <v>35</v>
      </c>
      <c r="E770" s="140" t="s">
        <v>475</v>
      </c>
      <c r="F770" s="142" t="s">
        <v>803</v>
      </c>
      <c r="G770" s="142" t="s">
        <v>487</v>
      </c>
      <c r="H770" s="140" t="s">
        <v>51</v>
      </c>
      <c r="I770" s="142" t="s">
        <v>46</v>
      </c>
      <c r="J770" s="157">
        <v>100</v>
      </c>
      <c r="K770" s="143">
        <v>27</v>
      </c>
      <c r="L770" s="143">
        <f>K770*J770</f>
        <v>2700</v>
      </c>
      <c r="M770" s="143">
        <v>0</v>
      </c>
      <c r="N770" s="141">
        <v>45922</v>
      </c>
      <c r="O770" s="157">
        <f>WEEKNUM(N770)</f>
        <v>39</v>
      </c>
      <c r="P770" s="140"/>
      <c r="Q770" s="140" t="s">
        <v>29</v>
      </c>
      <c r="R770" s="143">
        <f>J770*0.25</f>
        <v>25</v>
      </c>
      <c r="S770" s="143">
        <f>J770*0.5</f>
        <v>50</v>
      </c>
      <c r="T770" s="143">
        <f>J770*1.3</f>
        <v>130</v>
      </c>
      <c r="U770" s="143">
        <f>J770*0.5</f>
        <v>50</v>
      </c>
      <c r="V770" s="143">
        <f>R770+S770+T770+U770</f>
        <v>255</v>
      </c>
    </row>
    <row r="771" spans="1:22" s="128" customFormat="1" ht="15.6" hidden="1" x14ac:dyDescent="0.3">
      <c r="A771" s="142" t="s">
        <v>477</v>
      </c>
      <c r="B771" s="142">
        <v>261</v>
      </c>
      <c r="C771" s="141">
        <v>45895</v>
      </c>
      <c r="D771" s="140">
        <f>WEEKNUM(C771)</f>
        <v>35</v>
      </c>
      <c r="E771" s="140" t="s">
        <v>478</v>
      </c>
      <c r="F771" s="142" t="s">
        <v>832</v>
      </c>
      <c r="G771" s="142" t="s">
        <v>833</v>
      </c>
      <c r="H771" s="142" t="s">
        <v>95</v>
      </c>
      <c r="I771" s="142" t="s">
        <v>46</v>
      </c>
      <c r="J771" s="157">
        <v>100</v>
      </c>
      <c r="K771" s="143">
        <v>12</v>
      </c>
      <c r="L771" s="143">
        <f>K771*J771</f>
        <v>1200</v>
      </c>
      <c r="M771" s="143">
        <v>0</v>
      </c>
      <c r="N771" s="141">
        <v>45922</v>
      </c>
      <c r="O771" s="157">
        <f>WEEKNUM(N771)</f>
        <v>39</v>
      </c>
      <c r="P771" s="140"/>
      <c r="Q771" s="140" t="s">
        <v>29</v>
      </c>
      <c r="R771" s="143">
        <f>J771*1</f>
        <v>100</v>
      </c>
      <c r="S771" s="143">
        <f>J771*0.6</f>
        <v>60</v>
      </c>
      <c r="T771" s="143">
        <f>J771*0.7</f>
        <v>70</v>
      </c>
      <c r="U771" s="143">
        <f>J771*1</f>
        <v>100</v>
      </c>
      <c r="V771" s="143">
        <f>R771+S771+T771+U771</f>
        <v>330</v>
      </c>
    </row>
    <row r="772" spans="1:22" s="128" customFormat="1" ht="15.6" hidden="1" x14ac:dyDescent="0.3">
      <c r="A772" s="142" t="s">
        <v>496</v>
      </c>
      <c r="B772" s="142">
        <v>905</v>
      </c>
      <c r="C772" s="141">
        <v>45895</v>
      </c>
      <c r="D772" s="140">
        <f>WEEKNUM(C772)</f>
        <v>35</v>
      </c>
      <c r="E772" s="142" t="s">
        <v>498</v>
      </c>
      <c r="F772" s="142" t="s">
        <v>956</v>
      </c>
      <c r="G772" s="142" t="s">
        <v>487</v>
      </c>
      <c r="H772" s="140" t="s">
        <v>51</v>
      </c>
      <c r="I772" s="142" t="s">
        <v>46</v>
      </c>
      <c r="J772" s="157">
        <v>100</v>
      </c>
      <c r="K772" s="143">
        <v>27</v>
      </c>
      <c r="L772" s="143">
        <f>K772*J772</f>
        <v>2700</v>
      </c>
      <c r="M772" s="143">
        <v>0</v>
      </c>
      <c r="N772" s="141">
        <v>45922</v>
      </c>
      <c r="O772" s="157">
        <f>WEEKNUM(N772)</f>
        <v>39</v>
      </c>
      <c r="P772" s="140"/>
      <c r="Q772" s="140" t="s">
        <v>29</v>
      </c>
      <c r="R772" s="143">
        <f>J772*0.25</f>
        <v>25</v>
      </c>
      <c r="S772" s="143">
        <f>J772*1</f>
        <v>100</v>
      </c>
      <c r="T772" s="143">
        <f>J772*1.84</f>
        <v>184</v>
      </c>
      <c r="U772" s="143">
        <f>J772*0.5</f>
        <v>50</v>
      </c>
      <c r="V772" s="143">
        <f>R772+S772+T772+U772</f>
        <v>359</v>
      </c>
    </row>
    <row r="773" spans="1:22" s="128" customFormat="1" ht="15.6" hidden="1" x14ac:dyDescent="0.3">
      <c r="A773" s="142" t="s">
        <v>496</v>
      </c>
      <c r="B773" s="142">
        <v>905</v>
      </c>
      <c r="C773" s="141">
        <v>45895</v>
      </c>
      <c r="D773" s="140">
        <f>WEEKNUM(C773)</f>
        <v>35</v>
      </c>
      <c r="E773" s="142" t="s">
        <v>498</v>
      </c>
      <c r="F773" s="142" t="s">
        <v>956</v>
      </c>
      <c r="G773" s="142" t="s">
        <v>606</v>
      </c>
      <c r="H773" s="140" t="s">
        <v>74</v>
      </c>
      <c r="I773" s="142" t="s">
        <v>46</v>
      </c>
      <c r="J773" s="157">
        <v>100</v>
      </c>
      <c r="K773" s="143">
        <v>32</v>
      </c>
      <c r="L773" s="143">
        <f>K773*J773</f>
        <v>3200</v>
      </c>
      <c r="M773" s="143">
        <v>0</v>
      </c>
      <c r="N773" s="141">
        <v>45922</v>
      </c>
      <c r="O773" s="157">
        <f>WEEKNUM(N773)</f>
        <v>39</v>
      </c>
      <c r="P773" s="140"/>
      <c r="Q773" s="140" t="s">
        <v>29</v>
      </c>
      <c r="R773" s="143">
        <f>J773*0.25</f>
        <v>25</v>
      </c>
      <c r="S773" s="143">
        <f>J773*1</f>
        <v>100</v>
      </c>
      <c r="T773" s="143">
        <f>J773*1.84</f>
        <v>184</v>
      </c>
      <c r="U773" s="143">
        <f>J773*0.5</f>
        <v>50</v>
      </c>
      <c r="V773" s="143">
        <f>R773+S773+T773+U773</f>
        <v>359</v>
      </c>
    </row>
    <row r="774" spans="1:22" s="128" customFormat="1" ht="15.6" hidden="1" x14ac:dyDescent="0.3">
      <c r="A774" s="142" t="s">
        <v>496</v>
      </c>
      <c r="B774" s="142">
        <v>905</v>
      </c>
      <c r="C774" s="141">
        <v>45895</v>
      </c>
      <c r="D774" s="140">
        <f>WEEKNUM(C774)</f>
        <v>35</v>
      </c>
      <c r="E774" s="142" t="s">
        <v>498</v>
      </c>
      <c r="F774" s="142" t="s">
        <v>956</v>
      </c>
      <c r="G774" s="142" t="s">
        <v>559</v>
      </c>
      <c r="H774" s="142" t="s">
        <v>38</v>
      </c>
      <c r="I774" s="142" t="s">
        <v>46</v>
      </c>
      <c r="J774" s="157">
        <v>50</v>
      </c>
      <c r="K774" s="143">
        <v>65</v>
      </c>
      <c r="L774" s="143">
        <f>K774*J774</f>
        <v>3250</v>
      </c>
      <c r="M774" s="143">
        <v>0</v>
      </c>
      <c r="N774" s="141">
        <v>45922</v>
      </c>
      <c r="O774" s="157">
        <f>WEEKNUM(N774)</f>
        <v>39</v>
      </c>
      <c r="P774" s="140"/>
      <c r="Q774" s="140" t="s">
        <v>29</v>
      </c>
      <c r="R774" s="143">
        <f>J774*0.25</f>
        <v>12.5</v>
      </c>
      <c r="S774" s="143">
        <f>J774*1</f>
        <v>50</v>
      </c>
      <c r="T774" s="143">
        <f>J774*1.84</f>
        <v>92</v>
      </c>
      <c r="U774" s="143">
        <f>J774*0.5</f>
        <v>25</v>
      </c>
      <c r="V774" s="143">
        <f>R774+S774+T774+U774</f>
        <v>179.5</v>
      </c>
    </row>
    <row r="775" spans="1:22" s="128" customFormat="1" ht="15.6" hidden="1" x14ac:dyDescent="0.3">
      <c r="A775" s="142" t="s">
        <v>496</v>
      </c>
      <c r="B775" s="142">
        <v>905</v>
      </c>
      <c r="C775" s="141">
        <v>45895</v>
      </c>
      <c r="D775" s="140">
        <f>WEEKNUM(C775)</f>
        <v>35</v>
      </c>
      <c r="E775" s="142" t="s">
        <v>498</v>
      </c>
      <c r="F775" s="142" t="s">
        <v>956</v>
      </c>
      <c r="G775" s="142" t="s">
        <v>957</v>
      </c>
      <c r="H775" s="140" t="s">
        <v>60</v>
      </c>
      <c r="I775" s="142" t="s">
        <v>61</v>
      </c>
      <c r="J775" s="157">
        <v>100</v>
      </c>
      <c r="K775" s="143">
        <v>13</v>
      </c>
      <c r="L775" s="143">
        <f>K775*J775</f>
        <v>1300</v>
      </c>
      <c r="M775" s="143">
        <v>0</v>
      </c>
      <c r="N775" s="141">
        <v>45922</v>
      </c>
      <c r="O775" s="157">
        <f>WEEKNUM(N775)</f>
        <v>39</v>
      </c>
      <c r="P775" s="140"/>
      <c r="Q775" s="140" t="s">
        <v>29</v>
      </c>
      <c r="R775" s="143">
        <f>J775*0.25</f>
        <v>25</v>
      </c>
      <c r="S775" s="143">
        <f>J775*0.7</f>
        <v>70</v>
      </c>
      <c r="T775" s="143">
        <f>J775*2.5</f>
        <v>250</v>
      </c>
      <c r="U775" s="143">
        <f>J775*0.5</f>
        <v>50</v>
      </c>
      <c r="V775" s="143">
        <f>R775+S775+T775+U775</f>
        <v>395</v>
      </c>
    </row>
    <row r="776" spans="1:22" s="128" customFormat="1" ht="15.6" hidden="1" x14ac:dyDescent="0.3">
      <c r="A776" s="142" t="s">
        <v>483</v>
      </c>
      <c r="B776" s="142">
        <v>263</v>
      </c>
      <c r="C776" s="141">
        <v>45895</v>
      </c>
      <c r="D776" s="140">
        <f>WEEKNUM(C776)</f>
        <v>35</v>
      </c>
      <c r="E776" s="140" t="s">
        <v>475</v>
      </c>
      <c r="F776" s="142" t="s">
        <v>991</v>
      </c>
      <c r="G776" s="142" t="s">
        <v>311</v>
      </c>
      <c r="H776" s="140" t="s">
        <v>51</v>
      </c>
      <c r="I776" s="142" t="s">
        <v>46</v>
      </c>
      <c r="J776" s="157">
        <v>50</v>
      </c>
      <c r="K776" s="143">
        <v>20</v>
      </c>
      <c r="L776" s="143">
        <f>K776*J776</f>
        <v>1000</v>
      </c>
      <c r="M776" s="143">
        <v>0</v>
      </c>
      <c r="N776" s="141">
        <v>45922</v>
      </c>
      <c r="O776" s="157">
        <f>WEEKNUM(N776)</f>
        <v>39</v>
      </c>
      <c r="P776" s="140"/>
      <c r="Q776" s="140" t="s">
        <v>29</v>
      </c>
      <c r="R776" s="143">
        <f>J776*0.25</f>
        <v>12.5</v>
      </c>
      <c r="S776" s="143">
        <f>J776*0.5</f>
        <v>25</v>
      </c>
      <c r="T776" s="143">
        <f>J776*1.3</f>
        <v>65</v>
      </c>
      <c r="U776" s="143">
        <f>J776*0.5</f>
        <v>25</v>
      </c>
      <c r="V776" s="143">
        <f>R776+S776+T776+U776</f>
        <v>127.5</v>
      </c>
    </row>
    <row r="777" spans="1:22" s="128" customFormat="1" ht="15.6" hidden="1" x14ac:dyDescent="0.3">
      <c r="A777" s="142" t="s">
        <v>477</v>
      </c>
      <c r="B777" s="142">
        <v>906</v>
      </c>
      <c r="C777" s="141">
        <v>45896</v>
      </c>
      <c r="D777" s="140">
        <f>WEEKNUM(C777)</f>
        <v>35</v>
      </c>
      <c r="E777" s="140" t="s">
        <v>475</v>
      </c>
      <c r="F777" s="140" t="s">
        <v>568</v>
      </c>
      <c r="G777" s="142" t="s">
        <v>301</v>
      </c>
      <c r="H777" s="140" t="s">
        <v>74</v>
      </c>
      <c r="I777" s="142" t="s">
        <v>46</v>
      </c>
      <c r="J777" s="157">
        <v>10</v>
      </c>
      <c r="K777" s="143">
        <v>37</v>
      </c>
      <c r="L777" s="143">
        <f>K777*J777</f>
        <v>370</v>
      </c>
      <c r="M777" s="143">
        <v>0</v>
      </c>
      <c r="N777" s="141">
        <v>45923</v>
      </c>
      <c r="O777" s="157">
        <f>WEEKNUM(N777)</f>
        <v>39</v>
      </c>
      <c r="P777" s="140"/>
      <c r="Q777" s="140" t="s">
        <v>29</v>
      </c>
      <c r="R777" s="143">
        <f>J777*0.25</f>
        <v>2.5</v>
      </c>
      <c r="S777" s="143">
        <f>J777*1</f>
        <v>10</v>
      </c>
      <c r="T777" s="143">
        <f>J777*1.5</f>
        <v>15</v>
      </c>
      <c r="U777" s="143">
        <f>J777*0.5</f>
        <v>5</v>
      </c>
      <c r="V777" s="143">
        <f>R777+S777+T777+U777</f>
        <v>32.5</v>
      </c>
    </row>
    <row r="778" spans="1:22" s="128" customFormat="1" ht="15.6" hidden="1" x14ac:dyDescent="0.3">
      <c r="A778" s="142" t="s">
        <v>477</v>
      </c>
      <c r="B778" s="142">
        <v>906</v>
      </c>
      <c r="C778" s="141">
        <v>45896</v>
      </c>
      <c r="D778" s="140">
        <f>WEEKNUM(C778)</f>
        <v>35</v>
      </c>
      <c r="E778" s="140" t="s">
        <v>475</v>
      </c>
      <c r="F778" s="140" t="s">
        <v>568</v>
      </c>
      <c r="G778" s="142" t="s">
        <v>578</v>
      </c>
      <c r="H778" s="140" t="s">
        <v>354</v>
      </c>
      <c r="I778" s="142" t="s">
        <v>46</v>
      </c>
      <c r="J778" s="157">
        <v>28</v>
      </c>
      <c r="K778" s="143">
        <v>37</v>
      </c>
      <c r="L778" s="143">
        <f>K778*J778</f>
        <v>1036</v>
      </c>
      <c r="M778" s="143">
        <v>0</v>
      </c>
      <c r="N778" s="141">
        <v>45923</v>
      </c>
      <c r="O778" s="157">
        <f>WEEKNUM(N778)</f>
        <v>39</v>
      </c>
      <c r="P778" s="140"/>
      <c r="Q778" s="140" t="s">
        <v>29</v>
      </c>
      <c r="R778" s="143">
        <f>J778*0.25</f>
        <v>7</v>
      </c>
      <c r="S778" s="143">
        <f>J778*1</f>
        <v>28</v>
      </c>
      <c r="T778" s="143">
        <f>J778*1.5</f>
        <v>42</v>
      </c>
      <c r="U778" s="143">
        <f>J778*0.5</f>
        <v>14</v>
      </c>
      <c r="V778" s="143">
        <f>R778+S778+T778+U778</f>
        <v>91</v>
      </c>
    </row>
    <row r="779" spans="1:22" s="128" customFormat="1" ht="15.6" hidden="1" x14ac:dyDescent="0.3">
      <c r="A779" s="142" t="s">
        <v>477</v>
      </c>
      <c r="B779" s="142">
        <v>265</v>
      </c>
      <c r="C779" s="141">
        <v>45896</v>
      </c>
      <c r="D779" s="140">
        <f>WEEKNUM(C779)</f>
        <v>35</v>
      </c>
      <c r="E779" s="142" t="s">
        <v>55</v>
      </c>
      <c r="F779" s="142" t="s">
        <v>652</v>
      </c>
      <c r="G779" s="142" t="s">
        <v>655</v>
      </c>
      <c r="H779" s="142" t="s">
        <v>95</v>
      </c>
      <c r="I779" s="142" t="s">
        <v>46</v>
      </c>
      <c r="J779" s="157">
        <v>600</v>
      </c>
      <c r="K779" s="143">
        <v>6.5</v>
      </c>
      <c r="L779" s="143">
        <f>K779*J779</f>
        <v>3900</v>
      </c>
      <c r="M779" s="143">
        <v>0</v>
      </c>
      <c r="N779" s="141">
        <v>45923</v>
      </c>
      <c r="O779" s="157">
        <f>WEEKNUM(N779)</f>
        <v>39</v>
      </c>
      <c r="P779" s="157">
        <v>38</v>
      </c>
      <c r="Q779" s="140" t="s">
        <v>29</v>
      </c>
      <c r="R779" s="143">
        <f>J779*1</f>
        <v>600</v>
      </c>
      <c r="S779" s="143">
        <f>J779*0.6</f>
        <v>360</v>
      </c>
      <c r="T779" s="143">
        <f>J779*0.7</f>
        <v>420</v>
      </c>
      <c r="U779" s="143">
        <f>J779*1</f>
        <v>600</v>
      </c>
      <c r="V779" s="143">
        <f>R779+S779+T779+U779</f>
        <v>1980</v>
      </c>
    </row>
    <row r="780" spans="1:22" s="128" customFormat="1" ht="15.6" hidden="1" x14ac:dyDescent="0.3">
      <c r="A780" s="142" t="s">
        <v>483</v>
      </c>
      <c r="B780" s="142">
        <v>268</v>
      </c>
      <c r="C780" s="141">
        <v>45901</v>
      </c>
      <c r="D780" s="140">
        <f>WEEKNUM(C780)</f>
        <v>36</v>
      </c>
      <c r="E780" s="140" t="s">
        <v>475</v>
      </c>
      <c r="F780" s="142" t="s">
        <v>484</v>
      </c>
      <c r="G780" s="142" t="s">
        <v>485</v>
      </c>
      <c r="H780" s="140" t="s">
        <v>51</v>
      </c>
      <c r="I780" s="142" t="s">
        <v>61</v>
      </c>
      <c r="J780" s="157">
        <v>100</v>
      </c>
      <c r="K780" s="143">
        <v>37</v>
      </c>
      <c r="L780" s="143">
        <f>K780*J780</f>
        <v>3700</v>
      </c>
      <c r="M780" s="143">
        <v>0</v>
      </c>
      <c r="N780" s="141">
        <v>45926</v>
      </c>
      <c r="O780" s="157">
        <f>WEEKNUM(N780)</f>
        <v>39</v>
      </c>
      <c r="P780" s="140"/>
      <c r="Q780" s="140" t="s">
        <v>29</v>
      </c>
      <c r="R780" s="143">
        <f>J780*0.25</f>
        <v>25</v>
      </c>
      <c r="S780" s="143">
        <f>J780*0.5</f>
        <v>50</v>
      </c>
      <c r="T780" s="143">
        <f>J780*1.3</f>
        <v>130</v>
      </c>
      <c r="U780" s="143">
        <f>J780*0.5</f>
        <v>50</v>
      </c>
      <c r="V780" s="143">
        <f>R780+S780+T780+U780</f>
        <v>255</v>
      </c>
    </row>
    <row r="781" spans="1:22" s="128" customFormat="1" ht="15.6" hidden="1" x14ac:dyDescent="0.3">
      <c r="A781" s="142" t="s">
        <v>477</v>
      </c>
      <c r="B781" s="142">
        <v>266</v>
      </c>
      <c r="C781" s="141">
        <v>45901</v>
      </c>
      <c r="D781" s="140">
        <f>WEEKNUM(C781)</f>
        <v>36</v>
      </c>
      <c r="E781" s="142" t="s">
        <v>986</v>
      </c>
      <c r="F781" s="142" t="s">
        <v>987</v>
      </c>
      <c r="G781" s="142" t="s">
        <v>988</v>
      </c>
      <c r="H781" s="142" t="s">
        <v>304</v>
      </c>
      <c r="I781" s="142" t="s">
        <v>46</v>
      </c>
      <c r="J781" s="157">
        <v>200</v>
      </c>
      <c r="K781" s="143">
        <v>25.45</v>
      </c>
      <c r="L781" s="143">
        <f>K781*J781</f>
        <v>5090</v>
      </c>
      <c r="M781" s="143">
        <v>0</v>
      </c>
      <c r="N781" s="141">
        <v>45904</v>
      </c>
      <c r="O781" s="157">
        <f>WEEKNUM(N781)</f>
        <v>36</v>
      </c>
      <c r="P781" s="140"/>
      <c r="Q781" s="140" t="s">
        <v>29</v>
      </c>
      <c r="R781" s="143">
        <f>J781*0.25</f>
        <v>50</v>
      </c>
      <c r="S781" s="143">
        <f>J781*0.7</f>
        <v>140</v>
      </c>
      <c r="T781" s="143">
        <f>J781*1</f>
        <v>200</v>
      </c>
      <c r="U781" s="143">
        <f>J781*1</f>
        <v>200</v>
      </c>
      <c r="V781" s="143">
        <f>R781+S781+T781+U781</f>
        <v>590</v>
      </c>
    </row>
    <row r="782" spans="1:22" s="128" customFormat="1" ht="15.6" hidden="1" x14ac:dyDescent="0.3">
      <c r="A782" s="142" t="s">
        <v>477</v>
      </c>
      <c r="B782" s="142">
        <v>911</v>
      </c>
      <c r="C782" s="141">
        <v>45902</v>
      </c>
      <c r="D782" s="140">
        <f>WEEKNUM(C782)</f>
        <v>36</v>
      </c>
      <c r="E782" s="142" t="s">
        <v>498</v>
      </c>
      <c r="F782" s="140" t="s">
        <v>637</v>
      </c>
      <c r="G782" s="142" t="s">
        <v>487</v>
      </c>
      <c r="H782" s="140" t="s">
        <v>51</v>
      </c>
      <c r="I782" s="142" t="s">
        <v>46</v>
      </c>
      <c r="J782" s="157">
        <v>250</v>
      </c>
      <c r="K782" s="143">
        <v>23.5</v>
      </c>
      <c r="L782" s="143">
        <f>K782*J782</f>
        <v>5875</v>
      </c>
      <c r="M782" s="143">
        <v>0</v>
      </c>
      <c r="N782" s="141">
        <v>45931</v>
      </c>
      <c r="O782" s="157">
        <f>WEEKNUM(N782)</f>
        <v>40</v>
      </c>
      <c r="P782" s="140"/>
      <c r="Q782" s="140" t="s">
        <v>29</v>
      </c>
      <c r="R782" s="143">
        <f>J782*0.25</f>
        <v>62.5</v>
      </c>
      <c r="S782" s="143">
        <f>J782*1</f>
        <v>250</v>
      </c>
      <c r="T782" s="143">
        <f>J782*1.5</f>
        <v>375</v>
      </c>
      <c r="U782" s="143">
        <f>J782*0.5</f>
        <v>125</v>
      </c>
      <c r="V782" s="143">
        <f>R782+S782+T782+U782</f>
        <v>812.5</v>
      </c>
    </row>
    <row r="783" spans="1:22" s="128" customFormat="1" ht="15.6" hidden="1" x14ac:dyDescent="0.3">
      <c r="A783" s="142" t="s">
        <v>477</v>
      </c>
      <c r="B783" s="142">
        <v>910</v>
      </c>
      <c r="C783" s="141">
        <v>45902</v>
      </c>
      <c r="D783" s="140">
        <f>WEEKNUM(C783)</f>
        <v>36</v>
      </c>
      <c r="E783" s="142" t="s">
        <v>498</v>
      </c>
      <c r="F783" s="140" t="s">
        <v>459</v>
      </c>
      <c r="G783" s="140" t="s">
        <v>658</v>
      </c>
      <c r="H783" s="142" t="s">
        <v>304</v>
      </c>
      <c r="I783" s="142" t="s">
        <v>46</v>
      </c>
      <c r="J783" s="157">
        <v>100</v>
      </c>
      <c r="K783" s="143">
        <v>12.9</v>
      </c>
      <c r="L783" s="143">
        <f>K783*J783</f>
        <v>1290</v>
      </c>
      <c r="M783" s="143">
        <v>0</v>
      </c>
      <c r="N783" s="141">
        <v>45931</v>
      </c>
      <c r="O783" s="157">
        <f>WEEKNUM(N783)</f>
        <v>40</v>
      </c>
      <c r="P783" s="140"/>
      <c r="Q783" s="140" t="s">
        <v>29</v>
      </c>
      <c r="R783" s="143">
        <f>J783*0.25</f>
        <v>25</v>
      </c>
      <c r="S783" s="143">
        <f>J783*0.7</f>
        <v>70</v>
      </c>
      <c r="T783" s="143">
        <f>J783*1</f>
        <v>100</v>
      </c>
      <c r="U783" s="143">
        <f>J783*1</f>
        <v>100</v>
      </c>
      <c r="V783" s="143">
        <f>R783+S783+T783+U783</f>
        <v>295</v>
      </c>
    </row>
    <row r="784" spans="1:22" s="128" customFormat="1" ht="15.6" hidden="1" x14ac:dyDescent="0.3">
      <c r="A784" s="142" t="s">
        <v>477</v>
      </c>
      <c r="B784" s="142">
        <v>909</v>
      </c>
      <c r="C784" s="141">
        <v>45902</v>
      </c>
      <c r="D784" s="140">
        <f>WEEKNUM(C784)</f>
        <v>36</v>
      </c>
      <c r="E784" s="140" t="s">
        <v>475</v>
      </c>
      <c r="F784" s="140" t="s">
        <v>146</v>
      </c>
      <c r="G784" s="142" t="s">
        <v>837</v>
      </c>
      <c r="H784" s="142" t="s">
        <v>95</v>
      </c>
      <c r="I784" s="142" t="s">
        <v>46</v>
      </c>
      <c r="J784" s="157">
        <v>200</v>
      </c>
      <c r="K784" s="143">
        <v>16.5</v>
      </c>
      <c r="L784" s="143">
        <f>K784*J784</f>
        <v>3300</v>
      </c>
      <c r="M784" s="143">
        <v>0</v>
      </c>
      <c r="N784" s="141">
        <v>45931</v>
      </c>
      <c r="O784" s="157">
        <f>WEEKNUM(N784)</f>
        <v>40</v>
      </c>
      <c r="P784" s="140"/>
      <c r="Q784" s="140" t="s">
        <v>29</v>
      </c>
      <c r="R784" s="143">
        <f>J784*1</f>
        <v>200</v>
      </c>
      <c r="S784" s="143">
        <f>J784*0.6</f>
        <v>120</v>
      </c>
      <c r="T784" s="143">
        <f>J784*0.7</f>
        <v>140</v>
      </c>
      <c r="U784" s="143">
        <f>J784*1</f>
        <v>200</v>
      </c>
      <c r="V784" s="143">
        <f>R784+S784+T784+U784</f>
        <v>660</v>
      </c>
    </row>
    <row r="785" spans="1:22" s="128" customFormat="1" ht="15.6" hidden="1" x14ac:dyDescent="0.3">
      <c r="A785" s="142" t="s">
        <v>481</v>
      </c>
      <c r="B785" s="142">
        <v>274</v>
      </c>
      <c r="C785" s="141">
        <v>45903</v>
      </c>
      <c r="D785" s="140">
        <f>WEEKNUM(C785)</f>
        <v>36</v>
      </c>
      <c r="E785" s="140" t="s">
        <v>475</v>
      </c>
      <c r="F785" s="142" t="s">
        <v>978</v>
      </c>
      <c r="G785" s="142" t="s">
        <v>339</v>
      </c>
      <c r="H785" s="142" t="s">
        <v>340</v>
      </c>
      <c r="I785" s="142" t="s">
        <v>46</v>
      </c>
      <c r="J785" s="157">
        <v>7</v>
      </c>
      <c r="K785" s="143">
        <v>65</v>
      </c>
      <c r="L785" s="143">
        <f>K785*J785</f>
        <v>455</v>
      </c>
      <c r="M785" s="143">
        <v>0</v>
      </c>
      <c r="N785" s="141">
        <v>45906</v>
      </c>
      <c r="O785" s="157">
        <f>WEEKNUM(N785)</f>
        <v>36</v>
      </c>
      <c r="P785" s="140"/>
      <c r="Q785" s="140" t="s">
        <v>29</v>
      </c>
      <c r="R785" s="143">
        <v>0</v>
      </c>
      <c r="S785" s="143">
        <f>J785*1</f>
        <v>7</v>
      </c>
      <c r="T785" s="143">
        <v>0</v>
      </c>
      <c r="U785" s="143">
        <f>J785*0.5</f>
        <v>3.5</v>
      </c>
      <c r="V785" s="143">
        <f>R785+S785+T785+U785</f>
        <v>10.5</v>
      </c>
    </row>
    <row r="786" spans="1:22" s="128" customFormat="1" ht="15.6" hidden="1" x14ac:dyDescent="0.3">
      <c r="A786" s="142" t="s">
        <v>496</v>
      </c>
      <c r="B786" s="142">
        <v>270</v>
      </c>
      <c r="C786" s="141">
        <v>45903</v>
      </c>
      <c r="D786" s="140">
        <f>WEEKNUM(C786)</f>
        <v>36</v>
      </c>
      <c r="E786" s="142" t="s">
        <v>68</v>
      </c>
      <c r="F786" s="142" t="s">
        <v>379</v>
      </c>
      <c r="G786" s="142" t="s">
        <v>301</v>
      </c>
      <c r="H786" s="140" t="s">
        <v>74</v>
      </c>
      <c r="I786" s="142" t="s">
        <v>46</v>
      </c>
      <c r="J786" s="157">
        <v>2</v>
      </c>
      <c r="K786" s="143">
        <v>36.75</v>
      </c>
      <c r="L786" s="143">
        <f>K786*J786</f>
        <v>73.5</v>
      </c>
      <c r="M786" s="143">
        <v>0</v>
      </c>
      <c r="N786" s="141">
        <v>45925</v>
      </c>
      <c r="O786" s="157">
        <f>WEEKNUM(N786)</f>
        <v>39</v>
      </c>
      <c r="P786" s="140"/>
      <c r="Q786" s="140" t="s">
        <v>29</v>
      </c>
      <c r="R786" s="143">
        <f>J786*0.25</f>
        <v>0.5</v>
      </c>
      <c r="S786" s="143">
        <f>J786*1</f>
        <v>2</v>
      </c>
      <c r="T786" s="143">
        <f>J786*1.5</f>
        <v>3</v>
      </c>
      <c r="U786" s="143">
        <f>J786*0.5</f>
        <v>1</v>
      </c>
      <c r="V786" s="143">
        <f>R786+S786+T786+U786</f>
        <v>6.5</v>
      </c>
    </row>
    <row r="787" spans="1:22" s="128" customFormat="1" ht="15.6" hidden="1" x14ac:dyDescent="0.3">
      <c r="A787" s="142" t="s">
        <v>496</v>
      </c>
      <c r="B787" s="142">
        <v>270</v>
      </c>
      <c r="C787" s="141">
        <v>45903</v>
      </c>
      <c r="D787" s="140">
        <f>WEEKNUM(C787)</f>
        <v>36</v>
      </c>
      <c r="E787" s="142" t="s">
        <v>68</v>
      </c>
      <c r="F787" s="142" t="s">
        <v>379</v>
      </c>
      <c r="G787" s="142" t="s">
        <v>385</v>
      </c>
      <c r="H787" s="140" t="s">
        <v>74</v>
      </c>
      <c r="I787" s="142" t="s">
        <v>46</v>
      </c>
      <c r="J787" s="157">
        <v>2</v>
      </c>
      <c r="K787" s="143">
        <v>45</v>
      </c>
      <c r="L787" s="143">
        <f>K787*J787</f>
        <v>90</v>
      </c>
      <c r="M787" s="143">
        <v>0</v>
      </c>
      <c r="N787" s="141">
        <v>45925</v>
      </c>
      <c r="O787" s="157">
        <f>WEEKNUM(N787)</f>
        <v>39</v>
      </c>
      <c r="P787" s="140"/>
      <c r="Q787" s="140" t="s">
        <v>29</v>
      </c>
      <c r="R787" s="143">
        <f>J787*0.25</f>
        <v>0.5</v>
      </c>
      <c r="S787" s="143">
        <f>J787*1</f>
        <v>2</v>
      </c>
      <c r="T787" s="143">
        <f>J787*1.5</f>
        <v>3</v>
      </c>
      <c r="U787" s="143">
        <f>J787*0.5</f>
        <v>1</v>
      </c>
      <c r="V787" s="143">
        <f>R787+S787+T787+U787</f>
        <v>6.5</v>
      </c>
    </row>
    <row r="788" spans="1:22" s="128" customFormat="1" ht="15.6" hidden="1" x14ac:dyDescent="0.3">
      <c r="A788" s="142" t="s">
        <v>496</v>
      </c>
      <c r="B788" s="142">
        <v>270</v>
      </c>
      <c r="C788" s="141">
        <v>45903</v>
      </c>
      <c r="D788" s="140">
        <f>WEEKNUM(C788)</f>
        <v>36</v>
      </c>
      <c r="E788" s="142" t="s">
        <v>68</v>
      </c>
      <c r="F788" s="142" t="s">
        <v>379</v>
      </c>
      <c r="G788" s="140" t="s">
        <v>503</v>
      </c>
      <c r="H788" s="142" t="s">
        <v>354</v>
      </c>
      <c r="I788" s="142" t="s">
        <v>46</v>
      </c>
      <c r="J788" s="157">
        <v>3</v>
      </c>
      <c r="K788" s="143">
        <v>36.75</v>
      </c>
      <c r="L788" s="143">
        <f>K788*J788</f>
        <v>110.25</v>
      </c>
      <c r="M788" s="143">
        <v>0</v>
      </c>
      <c r="N788" s="141">
        <v>45925</v>
      </c>
      <c r="O788" s="157">
        <f>WEEKNUM(N788)</f>
        <v>39</v>
      </c>
      <c r="P788" s="140"/>
      <c r="Q788" s="140" t="s">
        <v>29</v>
      </c>
      <c r="R788" s="143">
        <f>J788*0.25</f>
        <v>0.75</v>
      </c>
      <c r="S788" s="143">
        <f>J788*1</f>
        <v>3</v>
      </c>
      <c r="T788" s="143">
        <f>J788*1.5</f>
        <v>4.5</v>
      </c>
      <c r="U788" s="143">
        <f>J788*0.5</f>
        <v>1.5</v>
      </c>
      <c r="V788" s="143">
        <f>R788+S788+T788+U788</f>
        <v>9.75</v>
      </c>
    </row>
    <row r="789" spans="1:22" s="128" customFormat="1" ht="15.6" hidden="1" x14ac:dyDescent="0.3">
      <c r="A789" s="142" t="s">
        <v>496</v>
      </c>
      <c r="B789" s="142">
        <v>270</v>
      </c>
      <c r="C789" s="141">
        <v>45903</v>
      </c>
      <c r="D789" s="140">
        <f>WEEKNUM(C789)</f>
        <v>36</v>
      </c>
      <c r="E789" s="142" t="s">
        <v>68</v>
      </c>
      <c r="F789" s="142" t="s">
        <v>379</v>
      </c>
      <c r="G789" s="142" t="s">
        <v>311</v>
      </c>
      <c r="H789" s="140" t="s">
        <v>51</v>
      </c>
      <c r="I789" s="142" t="s">
        <v>46</v>
      </c>
      <c r="J789" s="157">
        <v>2</v>
      </c>
      <c r="K789" s="143">
        <v>25</v>
      </c>
      <c r="L789" s="143">
        <f>K789*J789</f>
        <v>50</v>
      </c>
      <c r="M789" s="143">
        <v>0</v>
      </c>
      <c r="N789" s="141">
        <v>45925</v>
      </c>
      <c r="O789" s="157">
        <f>WEEKNUM(N789)</f>
        <v>39</v>
      </c>
      <c r="P789" s="140"/>
      <c r="Q789" s="140" t="s">
        <v>29</v>
      </c>
      <c r="R789" s="143">
        <f>J789*0.25</f>
        <v>0.5</v>
      </c>
      <c r="S789" s="143">
        <f>J789*0.5</f>
        <v>1</v>
      </c>
      <c r="T789" s="143">
        <f>J789*1.3</f>
        <v>2.6</v>
      </c>
      <c r="U789" s="143">
        <f>J789*0.5</f>
        <v>1</v>
      </c>
      <c r="V789" s="143">
        <f>R789+S789+T789+U789</f>
        <v>5.0999999999999996</v>
      </c>
    </row>
    <row r="790" spans="1:22" s="128" customFormat="1" ht="15.6" hidden="1" x14ac:dyDescent="0.3">
      <c r="A790" s="142" t="s">
        <v>496</v>
      </c>
      <c r="B790" s="142">
        <v>273</v>
      </c>
      <c r="C790" s="141">
        <v>45903</v>
      </c>
      <c r="D790" s="140">
        <f>WEEKNUM(C790)</f>
        <v>36</v>
      </c>
      <c r="E790" s="142" t="s">
        <v>68</v>
      </c>
      <c r="F790" s="142" t="s">
        <v>386</v>
      </c>
      <c r="G790" s="142" t="s">
        <v>339</v>
      </c>
      <c r="H790" s="142" t="s">
        <v>340</v>
      </c>
      <c r="I790" s="142" t="s">
        <v>46</v>
      </c>
      <c r="J790" s="157">
        <v>2</v>
      </c>
      <c r="K790" s="143">
        <v>65</v>
      </c>
      <c r="L790" s="143">
        <f>K790*J790</f>
        <v>130</v>
      </c>
      <c r="M790" s="143">
        <v>0</v>
      </c>
      <c r="N790" s="141">
        <v>45925</v>
      </c>
      <c r="O790" s="157">
        <f>WEEKNUM(N790)</f>
        <v>39</v>
      </c>
      <c r="P790" s="140"/>
      <c r="Q790" s="140" t="s">
        <v>29</v>
      </c>
      <c r="R790" s="143">
        <v>0</v>
      </c>
      <c r="S790" s="143">
        <f>J790*1</f>
        <v>2</v>
      </c>
      <c r="T790" s="143">
        <v>0</v>
      </c>
      <c r="U790" s="143">
        <f>J790*0.5</f>
        <v>1</v>
      </c>
      <c r="V790" s="143">
        <f>R790+S790+T790+U790</f>
        <v>3</v>
      </c>
    </row>
    <row r="791" spans="1:22" s="128" customFormat="1" ht="15.6" hidden="1" x14ac:dyDescent="0.3">
      <c r="A791" s="142" t="s">
        <v>496</v>
      </c>
      <c r="B791" s="142">
        <v>273</v>
      </c>
      <c r="C791" s="141">
        <v>45903</v>
      </c>
      <c r="D791" s="140">
        <f>WEEKNUM(C791)</f>
        <v>36</v>
      </c>
      <c r="E791" s="142" t="s">
        <v>68</v>
      </c>
      <c r="F791" s="142" t="s">
        <v>386</v>
      </c>
      <c r="G791" s="142" t="s">
        <v>301</v>
      </c>
      <c r="H791" s="140" t="s">
        <v>74</v>
      </c>
      <c r="I791" s="142" t="s">
        <v>46</v>
      </c>
      <c r="J791" s="157">
        <v>2</v>
      </c>
      <c r="K791" s="143">
        <v>36.75</v>
      </c>
      <c r="L791" s="143">
        <f>K791*J791</f>
        <v>73.5</v>
      </c>
      <c r="M791" s="143">
        <v>0</v>
      </c>
      <c r="N791" s="141">
        <v>45925</v>
      </c>
      <c r="O791" s="157">
        <f>WEEKNUM(N791)</f>
        <v>39</v>
      </c>
      <c r="P791" s="140"/>
      <c r="Q791" s="140" t="s">
        <v>29</v>
      </c>
      <c r="R791" s="143">
        <f>J791*0.25</f>
        <v>0.5</v>
      </c>
      <c r="S791" s="143">
        <f>J791*1</f>
        <v>2</v>
      </c>
      <c r="T791" s="143">
        <f>J791*1.5</f>
        <v>3</v>
      </c>
      <c r="U791" s="143">
        <f>J791*0.5</f>
        <v>1</v>
      </c>
      <c r="V791" s="143">
        <f>R791+S791+T791+U791</f>
        <v>6.5</v>
      </c>
    </row>
    <row r="792" spans="1:22" s="128" customFormat="1" ht="15.6" hidden="1" x14ac:dyDescent="0.3">
      <c r="A792" s="142" t="s">
        <v>496</v>
      </c>
      <c r="B792" s="142">
        <v>273</v>
      </c>
      <c r="C792" s="141">
        <v>45903</v>
      </c>
      <c r="D792" s="140">
        <f>WEEKNUM(C792)</f>
        <v>36</v>
      </c>
      <c r="E792" s="142" t="s">
        <v>68</v>
      </c>
      <c r="F792" s="142" t="s">
        <v>386</v>
      </c>
      <c r="G792" s="142" t="s">
        <v>374</v>
      </c>
      <c r="H792" s="140" t="s">
        <v>74</v>
      </c>
      <c r="I792" s="142" t="s">
        <v>46</v>
      </c>
      <c r="J792" s="157">
        <v>3</v>
      </c>
      <c r="K792" s="143">
        <v>47.5</v>
      </c>
      <c r="L792" s="143">
        <f>K792*J792</f>
        <v>142.5</v>
      </c>
      <c r="M792" s="143">
        <v>0</v>
      </c>
      <c r="N792" s="141">
        <v>45925</v>
      </c>
      <c r="O792" s="157">
        <f>WEEKNUM(N792)</f>
        <v>39</v>
      </c>
      <c r="P792" s="140"/>
      <c r="Q792" s="140" t="s">
        <v>29</v>
      </c>
      <c r="R792" s="143">
        <f>J792*0.25</f>
        <v>0.75</v>
      </c>
      <c r="S792" s="143">
        <f>J792*1</f>
        <v>3</v>
      </c>
      <c r="T792" s="143">
        <f>J792*1.5</f>
        <v>4.5</v>
      </c>
      <c r="U792" s="143">
        <f>J792*0.5</f>
        <v>1.5</v>
      </c>
      <c r="V792" s="143">
        <f>R792+S792+T792+U792</f>
        <v>9.75</v>
      </c>
    </row>
    <row r="793" spans="1:22" s="128" customFormat="1" ht="15.6" hidden="1" x14ac:dyDescent="0.3">
      <c r="A793" s="142" t="s">
        <v>477</v>
      </c>
      <c r="B793" s="142">
        <v>271</v>
      </c>
      <c r="C793" s="141">
        <v>45903</v>
      </c>
      <c r="D793" s="140">
        <f>WEEKNUM(C793)</f>
        <v>36</v>
      </c>
      <c r="E793" s="140" t="s">
        <v>475</v>
      </c>
      <c r="F793" s="140" t="s">
        <v>761</v>
      </c>
      <c r="G793" s="142" t="s">
        <v>764</v>
      </c>
      <c r="H793" s="142" t="s">
        <v>304</v>
      </c>
      <c r="I793" s="142" t="s">
        <v>61</v>
      </c>
      <c r="J793" s="157">
        <v>1500</v>
      </c>
      <c r="K793" s="143">
        <v>9.85</v>
      </c>
      <c r="L793" s="143">
        <f>K793*J793</f>
        <v>14775</v>
      </c>
      <c r="M793" s="143">
        <v>0</v>
      </c>
      <c r="N793" s="141">
        <v>45909</v>
      </c>
      <c r="O793" s="157">
        <f>WEEKNUM(N793)</f>
        <v>37</v>
      </c>
      <c r="P793" s="140"/>
      <c r="Q793" s="140" t="s">
        <v>29</v>
      </c>
      <c r="R793" s="143">
        <f>J793*0.25</f>
        <v>375</v>
      </c>
      <c r="S793" s="143">
        <f>J793*0.7</f>
        <v>1050</v>
      </c>
      <c r="T793" s="143">
        <f>J793*1</f>
        <v>1500</v>
      </c>
      <c r="U793" s="143">
        <f>J793*1</f>
        <v>1500</v>
      </c>
      <c r="V793" s="143">
        <f>R793+S793+T793+U793</f>
        <v>4425</v>
      </c>
    </row>
    <row r="794" spans="1:22" s="128" customFormat="1" ht="15.6" hidden="1" x14ac:dyDescent="0.3">
      <c r="A794" s="142" t="s">
        <v>477</v>
      </c>
      <c r="B794" s="142">
        <v>271</v>
      </c>
      <c r="C794" s="141">
        <v>45903</v>
      </c>
      <c r="D794" s="140">
        <f>WEEKNUM(C794)</f>
        <v>36</v>
      </c>
      <c r="E794" s="140" t="s">
        <v>475</v>
      </c>
      <c r="F794" s="140" t="s">
        <v>761</v>
      </c>
      <c r="G794" s="142" t="s">
        <v>765</v>
      </c>
      <c r="H794" s="142" t="s">
        <v>304</v>
      </c>
      <c r="I794" s="142" t="s">
        <v>61</v>
      </c>
      <c r="J794" s="157">
        <v>40</v>
      </c>
      <c r="K794" s="143">
        <v>11.5</v>
      </c>
      <c r="L794" s="143">
        <f>K794*J794</f>
        <v>460</v>
      </c>
      <c r="M794" s="143">
        <v>0</v>
      </c>
      <c r="N794" s="141">
        <v>45909</v>
      </c>
      <c r="O794" s="157">
        <f>WEEKNUM(N794)</f>
        <v>37</v>
      </c>
      <c r="P794" s="140"/>
      <c r="Q794" s="140" t="s">
        <v>29</v>
      </c>
      <c r="R794" s="143">
        <f>J794*0.25</f>
        <v>10</v>
      </c>
      <c r="S794" s="143">
        <f>J794*0.7</f>
        <v>28</v>
      </c>
      <c r="T794" s="143">
        <f>J794*1</f>
        <v>40</v>
      </c>
      <c r="U794" s="143">
        <f>J794*1</f>
        <v>40</v>
      </c>
      <c r="V794" s="143">
        <f>R794+S794+T794+U794</f>
        <v>118</v>
      </c>
    </row>
    <row r="795" spans="1:22" s="128" customFormat="1" ht="15.6" hidden="1" x14ac:dyDescent="0.3">
      <c r="A795" s="142" t="s">
        <v>477</v>
      </c>
      <c r="B795" s="142">
        <v>912</v>
      </c>
      <c r="C795" s="141">
        <v>45903</v>
      </c>
      <c r="D795" s="140">
        <f>WEEKNUM(C795)</f>
        <v>36</v>
      </c>
      <c r="E795" s="140" t="s">
        <v>475</v>
      </c>
      <c r="F795" s="140" t="s">
        <v>761</v>
      </c>
      <c r="G795" s="142" t="s">
        <v>593</v>
      </c>
      <c r="H795" s="140" t="s">
        <v>51</v>
      </c>
      <c r="I795" s="142" t="s">
        <v>46</v>
      </c>
      <c r="J795" s="157">
        <v>300</v>
      </c>
      <c r="K795" s="143">
        <v>15</v>
      </c>
      <c r="L795" s="143">
        <f>K795*J795</f>
        <v>4500</v>
      </c>
      <c r="M795" s="143">
        <v>0</v>
      </c>
      <c r="N795" s="141">
        <v>45932</v>
      </c>
      <c r="O795" s="157">
        <f>WEEKNUM(N795)</f>
        <v>40</v>
      </c>
      <c r="P795" s="140"/>
      <c r="Q795" s="140" t="s">
        <v>29</v>
      </c>
      <c r="R795" s="143">
        <f>J795*0.25</f>
        <v>75</v>
      </c>
      <c r="S795" s="143">
        <f>J795*0.5</f>
        <v>150</v>
      </c>
      <c r="T795" s="143">
        <f>J795*1.3</f>
        <v>390</v>
      </c>
      <c r="U795" s="143">
        <f>J795*0.5</f>
        <v>150</v>
      </c>
      <c r="V795" s="143">
        <f>R795+S795+T795+U795</f>
        <v>765</v>
      </c>
    </row>
    <row r="796" spans="1:22" s="128" customFormat="1" ht="15.6" hidden="1" x14ac:dyDescent="0.3">
      <c r="A796" s="142" t="s">
        <v>477</v>
      </c>
      <c r="B796" s="142">
        <v>1240</v>
      </c>
      <c r="C796" s="141">
        <v>45903</v>
      </c>
      <c r="D796" s="140">
        <f>WEEKNUM(C796)</f>
        <v>36</v>
      </c>
      <c r="E796" s="140" t="s">
        <v>478</v>
      </c>
      <c r="F796" s="142" t="s">
        <v>108</v>
      </c>
      <c r="G796" s="142" t="s">
        <v>301</v>
      </c>
      <c r="H796" s="140" t="s">
        <v>74</v>
      </c>
      <c r="I796" s="142" t="s">
        <v>46</v>
      </c>
      <c r="J796" s="157">
        <v>100</v>
      </c>
      <c r="K796" s="143">
        <v>28</v>
      </c>
      <c r="L796" s="143">
        <f>K796*J796</f>
        <v>2800</v>
      </c>
      <c r="M796" s="143">
        <v>0</v>
      </c>
      <c r="N796" s="141">
        <v>45932</v>
      </c>
      <c r="O796" s="157">
        <f>WEEKNUM(N796)</f>
        <v>40</v>
      </c>
      <c r="P796" s="140"/>
      <c r="Q796" s="140" t="s">
        <v>29</v>
      </c>
      <c r="R796" s="143">
        <f>J796*0.25</f>
        <v>25</v>
      </c>
      <c r="S796" s="143">
        <f>J796*1</f>
        <v>100</v>
      </c>
      <c r="T796" s="143">
        <f>J796*1.5</f>
        <v>150</v>
      </c>
      <c r="U796" s="143">
        <f>J796*0.5</f>
        <v>50</v>
      </c>
      <c r="V796" s="143">
        <f>R796+S796+T796+U796</f>
        <v>325</v>
      </c>
    </row>
    <row r="797" spans="1:22" s="128" customFormat="1" ht="15.6" hidden="1" x14ac:dyDescent="0.3">
      <c r="A797" s="142" t="s">
        <v>477</v>
      </c>
      <c r="B797" s="142">
        <v>913</v>
      </c>
      <c r="C797" s="141">
        <v>45903</v>
      </c>
      <c r="D797" s="140">
        <f>WEEKNUM(C797)</f>
        <v>36</v>
      </c>
      <c r="E797" s="142" t="s">
        <v>498</v>
      </c>
      <c r="F797" s="140" t="s">
        <v>459</v>
      </c>
      <c r="G797" s="142" t="s">
        <v>487</v>
      </c>
      <c r="H797" s="140" t="s">
        <v>51</v>
      </c>
      <c r="I797" s="142" t="s">
        <v>46</v>
      </c>
      <c r="J797" s="157">
        <v>20</v>
      </c>
      <c r="K797" s="143">
        <v>45</v>
      </c>
      <c r="L797" s="143">
        <f>K797*J797</f>
        <v>900</v>
      </c>
      <c r="M797" s="143">
        <v>0</v>
      </c>
      <c r="N797" s="141">
        <v>45909</v>
      </c>
      <c r="O797" s="157">
        <f>WEEKNUM(N797)</f>
        <v>37</v>
      </c>
      <c r="P797" s="140"/>
      <c r="Q797" s="140" t="s">
        <v>29</v>
      </c>
      <c r="R797" s="143">
        <f>J797*0.25</f>
        <v>5</v>
      </c>
      <c r="S797" s="143">
        <f>J797*0.5</f>
        <v>10</v>
      </c>
      <c r="T797" s="143">
        <f>J797*1.3</f>
        <v>26</v>
      </c>
      <c r="U797" s="143">
        <f>J797*0.5</f>
        <v>10</v>
      </c>
      <c r="V797" s="143">
        <f>R797+S797+T797+U797</f>
        <v>51</v>
      </c>
    </row>
    <row r="798" spans="1:22" s="128" customFormat="1" ht="15.6" hidden="1" x14ac:dyDescent="0.3">
      <c r="A798" s="142" t="s">
        <v>477</v>
      </c>
      <c r="B798" s="142">
        <v>913</v>
      </c>
      <c r="C798" s="141">
        <v>45903</v>
      </c>
      <c r="D798" s="140">
        <f>WEEKNUM(C798)</f>
        <v>36</v>
      </c>
      <c r="E798" s="142" t="s">
        <v>498</v>
      </c>
      <c r="F798" s="140" t="s">
        <v>459</v>
      </c>
      <c r="G798" s="140" t="s">
        <v>658</v>
      </c>
      <c r="H798" s="142" t="s">
        <v>304</v>
      </c>
      <c r="I798" s="142" t="s">
        <v>61</v>
      </c>
      <c r="J798" s="157">
        <v>50</v>
      </c>
      <c r="K798" s="143">
        <v>19</v>
      </c>
      <c r="L798" s="143">
        <f>K798*J798</f>
        <v>950</v>
      </c>
      <c r="M798" s="143">
        <v>0</v>
      </c>
      <c r="N798" s="141">
        <v>45909</v>
      </c>
      <c r="O798" s="157">
        <f>WEEKNUM(N798)</f>
        <v>37</v>
      </c>
      <c r="P798" s="140"/>
      <c r="Q798" s="140" t="s">
        <v>29</v>
      </c>
      <c r="R798" s="143">
        <f>J798*0.25</f>
        <v>12.5</v>
      </c>
      <c r="S798" s="143">
        <f>J798*0.7</f>
        <v>35</v>
      </c>
      <c r="T798" s="143">
        <f>J798*1</f>
        <v>50</v>
      </c>
      <c r="U798" s="143">
        <f>J798*1</f>
        <v>50</v>
      </c>
      <c r="V798" s="143">
        <f>R798+S798+T798+U798</f>
        <v>147.5</v>
      </c>
    </row>
    <row r="799" spans="1:22" s="128" customFormat="1" ht="15.6" hidden="1" x14ac:dyDescent="0.3">
      <c r="A799" s="142" t="s">
        <v>477</v>
      </c>
      <c r="B799" s="142">
        <v>916</v>
      </c>
      <c r="C799" s="141">
        <v>45904</v>
      </c>
      <c r="D799" s="140">
        <f>WEEKNUM(C799)</f>
        <v>36</v>
      </c>
      <c r="E799" s="142" t="s">
        <v>498</v>
      </c>
      <c r="F799" s="142" t="s">
        <v>647</v>
      </c>
      <c r="G799" s="142" t="s">
        <v>155</v>
      </c>
      <c r="H799" s="140" t="s">
        <v>51</v>
      </c>
      <c r="I799" s="142" t="s">
        <v>46</v>
      </c>
      <c r="J799" s="157">
        <v>150</v>
      </c>
      <c r="K799" s="143">
        <v>23</v>
      </c>
      <c r="L799" s="143">
        <f>K799*J799</f>
        <v>3450</v>
      </c>
      <c r="M799" s="143">
        <v>0</v>
      </c>
      <c r="N799" s="141">
        <v>45919</v>
      </c>
      <c r="O799" s="157">
        <f>WEEKNUM(N799)</f>
        <v>38</v>
      </c>
      <c r="P799" s="140"/>
      <c r="Q799" s="140" t="s">
        <v>29</v>
      </c>
      <c r="R799" s="143">
        <f>J799*0.25</f>
        <v>37.5</v>
      </c>
      <c r="S799" s="143">
        <f>J799*0.5</f>
        <v>75</v>
      </c>
      <c r="T799" s="143">
        <f>J799*1.3</f>
        <v>195</v>
      </c>
      <c r="U799" s="143">
        <f>J799*0.5</f>
        <v>75</v>
      </c>
      <c r="V799" s="143">
        <f>R799+S799+T799+U799</f>
        <v>382.5</v>
      </c>
    </row>
    <row r="800" spans="1:22" s="128" customFormat="1" ht="15.6" hidden="1" x14ac:dyDescent="0.3">
      <c r="A800" s="142" t="s">
        <v>483</v>
      </c>
      <c r="B800" s="142">
        <v>276</v>
      </c>
      <c r="C800" s="141">
        <v>45904</v>
      </c>
      <c r="D800" s="140">
        <f>WEEKNUM(C800)</f>
        <v>36</v>
      </c>
      <c r="E800" s="140" t="s">
        <v>475</v>
      </c>
      <c r="F800" s="142" t="s">
        <v>739</v>
      </c>
      <c r="G800" s="142" t="s">
        <v>311</v>
      </c>
      <c r="H800" s="140" t="s">
        <v>51</v>
      </c>
      <c r="I800" s="142" t="s">
        <v>46</v>
      </c>
      <c r="J800" s="157">
        <v>100</v>
      </c>
      <c r="K800" s="143">
        <v>17</v>
      </c>
      <c r="L800" s="143">
        <f>K800*J800</f>
        <v>1700</v>
      </c>
      <c r="M800" s="143">
        <v>0</v>
      </c>
      <c r="N800" s="141">
        <v>45933</v>
      </c>
      <c r="O800" s="157">
        <f>WEEKNUM(N800)</f>
        <v>40</v>
      </c>
      <c r="P800" s="140"/>
      <c r="Q800" s="140" t="s">
        <v>29</v>
      </c>
      <c r="R800" s="143">
        <f>J800*0.25</f>
        <v>25</v>
      </c>
      <c r="S800" s="143">
        <f>J800*0.5</f>
        <v>50</v>
      </c>
      <c r="T800" s="143">
        <f>J800*1.3</f>
        <v>130</v>
      </c>
      <c r="U800" s="143">
        <f>J800*0.5</f>
        <v>50</v>
      </c>
      <c r="V800" s="143">
        <f>R800+S800+T800+U800</f>
        <v>255</v>
      </c>
    </row>
    <row r="801" spans="1:22" s="128" customFormat="1" ht="15.6" hidden="1" x14ac:dyDescent="0.3">
      <c r="A801" s="142" t="s">
        <v>477</v>
      </c>
      <c r="B801" s="142">
        <v>918</v>
      </c>
      <c r="C801" s="141">
        <v>45904</v>
      </c>
      <c r="D801" s="140">
        <f>WEEKNUM(C801)</f>
        <v>36</v>
      </c>
      <c r="E801" s="140" t="s">
        <v>475</v>
      </c>
      <c r="F801" s="142" t="s">
        <v>748</v>
      </c>
      <c r="G801" s="142" t="s">
        <v>218</v>
      </c>
      <c r="H801" s="140" t="s">
        <v>74</v>
      </c>
      <c r="I801" s="142" t="s">
        <v>46</v>
      </c>
      <c r="J801" s="157">
        <v>64</v>
      </c>
      <c r="K801" s="143">
        <v>35</v>
      </c>
      <c r="L801" s="143">
        <f>K801*J801</f>
        <v>2240</v>
      </c>
      <c r="M801" s="143">
        <v>0</v>
      </c>
      <c r="N801" s="141">
        <v>45905</v>
      </c>
      <c r="O801" s="157">
        <f>WEEKNUM(N801)</f>
        <v>36</v>
      </c>
      <c r="P801" s="140"/>
      <c r="Q801" s="140" t="s">
        <v>29</v>
      </c>
      <c r="R801" s="143">
        <f>J801*0.25</f>
        <v>16</v>
      </c>
      <c r="S801" s="143">
        <f>J801*1</f>
        <v>64</v>
      </c>
      <c r="T801" s="143">
        <f>J801*1.5</f>
        <v>96</v>
      </c>
      <c r="U801" s="143">
        <f>J801*0.5</f>
        <v>32</v>
      </c>
      <c r="V801" s="143">
        <f>R801+S801+T801+U801</f>
        <v>208</v>
      </c>
    </row>
    <row r="802" spans="1:22" s="128" customFormat="1" ht="15.6" hidden="1" x14ac:dyDescent="0.3">
      <c r="A802" s="142" t="s">
        <v>477</v>
      </c>
      <c r="B802" s="142">
        <v>275</v>
      </c>
      <c r="C802" s="141">
        <v>45904</v>
      </c>
      <c r="D802" s="140">
        <f>WEEKNUM(C802)</f>
        <v>36</v>
      </c>
      <c r="E802" s="140" t="s">
        <v>475</v>
      </c>
      <c r="F802" s="142" t="s">
        <v>896</v>
      </c>
      <c r="G802" s="142" t="s">
        <v>218</v>
      </c>
      <c r="H802" s="140" t="s">
        <v>74</v>
      </c>
      <c r="I802" s="142" t="s">
        <v>46</v>
      </c>
      <c r="J802" s="157">
        <v>100</v>
      </c>
      <c r="K802" s="143">
        <v>26</v>
      </c>
      <c r="L802" s="143">
        <f>K802*J802</f>
        <v>2600</v>
      </c>
      <c r="M802" s="143">
        <v>0</v>
      </c>
      <c r="N802" s="141">
        <v>45951</v>
      </c>
      <c r="O802" s="157">
        <f>WEEKNUM(N802)</f>
        <v>43</v>
      </c>
      <c r="P802" s="140"/>
      <c r="Q802" s="140" t="s">
        <v>29</v>
      </c>
      <c r="R802" s="143">
        <f>J802*0.25</f>
        <v>25</v>
      </c>
      <c r="S802" s="143">
        <f>J802*1</f>
        <v>100</v>
      </c>
      <c r="T802" s="143">
        <f>J802*1.5</f>
        <v>150</v>
      </c>
      <c r="U802" s="143">
        <f>J802*0.5</f>
        <v>50</v>
      </c>
      <c r="V802" s="143">
        <f>R802+S802+T802+U802</f>
        <v>325</v>
      </c>
    </row>
    <row r="803" spans="1:22" s="128" customFormat="1" ht="15.6" hidden="1" x14ac:dyDescent="0.3">
      <c r="A803" s="142" t="s">
        <v>477</v>
      </c>
      <c r="B803" s="142">
        <v>922</v>
      </c>
      <c r="C803" s="141">
        <v>45909</v>
      </c>
      <c r="D803" s="140">
        <f>WEEKNUM(C803)</f>
        <v>37</v>
      </c>
      <c r="E803" s="140" t="s">
        <v>475</v>
      </c>
      <c r="F803" s="142" t="s">
        <v>756</v>
      </c>
      <c r="G803" s="140" t="s">
        <v>480</v>
      </c>
      <c r="H803" s="140" t="s">
        <v>51</v>
      </c>
      <c r="I803" s="142" t="s">
        <v>46</v>
      </c>
      <c r="J803" s="157">
        <v>100</v>
      </c>
      <c r="K803" s="143">
        <v>19.5</v>
      </c>
      <c r="L803" s="143">
        <f>K803*J803</f>
        <v>1950</v>
      </c>
      <c r="M803" s="143">
        <v>0</v>
      </c>
      <c r="N803" s="141">
        <v>45937</v>
      </c>
      <c r="O803" s="157">
        <f>WEEKNUM(N803)</f>
        <v>41</v>
      </c>
      <c r="P803" s="140"/>
      <c r="Q803" s="140" t="s">
        <v>29</v>
      </c>
      <c r="R803" s="143">
        <f>J803*0.25</f>
        <v>25</v>
      </c>
      <c r="S803" s="143">
        <f>J803*0.5</f>
        <v>50</v>
      </c>
      <c r="T803" s="143">
        <f>J803*1.3</f>
        <v>130</v>
      </c>
      <c r="U803" s="143">
        <f>J803*0.5</f>
        <v>50</v>
      </c>
      <c r="V803" s="143">
        <f>R803+S803+T803+U803</f>
        <v>255</v>
      </c>
    </row>
    <row r="804" spans="1:22" s="128" customFormat="1" ht="15.6" hidden="1" x14ac:dyDescent="0.3">
      <c r="A804" s="142" t="s">
        <v>477</v>
      </c>
      <c r="B804" s="142">
        <v>922</v>
      </c>
      <c r="C804" s="141">
        <v>45909</v>
      </c>
      <c r="D804" s="140">
        <f>WEEKNUM(C804)</f>
        <v>37</v>
      </c>
      <c r="E804" s="140" t="s">
        <v>475</v>
      </c>
      <c r="F804" s="142" t="s">
        <v>756</v>
      </c>
      <c r="G804" s="142" t="s">
        <v>546</v>
      </c>
      <c r="H804" s="140" t="s">
        <v>494</v>
      </c>
      <c r="I804" s="142" t="s">
        <v>46</v>
      </c>
      <c r="J804" s="157">
        <v>100</v>
      </c>
      <c r="K804" s="143">
        <v>18</v>
      </c>
      <c r="L804" s="143">
        <f>K804*J804</f>
        <v>1800</v>
      </c>
      <c r="M804" s="143">
        <v>0</v>
      </c>
      <c r="N804" s="141">
        <v>45937</v>
      </c>
      <c r="O804" s="157">
        <f>WEEKNUM(N804)</f>
        <v>41</v>
      </c>
      <c r="P804" s="140"/>
      <c r="Q804" s="140" t="s">
        <v>29</v>
      </c>
      <c r="R804" s="143">
        <f>J804*0.25</f>
        <v>25</v>
      </c>
      <c r="S804" s="143">
        <f>J804*1</f>
        <v>100</v>
      </c>
      <c r="T804" s="143">
        <f>J804*1.5</f>
        <v>150</v>
      </c>
      <c r="U804" s="143">
        <f>J804*0.5</f>
        <v>50</v>
      </c>
      <c r="V804" s="143">
        <f>R804+S804+T804+U804</f>
        <v>325</v>
      </c>
    </row>
    <row r="805" spans="1:22" s="128" customFormat="1" ht="15.6" hidden="1" x14ac:dyDescent="0.3">
      <c r="A805" s="142" t="s">
        <v>477</v>
      </c>
      <c r="B805" s="142">
        <v>921</v>
      </c>
      <c r="C805" s="141">
        <v>45909</v>
      </c>
      <c r="D805" s="140">
        <f>WEEKNUM(C805)</f>
        <v>37</v>
      </c>
      <c r="E805" s="142" t="s">
        <v>498</v>
      </c>
      <c r="F805" s="140" t="s">
        <v>459</v>
      </c>
      <c r="G805" s="142" t="s">
        <v>218</v>
      </c>
      <c r="H805" s="140" t="s">
        <v>74</v>
      </c>
      <c r="I805" s="142" t="s">
        <v>46</v>
      </c>
      <c r="J805" s="157">
        <v>2500</v>
      </c>
      <c r="K805" s="143">
        <v>23.5</v>
      </c>
      <c r="L805" s="143">
        <f>K805*J805</f>
        <v>58750</v>
      </c>
      <c r="M805" s="143">
        <v>0</v>
      </c>
      <c r="N805" s="141">
        <v>45937</v>
      </c>
      <c r="O805" s="157">
        <f>WEEKNUM(N805)</f>
        <v>41</v>
      </c>
      <c r="P805" s="140"/>
      <c r="Q805" s="140" t="s">
        <v>29</v>
      </c>
      <c r="R805" s="143">
        <f>J805*0.25</f>
        <v>625</v>
      </c>
      <c r="S805" s="143">
        <f>J805*1</f>
        <v>2500</v>
      </c>
      <c r="T805" s="143">
        <f>J805*1.5</f>
        <v>3750</v>
      </c>
      <c r="U805" s="143">
        <f>J805*0.5</f>
        <v>1250</v>
      </c>
      <c r="V805" s="143">
        <f>R805+S805+T805+U805</f>
        <v>8125</v>
      </c>
    </row>
    <row r="806" spans="1:22" s="128" customFormat="1" ht="15.6" hidden="1" x14ac:dyDescent="0.3">
      <c r="A806" s="142" t="s">
        <v>477</v>
      </c>
      <c r="B806" s="142">
        <v>926</v>
      </c>
      <c r="C806" s="141">
        <v>45910</v>
      </c>
      <c r="D806" s="140">
        <f>WEEKNUM(C806)</f>
        <v>37</v>
      </c>
      <c r="E806" s="140" t="s">
        <v>475</v>
      </c>
      <c r="F806" s="140" t="s">
        <v>568</v>
      </c>
      <c r="G806" s="140" t="s">
        <v>356</v>
      </c>
      <c r="H806" s="140" t="s">
        <v>321</v>
      </c>
      <c r="I806" s="142" t="s">
        <v>46</v>
      </c>
      <c r="J806" s="157">
        <v>80</v>
      </c>
      <c r="K806" s="143">
        <v>80</v>
      </c>
      <c r="L806" s="143">
        <f>K806*J806</f>
        <v>6400</v>
      </c>
      <c r="M806" s="143">
        <v>0</v>
      </c>
      <c r="N806" s="141">
        <v>45919</v>
      </c>
      <c r="O806" s="157">
        <f>WEEKNUM(N806)</f>
        <v>38</v>
      </c>
      <c r="P806" s="140"/>
      <c r="Q806" s="140" t="s">
        <v>29</v>
      </c>
      <c r="R806" s="156">
        <f>J806*0.25</f>
        <v>20</v>
      </c>
      <c r="S806" s="156">
        <f>PRODUCT(1.5,J806)</f>
        <v>120</v>
      </c>
      <c r="T806" s="156">
        <f>PRODUCT(1.5,J806)</f>
        <v>120</v>
      </c>
      <c r="U806" s="156">
        <f>J806*0.5</f>
        <v>40</v>
      </c>
      <c r="V806" s="156">
        <f>R806+S806+T806+U806</f>
        <v>300</v>
      </c>
    </row>
    <row r="807" spans="1:22" s="128" customFormat="1" ht="15.6" hidden="1" x14ac:dyDescent="0.3">
      <c r="A807" s="140" t="s">
        <v>509</v>
      </c>
      <c r="B807" s="142">
        <v>923</v>
      </c>
      <c r="C807" s="141">
        <v>45910</v>
      </c>
      <c r="D807" s="140">
        <f>WEEKNUM(C807)</f>
        <v>37</v>
      </c>
      <c r="E807" s="140" t="s">
        <v>475</v>
      </c>
      <c r="F807" s="140" t="s">
        <v>809</v>
      </c>
      <c r="G807" s="142" t="s">
        <v>554</v>
      </c>
      <c r="H807" s="142" t="s">
        <v>555</v>
      </c>
      <c r="I807" s="142" t="s">
        <v>46</v>
      </c>
      <c r="J807" s="157">
        <v>600</v>
      </c>
      <c r="K807" s="143">
        <v>24.5</v>
      </c>
      <c r="L807" s="143">
        <f>K807*J807</f>
        <v>14700</v>
      </c>
      <c r="M807" s="143">
        <v>0</v>
      </c>
      <c r="N807" s="141">
        <v>45938</v>
      </c>
      <c r="O807" s="157">
        <f>WEEKNUM(N807)</f>
        <v>41</v>
      </c>
      <c r="P807" s="140"/>
      <c r="Q807" s="140" t="s">
        <v>29</v>
      </c>
      <c r="R807" s="143">
        <f>J807*0.25</f>
        <v>150</v>
      </c>
      <c r="S807" s="143">
        <f>J807*1.5</f>
        <v>900</v>
      </c>
      <c r="T807" s="143">
        <f>J807*5.2</f>
        <v>3120</v>
      </c>
      <c r="U807" s="143">
        <f>J807*0.5</f>
        <v>300</v>
      </c>
      <c r="V807" s="143">
        <f>R807+S807+T807+U807</f>
        <v>4470</v>
      </c>
    </row>
    <row r="808" spans="1:22" s="128" customFormat="1" ht="15.6" hidden="1" x14ac:dyDescent="0.3">
      <c r="A808" s="142" t="s">
        <v>477</v>
      </c>
      <c r="B808" s="142">
        <v>923</v>
      </c>
      <c r="C808" s="141">
        <v>45910</v>
      </c>
      <c r="D808" s="140">
        <f>WEEKNUM(C808)</f>
        <v>37</v>
      </c>
      <c r="E808" s="140" t="s">
        <v>475</v>
      </c>
      <c r="F808" s="140" t="s">
        <v>809</v>
      </c>
      <c r="G808" s="142" t="s">
        <v>495</v>
      </c>
      <c r="H808" s="140" t="s">
        <v>494</v>
      </c>
      <c r="I808" s="142" t="s">
        <v>46</v>
      </c>
      <c r="J808" s="157">
        <v>200</v>
      </c>
      <c r="K808" s="143">
        <v>24.5</v>
      </c>
      <c r="L808" s="143">
        <f>K808*J808</f>
        <v>4900</v>
      </c>
      <c r="M808" s="143">
        <v>0</v>
      </c>
      <c r="N808" s="141">
        <v>45938</v>
      </c>
      <c r="O808" s="157">
        <f>WEEKNUM(N808)</f>
        <v>41</v>
      </c>
      <c r="P808" s="140"/>
      <c r="Q808" s="140" t="s">
        <v>29</v>
      </c>
      <c r="R808" s="143">
        <f>J808*0.25</f>
        <v>50</v>
      </c>
      <c r="S808" s="143">
        <f>J808*1</f>
        <v>200</v>
      </c>
      <c r="T808" s="143">
        <f>J808*1.5</f>
        <v>300</v>
      </c>
      <c r="U808" s="143">
        <f>J808*0.5</f>
        <v>100</v>
      </c>
      <c r="V808" s="143">
        <f>R808+S808+T808+U808</f>
        <v>650</v>
      </c>
    </row>
    <row r="809" spans="1:22" s="128" customFormat="1" ht="15.6" hidden="1" x14ac:dyDescent="0.3">
      <c r="A809" s="142" t="s">
        <v>477</v>
      </c>
      <c r="B809" s="142">
        <v>923</v>
      </c>
      <c r="C809" s="141">
        <v>45910</v>
      </c>
      <c r="D809" s="140">
        <f>WEEKNUM(C809)</f>
        <v>37</v>
      </c>
      <c r="E809" s="140" t="s">
        <v>475</v>
      </c>
      <c r="F809" s="140" t="s">
        <v>809</v>
      </c>
      <c r="G809" s="142" t="s">
        <v>218</v>
      </c>
      <c r="H809" s="140" t="s">
        <v>74</v>
      </c>
      <c r="I809" s="142" t="s">
        <v>46</v>
      </c>
      <c r="J809" s="157">
        <v>300</v>
      </c>
      <c r="K809" s="143">
        <v>24.5</v>
      </c>
      <c r="L809" s="143">
        <f>K809*J809</f>
        <v>7350</v>
      </c>
      <c r="M809" s="143">
        <v>0</v>
      </c>
      <c r="N809" s="141">
        <v>45938</v>
      </c>
      <c r="O809" s="157">
        <f>WEEKNUM(N809)</f>
        <v>41</v>
      </c>
      <c r="P809" s="140"/>
      <c r="Q809" s="140" t="s">
        <v>29</v>
      </c>
      <c r="R809" s="143">
        <f>J809*0.25</f>
        <v>75</v>
      </c>
      <c r="S809" s="143">
        <f>J809*1</f>
        <v>300</v>
      </c>
      <c r="T809" s="143">
        <f>J809*1.5</f>
        <v>450</v>
      </c>
      <c r="U809" s="143">
        <f>J809*0.5</f>
        <v>150</v>
      </c>
      <c r="V809" s="143">
        <f>R809+S809+T809+U809</f>
        <v>975</v>
      </c>
    </row>
    <row r="810" spans="1:22" s="128" customFormat="1" ht="15.6" hidden="1" x14ac:dyDescent="0.3">
      <c r="A810" s="142" t="s">
        <v>477</v>
      </c>
      <c r="B810" s="142">
        <v>924</v>
      </c>
      <c r="C810" s="141">
        <v>45910</v>
      </c>
      <c r="D810" s="140">
        <f>WEEKNUM(C810)</f>
        <v>37</v>
      </c>
      <c r="E810" s="140" t="s">
        <v>475</v>
      </c>
      <c r="F810" s="140" t="s">
        <v>809</v>
      </c>
      <c r="G810" s="142" t="s">
        <v>554</v>
      </c>
      <c r="H810" s="142" t="s">
        <v>555</v>
      </c>
      <c r="I810" s="142" t="s">
        <v>46</v>
      </c>
      <c r="J810" s="157">
        <v>300</v>
      </c>
      <c r="K810" s="143">
        <v>24.5</v>
      </c>
      <c r="L810" s="143">
        <f>K810*J810</f>
        <v>7350</v>
      </c>
      <c r="M810" s="143">
        <v>0</v>
      </c>
      <c r="N810" s="141">
        <v>45938</v>
      </c>
      <c r="O810" s="157">
        <f>WEEKNUM(N810)</f>
        <v>41</v>
      </c>
      <c r="P810" s="140"/>
      <c r="Q810" s="140" t="s">
        <v>29</v>
      </c>
      <c r="R810" s="143">
        <f>J810*0.25</f>
        <v>75</v>
      </c>
      <c r="S810" s="143">
        <f>J810*1.5</f>
        <v>450</v>
      </c>
      <c r="T810" s="143">
        <f>J810*5.2</f>
        <v>1560</v>
      </c>
      <c r="U810" s="143">
        <f>J810*0.5</f>
        <v>150</v>
      </c>
      <c r="V810" s="143">
        <f>R810+S810+T810+U810</f>
        <v>2235</v>
      </c>
    </row>
    <row r="811" spans="1:22" s="128" customFormat="1" ht="15.6" hidden="1" x14ac:dyDescent="0.3">
      <c r="A811" s="142" t="s">
        <v>477</v>
      </c>
      <c r="B811" s="142">
        <v>924</v>
      </c>
      <c r="C811" s="141">
        <v>45910</v>
      </c>
      <c r="D811" s="140">
        <f>WEEKNUM(C811)</f>
        <v>37</v>
      </c>
      <c r="E811" s="140" t="s">
        <v>475</v>
      </c>
      <c r="F811" s="140" t="s">
        <v>809</v>
      </c>
      <c r="G811" s="142" t="s">
        <v>311</v>
      </c>
      <c r="H811" s="140" t="s">
        <v>51</v>
      </c>
      <c r="I811" s="142" t="s">
        <v>46</v>
      </c>
      <c r="J811" s="157">
        <v>150</v>
      </c>
      <c r="K811" s="143">
        <v>14</v>
      </c>
      <c r="L811" s="143">
        <f>K811*J811</f>
        <v>2100</v>
      </c>
      <c r="M811" s="143">
        <v>0</v>
      </c>
      <c r="N811" s="141">
        <v>45938</v>
      </c>
      <c r="O811" s="157">
        <f>WEEKNUM(N811)</f>
        <v>41</v>
      </c>
      <c r="P811" s="140"/>
      <c r="Q811" s="140" t="s">
        <v>29</v>
      </c>
      <c r="R811" s="143">
        <f>J811*0.25</f>
        <v>37.5</v>
      </c>
      <c r="S811" s="143">
        <f>J811*0.5</f>
        <v>75</v>
      </c>
      <c r="T811" s="143">
        <f>J811*1.3</f>
        <v>195</v>
      </c>
      <c r="U811" s="143">
        <f>J811*0.5</f>
        <v>75</v>
      </c>
      <c r="V811" s="143">
        <f>R811+S811+T811+U811</f>
        <v>382.5</v>
      </c>
    </row>
    <row r="812" spans="1:22" s="128" customFormat="1" ht="15.6" hidden="1" x14ac:dyDescent="0.3">
      <c r="A812" s="142" t="s">
        <v>477</v>
      </c>
      <c r="B812" s="142">
        <v>927</v>
      </c>
      <c r="C812" s="141">
        <v>45910</v>
      </c>
      <c r="D812" s="140">
        <f>WEEKNUM(C812)</f>
        <v>37</v>
      </c>
      <c r="E812" s="142" t="s">
        <v>498</v>
      </c>
      <c r="F812" s="140" t="s">
        <v>459</v>
      </c>
      <c r="G812" s="142" t="s">
        <v>898</v>
      </c>
      <c r="H812" s="142" t="s">
        <v>905</v>
      </c>
      <c r="I812" s="142" t="s">
        <v>46</v>
      </c>
      <c r="J812" s="157">
        <v>1800</v>
      </c>
      <c r="K812" s="143">
        <v>16</v>
      </c>
      <c r="L812" s="143">
        <f>K812*J812</f>
        <v>28800</v>
      </c>
      <c r="M812" s="143">
        <v>0</v>
      </c>
      <c r="N812" s="141">
        <v>45938</v>
      </c>
      <c r="O812" s="157">
        <f>WEEKNUM(N812)</f>
        <v>41</v>
      </c>
      <c r="P812" s="140"/>
      <c r="Q812" s="140" t="s">
        <v>29</v>
      </c>
      <c r="R812" s="143">
        <f>J812*0.25</f>
        <v>450</v>
      </c>
      <c r="S812" s="143">
        <f>J812*0.8</f>
        <v>1440</v>
      </c>
      <c r="T812" s="143">
        <f>J812*2</f>
        <v>3600</v>
      </c>
      <c r="U812" s="143">
        <f>J812*0.5</f>
        <v>900</v>
      </c>
      <c r="V812" s="143">
        <f>R812+S812+T812+U812</f>
        <v>6390</v>
      </c>
    </row>
    <row r="813" spans="1:22" s="128" customFormat="1" ht="15.6" hidden="1" x14ac:dyDescent="0.3">
      <c r="A813" s="142" t="s">
        <v>483</v>
      </c>
      <c r="B813" s="142">
        <v>277</v>
      </c>
      <c r="C813" s="141">
        <v>45910</v>
      </c>
      <c r="D813" s="140">
        <f>WEEKNUM(C813)</f>
        <v>37</v>
      </c>
      <c r="E813" s="140" t="s">
        <v>475</v>
      </c>
      <c r="F813" s="142" t="s">
        <v>452</v>
      </c>
      <c r="G813" s="142" t="s">
        <v>311</v>
      </c>
      <c r="H813" s="140" t="s">
        <v>51</v>
      </c>
      <c r="I813" s="142" t="s">
        <v>46</v>
      </c>
      <c r="J813" s="157">
        <v>100</v>
      </c>
      <c r="K813" s="143">
        <v>17</v>
      </c>
      <c r="L813" s="143">
        <f>K813*J813</f>
        <v>1700</v>
      </c>
      <c r="M813" s="143">
        <v>0</v>
      </c>
      <c r="N813" s="141">
        <v>45944</v>
      </c>
      <c r="O813" s="157">
        <f>WEEKNUM(N813)</f>
        <v>42</v>
      </c>
      <c r="P813" s="140"/>
      <c r="Q813" s="140" t="s">
        <v>29</v>
      </c>
      <c r="R813" s="143">
        <f>J813*0.25</f>
        <v>25</v>
      </c>
      <c r="S813" s="143">
        <f>J813*0.5</f>
        <v>50</v>
      </c>
      <c r="T813" s="143">
        <f>J813*1.3</f>
        <v>130</v>
      </c>
      <c r="U813" s="143">
        <f>J813*0.5</f>
        <v>50</v>
      </c>
      <c r="V813" s="143">
        <f>R813+S813+T813+U813</f>
        <v>255</v>
      </c>
    </row>
    <row r="814" spans="1:22" s="128" customFormat="1" ht="15.6" hidden="1" x14ac:dyDescent="0.3">
      <c r="A814" s="142" t="s">
        <v>483</v>
      </c>
      <c r="B814" s="142">
        <v>277</v>
      </c>
      <c r="C814" s="141">
        <v>45910</v>
      </c>
      <c r="D814" s="140">
        <f>WEEKNUM(C814)</f>
        <v>37</v>
      </c>
      <c r="E814" s="140" t="s">
        <v>475</v>
      </c>
      <c r="F814" s="142" t="s">
        <v>452</v>
      </c>
      <c r="G814" s="142" t="s">
        <v>554</v>
      </c>
      <c r="H814" s="142" t="s">
        <v>555</v>
      </c>
      <c r="I814" s="142" t="s">
        <v>46</v>
      </c>
      <c r="J814" s="157">
        <v>20</v>
      </c>
      <c r="K814" s="143">
        <v>45</v>
      </c>
      <c r="L814" s="143">
        <f>K814*J814</f>
        <v>900</v>
      </c>
      <c r="M814" s="143">
        <v>0</v>
      </c>
      <c r="N814" s="141">
        <v>45944</v>
      </c>
      <c r="O814" s="157">
        <f>WEEKNUM(N814)</f>
        <v>42</v>
      </c>
      <c r="P814" s="140"/>
      <c r="Q814" s="140" t="s">
        <v>29</v>
      </c>
      <c r="R814" s="143">
        <f>J814*0.25</f>
        <v>5</v>
      </c>
      <c r="S814" s="143">
        <f>J814*1.5</f>
        <v>30</v>
      </c>
      <c r="T814" s="143">
        <f>J814*5.2</f>
        <v>104</v>
      </c>
      <c r="U814" s="143">
        <f>J814*0.5</f>
        <v>10</v>
      </c>
      <c r="V814" s="143">
        <f>R814+S814+T814+U814</f>
        <v>149</v>
      </c>
    </row>
    <row r="815" spans="1:22" s="128" customFormat="1" ht="15.6" hidden="1" x14ac:dyDescent="0.3">
      <c r="A815" s="142" t="s">
        <v>477</v>
      </c>
      <c r="B815" s="142">
        <v>932</v>
      </c>
      <c r="C815" s="141">
        <v>45912</v>
      </c>
      <c r="D815" s="140">
        <f>WEEKNUM(C815)</f>
        <v>37</v>
      </c>
      <c r="E815" s="142" t="s">
        <v>498</v>
      </c>
      <c r="F815" s="140" t="s">
        <v>446</v>
      </c>
      <c r="G815" s="142" t="s">
        <v>598</v>
      </c>
      <c r="H815" s="140" t="s">
        <v>74</v>
      </c>
      <c r="I815" s="142" t="s">
        <v>46</v>
      </c>
      <c r="J815" s="157">
        <v>65</v>
      </c>
      <c r="K815" s="143">
        <v>35</v>
      </c>
      <c r="L815" s="143">
        <f>K815*J815</f>
        <v>2275</v>
      </c>
      <c r="M815" s="143">
        <v>0</v>
      </c>
      <c r="N815" s="141">
        <v>45940</v>
      </c>
      <c r="O815" s="157">
        <f>WEEKNUM(N815)</f>
        <v>41</v>
      </c>
      <c r="P815" s="157">
        <f>WEEKNUM(O815)</f>
        <v>6</v>
      </c>
      <c r="Q815" s="140" t="s">
        <v>29</v>
      </c>
      <c r="R815" s="143">
        <f>J815*0.25</f>
        <v>16.25</v>
      </c>
      <c r="S815" s="143">
        <f>J815*1</f>
        <v>65</v>
      </c>
      <c r="T815" s="143">
        <f>J815*1.5</f>
        <v>97.5</v>
      </c>
      <c r="U815" s="143">
        <f>J815*0.5</f>
        <v>32.5</v>
      </c>
      <c r="V815" s="143">
        <f>R815+S815+T815+U815</f>
        <v>211.25</v>
      </c>
    </row>
    <row r="816" spans="1:22" s="128" customFormat="1" ht="15.6" hidden="1" x14ac:dyDescent="0.3">
      <c r="A816" s="142" t="s">
        <v>483</v>
      </c>
      <c r="B816" s="142">
        <v>279</v>
      </c>
      <c r="C816" s="141">
        <v>45912</v>
      </c>
      <c r="D816" s="140">
        <f>WEEKNUM(C816)</f>
        <v>37</v>
      </c>
      <c r="E816" s="140" t="s">
        <v>475</v>
      </c>
      <c r="F816" s="142" t="s">
        <v>451</v>
      </c>
      <c r="G816" s="142" t="s">
        <v>218</v>
      </c>
      <c r="H816" s="140" t="s">
        <v>74</v>
      </c>
      <c r="I816" s="142" t="s">
        <v>46</v>
      </c>
      <c r="J816" s="157">
        <v>200</v>
      </c>
      <c r="K816" s="143">
        <v>25.5</v>
      </c>
      <c r="L816" s="143">
        <f>K816*J816</f>
        <v>5100</v>
      </c>
      <c r="M816" s="143">
        <v>0</v>
      </c>
      <c r="N816" s="141">
        <v>45952</v>
      </c>
      <c r="O816" s="157">
        <f>WEEKNUM(N816)</f>
        <v>43</v>
      </c>
      <c r="P816" s="140"/>
      <c r="Q816" s="140" t="s">
        <v>29</v>
      </c>
      <c r="R816" s="143">
        <f>J816*0.25</f>
        <v>50</v>
      </c>
      <c r="S816" s="143">
        <f>J816*1</f>
        <v>200</v>
      </c>
      <c r="T816" s="143">
        <f>J816*1.5</f>
        <v>300</v>
      </c>
      <c r="U816" s="143">
        <f>J816*0.5</f>
        <v>100</v>
      </c>
      <c r="V816" s="143">
        <f>R816+S816+T816+U816</f>
        <v>650</v>
      </c>
    </row>
    <row r="817" spans="1:22" s="128" customFormat="1" ht="15.6" hidden="1" x14ac:dyDescent="0.3">
      <c r="A817" s="142" t="s">
        <v>477</v>
      </c>
      <c r="B817" s="142">
        <v>1241</v>
      </c>
      <c r="C817" s="141">
        <v>45912</v>
      </c>
      <c r="D817" s="140">
        <f>WEEKNUM(C817)</f>
        <v>37</v>
      </c>
      <c r="E817" s="140" t="s">
        <v>478</v>
      </c>
      <c r="F817" s="142" t="s">
        <v>850</v>
      </c>
      <c r="G817" s="142" t="s">
        <v>851</v>
      </c>
      <c r="H817" s="142" t="s">
        <v>95</v>
      </c>
      <c r="I817" s="142" t="s">
        <v>46</v>
      </c>
      <c r="J817" s="157">
        <v>200</v>
      </c>
      <c r="K817" s="143">
        <v>32.5</v>
      </c>
      <c r="L817" s="143">
        <f>K817*J817</f>
        <v>6500</v>
      </c>
      <c r="M817" s="143">
        <v>0</v>
      </c>
      <c r="N817" s="141">
        <v>45940</v>
      </c>
      <c r="O817" s="157">
        <f>WEEKNUM(N817)</f>
        <v>41</v>
      </c>
      <c r="P817" s="140"/>
      <c r="Q817" s="140" t="s">
        <v>29</v>
      </c>
      <c r="R817" s="143">
        <f>J817*1</f>
        <v>200</v>
      </c>
      <c r="S817" s="143">
        <f>J817*0.6</f>
        <v>120</v>
      </c>
      <c r="T817" s="143">
        <f>J817*0.7</f>
        <v>140</v>
      </c>
      <c r="U817" s="143">
        <f>J817*1</f>
        <v>200</v>
      </c>
      <c r="V817" s="143">
        <f>R817+S817+T817+U817</f>
        <v>660</v>
      </c>
    </row>
    <row r="818" spans="1:22" s="128" customFormat="1" ht="15.6" hidden="1" x14ac:dyDescent="0.3">
      <c r="A818" s="142" t="s">
        <v>477</v>
      </c>
      <c r="B818" s="142">
        <v>933</v>
      </c>
      <c r="C818" s="141">
        <v>45915</v>
      </c>
      <c r="D818" s="140">
        <f>WEEKNUM(C818)</f>
        <v>38</v>
      </c>
      <c r="E818" s="140" t="s">
        <v>478</v>
      </c>
      <c r="F818" s="140" t="s">
        <v>444</v>
      </c>
      <c r="G818" s="130" t="s">
        <v>638</v>
      </c>
      <c r="H818" s="140" t="s">
        <v>60</v>
      </c>
      <c r="I818" s="142" t="s">
        <v>61</v>
      </c>
      <c r="J818" s="157">
        <v>300</v>
      </c>
      <c r="K818" s="143">
        <v>23</v>
      </c>
      <c r="L818" s="143">
        <f>K818*J818</f>
        <v>6900</v>
      </c>
      <c r="M818" s="143">
        <v>0</v>
      </c>
      <c r="N818" s="141">
        <v>45930</v>
      </c>
      <c r="O818" s="157">
        <f>WEEKNUM(N818)</f>
        <v>40</v>
      </c>
      <c r="P818" s="140"/>
      <c r="Q818" s="140" t="s">
        <v>29</v>
      </c>
      <c r="R818" s="143">
        <f>J818*0.25</f>
        <v>75</v>
      </c>
      <c r="S818" s="143">
        <f>J818*0.7</f>
        <v>210</v>
      </c>
      <c r="T818" s="143">
        <f>J818*2.5</f>
        <v>750</v>
      </c>
      <c r="U818" s="143">
        <f>J818*0.5</f>
        <v>150</v>
      </c>
      <c r="V818" s="143">
        <f>R818+S818+T818+U818</f>
        <v>1185</v>
      </c>
    </row>
    <row r="819" spans="1:22" s="128" customFormat="1" ht="15.6" hidden="1" x14ac:dyDescent="0.3">
      <c r="A819" s="142" t="s">
        <v>477</v>
      </c>
      <c r="B819" s="142">
        <v>280</v>
      </c>
      <c r="C819" s="141">
        <v>45916</v>
      </c>
      <c r="D819" s="140">
        <f>WEEKNUM(C819)</f>
        <v>38</v>
      </c>
      <c r="E819" s="140" t="s">
        <v>475</v>
      </c>
      <c r="F819" s="142" t="s">
        <v>525</v>
      </c>
      <c r="G819" s="140" t="s">
        <v>480</v>
      </c>
      <c r="H819" s="140" t="s">
        <v>51</v>
      </c>
      <c r="I819" s="142" t="s">
        <v>46</v>
      </c>
      <c r="J819" s="157">
        <v>100</v>
      </c>
      <c r="K819" s="143">
        <v>19.7</v>
      </c>
      <c r="L819" s="143">
        <f>K819*J819</f>
        <v>1970</v>
      </c>
      <c r="M819" s="143">
        <v>0</v>
      </c>
      <c r="N819" s="141">
        <v>45930</v>
      </c>
      <c r="O819" s="157">
        <f>WEEKNUM(N819)</f>
        <v>40</v>
      </c>
      <c r="P819" s="140"/>
      <c r="Q819" s="140" t="s">
        <v>29</v>
      </c>
      <c r="R819" s="143">
        <f>J819*0.25</f>
        <v>25</v>
      </c>
      <c r="S819" s="143">
        <f>J819*0.5</f>
        <v>50</v>
      </c>
      <c r="T819" s="143">
        <f>J819*1.3</f>
        <v>130</v>
      </c>
      <c r="U819" s="143">
        <f>J819*0.5</f>
        <v>50</v>
      </c>
      <c r="V819" s="143">
        <f>R819+S819+T819+U819</f>
        <v>255</v>
      </c>
    </row>
    <row r="820" spans="1:22" s="128" customFormat="1" ht="15.6" hidden="1" x14ac:dyDescent="0.3">
      <c r="A820" s="142" t="s">
        <v>496</v>
      </c>
      <c r="B820" s="142">
        <v>281</v>
      </c>
      <c r="C820" s="141">
        <v>45916</v>
      </c>
      <c r="D820" s="140">
        <f>WEEKNUM(C820)</f>
        <v>38</v>
      </c>
      <c r="E820" s="140" t="s">
        <v>475</v>
      </c>
      <c r="F820" s="142" t="s">
        <v>671</v>
      </c>
      <c r="G820" s="142" t="s">
        <v>554</v>
      </c>
      <c r="H820" s="142" t="s">
        <v>555</v>
      </c>
      <c r="I820" s="142" t="s">
        <v>46</v>
      </c>
      <c r="J820" s="157">
        <v>20</v>
      </c>
      <c r="K820" s="143">
        <v>45</v>
      </c>
      <c r="L820" s="143">
        <f>K820*J820</f>
        <v>900</v>
      </c>
      <c r="M820" s="143">
        <v>0</v>
      </c>
      <c r="N820" s="141">
        <v>45943</v>
      </c>
      <c r="O820" s="157">
        <f>WEEKNUM(N820)</f>
        <v>42</v>
      </c>
      <c r="P820" s="140"/>
      <c r="Q820" s="140" t="s">
        <v>29</v>
      </c>
      <c r="R820" s="143">
        <f>J820*0.25</f>
        <v>5</v>
      </c>
      <c r="S820" s="143">
        <f>J820*1.5</f>
        <v>30</v>
      </c>
      <c r="T820" s="143">
        <f>J820*5.2</f>
        <v>104</v>
      </c>
      <c r="U820" s="143">
        <f>J820*0.5</f>
        <v>10</v>
      </c>
      <c r="V820" s="143">
        <f>R820+S820+T820+U820</f>
        <v>149</v>
      </c>
    </row>
    <row r="821" spans="1:22" s="128" customFormat="1" ht="15.6" hidden="1" x14ac:dyDescent="0.3">
      <c r="A821" s="142" t="s">
        <v>496</v>
      </c>
      <c r="B821" s="142">
        <v>281</v>
      </c>
      <c r="C821" s="141">
        <v>45916</v>
      </c>
      <c r="D821" s="140">
        <f>WEEKNUM(C821)</f>
        <v>38</v>
      </c>
      <c r="E821" s="140" t="s">
        <v>475</v>
      </c>
      <c r="F821" s="142" t="s">
        <v>671</v>
      </c>
      <c r="G821" s="142" t="s">
        <v>311</v>
      </c>
      <c r="H821" s="140" t="s">
        <v>51</v>
      </c>
      <c r="I821" s="142" t="s">
        <v>46</v>
      </c>
      <c r="J821" s="157">
        <v>30</v>
      </c>
      <c r="K821" s="143">
        <v>25</v>
      </c>
      <c r="L821" s="143">
        <f>K821*J821</f>
        <v>750</v>
      </c>
      <c r="M821" s="143">
        <v>0</v>
      </c>
      <c r="N821" s="141">
        <v>45943</v>
      </c>
      <c r="O821" s="157">
        <f>WEEKNUM(N821)</f>
        <v>42</v>
      </c>
      <c r="P821" s="140"/>
      <c r="Q821" s="140" t="s">
        <v>29</v>
      </c>
      <c r="R821" s="143">
        <f>J821*0.25</f>
        <v>7.5</v>
      </c>
      <c r="S821" s="143">
        <f>J821*0.5</f>
        <v>15</v>
      </c>
      <c r="T821" s="143">
        <f>J821*1.3</f>
        <v>39</v>
      </c>
      <c r="U821" s="143">
        <f>J821*0.5</f>
        <v>15</v>
      </c>
      <c r="V821" s="143">
        <f>R821+S821+T821+U821</f>
        <v>76.5</v>
      </c>
    </row>
    <row r="822" spans="1:22" s="128" customFormat="1" ht="15.6" hidden="1" x14ac:dyDescent="0.3">
      <c r="A822" s="142" t="s">
        <v>496</v>
      </c>
      <c r="B822" s="142">
        <v>281</v>
      </c>
      <c r="C822" s="141">
        <v>45916</v>
      </c>
      <c r="D822" s="140">
        <f>WEEKNUM(C822)</f>
        <v>38</v>
      </c>
      <c r="E822" s="140" t="s">
        <v>475</v>
      </c>
      <c r="F822" s="142" t="s">
        <v>671</v>
      </c>
      <c r="G822" s="142" t="s">
        <v>339</v>
      </c>
      <c r="H822" s="142" t="s">
        <v>340</v>
      </c>
      <c r="I822" s="142" t="s">
        <v>46</v>
      </c>
      <c r="J822" s="157">
        <v>2</v>
      </c>
      <c r="K822" s="143">
        <v>75</v>
      </c>
      <c r="L822" s="143">
        <f>K822*J822</f>
        <v>150</v>
      </c>
      <c r="M822" s="143">
        <v>0</v>
      </c>
      <c r="N822" s="141">
        <v>45943</v>
      </c>
      <c r="O822" s="157">
        <f>WEEKNUM(N822)</f>
        <v>42</v>
      </c>
      <c r="P822" s="140"/>
      <c r="Q822" s="140" t="s">
        <v>29</v>
      </c>
      <c r="R822" s="143">
        <v>0</v>
      </c>
      <c r="S822" s="143">
        <f>J822*1</f>
        <v>2</v>
      </c>
      <c r="T822" s="143">
        <v>0</v>
      </c>
      <c r="U822" s="143">
        <f>J822*0.5</f>
        <v>1</v>
      </c>
      <c r="V822" s="143">
        <f>R822+S822+T822+U822</f>
        <v>3</v>
      </c>
    </row>
    <row r="823" spans="1:22" s="128" customFormat="1" ht="15.6" hidden="1" x14ac:dyDescent="0.3">
      <c r="A823" s="142" t="s">
        <v>496</v>
      </c>
      <c r="B823" s="142">
        <v>281</v>
      </c>
      <c r="C823" s="141">
        <v>45916</v>
      </c>
      <c r="D823" s="140">
        <f>WEEKNUM(C823)</f>
        <v>38</v>
      </c>
      <c r="E823" s="140" t="s">
        <v>475</v>
      </c>
      <c r="F823" s="142" t="s">
        <v>671</v>
      </c>
      <c r="G823" s="142" t="s">
        <v>218</v>
      </c>
      <c r="H823" s="140" t="s">
        <v>74</v>
      </c>
      <c r="I823" s="142" t="s">
        <v>46</v>
      </c>
      <c r="J823" s="157">
        <v>1</v>
      </c>
      <c r="K823" s="143">
        <v>35</v>
      </c>
      <c r="L823" s="143">
        <f>K823*J823</f>
        <v>35</v>
      </c>
      <c r="M823" s="143">
        <v>0</v>
      </c>
      <c r="N823" s="141">
        <v>45943</v>
      </c>
      <c r="O823" s="157">
        <f>WEEKNUM(N823)</f>
        <v>42</v>
      </c>
      <c r="P823" s="140"/>
      <c r="Q823" s="140" t="s">
        <v>29</v>
      </c>
      <c r="R823" s="143">
        <f>J823*0.25</f>
        <v>0.25</v>
      </c>
      <c r="S823" s="143">
        <f>J823*1</f>
        <v>1</v>
      </c>
      <c r="T823" s="143">
        <f>J823*1.5</f>
        <v>1.5</v>
      </c>
      <c r="U823" s="143">
        <f>J823*0.5</f>
        <v>0.5</v>
      </c>
      <c r="V823" s="143">
        <f>R823+S823+T823+U823</f>
        <v>3.25</v>
      </c>
    </row>
    <row r="824" spans="1:22" s="128" customFormat="1" ht="15.6" hidden="1" x14ac:dyDescent="0.3">
      <c r="A824" s="142" t="s">
        <v>481</v>
      </c>
      <c r="B824" s="142">
        <v>282</v>
      </c>
      <c r="C824" s="141">
        <v>45917</v>
      </c>
      <c r="D824" s="140">
        <f>WEEKNUM(C824)</f>
        <v>38</v>
      </c>
      <c r="E824" s="140" t="s">
        <v>475</v>
      </c>
      <c r="F824" s="142" t="s">
        <v>682</v>
      </c>
      <c r="G824" s="142" t="s">
        <v>311</v>
      </c>
      <c r="H824" s="140" t="s">
        <v>51</v>
      </c>
      <c r="I824" s="142" t="s">
        <v>46</v>
      </c>
      <c r="J824" s="157">
        <v>100</v>
      </c>
      <c r="K824" s="143">
        <v>17</v>
      </c>
      <c r="L824" s="143">
        <f>K824*J824</f>
        <v>1700</v>
      </c>
      <c r="M824" s="143">
        <v>0</v>
      </c>
      <c r="N824" s="141">
        <v>45943</v>
      </c>
      <c r="O824" s="157">
        <f>WEEKNUM(N824)</f>
        <v>42</v>
      </c>
      <c r="P824" s="140"/>
      <c r="Q824" s="140" t="s">
        <v>29</v>
      </c>
      <c r="R824" s="143">
        <f>J824*0.25</f>
        <v>25</v>
      </c>
      <c r="S824" s="143">
        <f>J824*0.5</f>
        <v>50</v>
      </c>
      <c r="T824" s="143">
        <f>J824*1.3</f>
        <v>130</v>
      </c>
      <c r="U824" s="143">
        <f>J824*0.5</f>
        <v>50</v>
      </c>
      <c r="V824" s="143">
        <f>R824+S824+T824+U824</f>
        <v>255</v>
      </c>
    </row>
    <row r="825" spans="1:22" s="128" customFormat="1" ht="15.6" hidden="1" x14ac:dyDescent="0.3">
      <c r="A825" s="142" t="s">
        <v>481</v>
      </c>
      <c r="B825" s="142">
        <v>285</v>
      </c>
      <c r="C825" s="141">
        <v>45918</v>
      </c>
      <c r="D825" s="140">
        <f>WEEKNUM(C825)</f>
        <v>38</v>
      </c>
      <c r="E825" s="140" t="s">
        <v>475</v>
      </c>
      <c r="F825" s="142" t="s">
        <v>975</v>
      </c>
      <c r="G825" s="142" t="s">
        <v>515</v>
      </c>
      <c r="H825" s="140" t="s">
        <v>60</v>
      </c>
      <c r="I825" s="142" t="s">
        <v>61</v>
      </c>
      <c r="J825" s="157">
        <v>200</v>
      </c>
      <c r="K825" s="143">
        <v>12.5</v>
      </c>
      <c r="L825" s="143">
        <f>K825*J825</f>
        <v>2500</v>
      </c>
      <c r="M825" s="143">
        <v>0</v>
      </c>
      <c r="N825" s="141">
        <v>45945</v>
      </c>
      <c r="O825" s="157">
        <f>WEEKNUM(N825)</f>
        <v>42</v>
      </c>
      <c r="P825" s="140"/>
      <c r="Q825" s="140" t="s">
        <v>29</v>
      </c>
      <c r="R825" s="143">
        <f>J825*0.25</f>
        <v>50</v>
      </c>
      <c r="S825" s="143">
        <f>J825*0.7</f>
        <v>140</v>
      </c>
      <c r="T825" s="143">
        <f>J825*2.5</f>
        <v>500</v>
      </c>
      <c r="U825" s="143">
        <f>J825*0.5</f>
        <v>100</v>
      </c>
      <c r="V825" s="143">
        <f>R825+S825+T825+U825</f>
        <v>790</v>
      </c>
    </row>
    <row r="826" spans="1:22" s="128" customFormat="1" ht="15.6" hidden="1" x14ac:dyDescent="0.3">
      <c r="A826" s="142" t="s">
        <v>477</v>
      </c>
      <c r="B826" s="142">
        <v>286</v>
      </c>
      <c r="C826" s="141">
        <v>45918</v>
      </c>
      <c r="D826" s="140">
        <f>WEEKNUM(C826)</f>
        <v>38</v>
      </c>
      <c r="E826" s="140" t="s">
        <v>475</v>
      </c>
      <c r="F826" s="142" t="s">
        <v>560</v>
      </c>
      <c r="G826" s="142" t="s">
        <v>561</v>
      </c>
      <c r="H826" s="140" t="s">
        <v>51</v>
      </c>
      <c r="I826" s="142" t="s">
        <v>46</v>
      </c>
      <c r="J826" s="157">
        <v>100</v>
      </c>
      <c r="K826" s="143">
        <v>15.5</v>
      </c>
      <c r="L826" s="143">
        <f>K826*J826</f>
        <v>1550</v>
      </c>
      <c r="M826" s="143">
        <v>0</v>
      </c>
      <c r="N826" s="141">
        <v>45945</v>
      </c>
      <c r="O826" s="157">
        <f>WEEKNUM(N826)</f>
        <v>42</v>
      </c>
      <c r="P826" s="140"/>
      <c r="Q826" s="140" t="s">
        <v>29</v>
      </c>
      <c r="R826" s="143">
        <f>J826*0.25</f>
        <v>25</v>
      </c>
      <c r="S826" s="143">
        <f>J826*0.5</f>
        <v>50</v>
      </c>
      <c r="T826" s="143">
        <f>J826*1.3</f>
        <v>130</v>
      </c>
      <c r="U826" s="143">
        <f>J826*0.5</f>
        <v>50</v>
      </c>
      <c r="V826" s="143">
        <f>R826+S826+T826+U826</f>
        <v>255</v>
      </c>
    </row>
    <row r="827" spans="1:22" s="128" customFormat="1" ht="15.6" hidden="1" x14ac:dyDescent="0.3">
      <c r="A827" s="142" t="s">
        <v>477</v>
      </c>
      <c r="B827" s="142">
        <v>286</v>
      </c>
      <c r="C827" s="141">
        <v>45918</v>
      </c>
      <c r="D827" s="140">
        <f>WEEKNUM(C827)</f>
        <v>38</v>
      </c>
      <c r="E827" s="140" t="s">
        <v>475</v>
      </c>
      <c r="F827" s="142" t="s">
        <v>560</v>
      </c>
      <c r="G827" s="142" t="s">
        <v>546</v>
      </c>
      <c r="H827" s="140" t="s">
        <v>494</v>
      </c>
      <c r="I827" s="142" t="s">
        <v>46</v>
      </c>
      <c r="J827" s="157">
        <v>50</v>
      </c>
      <c r="K827" s="143">
        <v>18</v>
      </c>
      <c r="L827" s="143">
        <f>K827*J827</f>
        <v>900</v>
      </c>
      <c r="M827" s="143">
        <v>0</v>
      </c>
      <c r="N827" s="141">
        <v>45945</v>
      </c>
      <c r="O827" s="157">
        <f>WEEKNUM(N827)</f>
        <v>42</v>
      </c>
      <c r="P827" s="140"/>
      <c r="Q827" s="140" t="s">
        <v>29</v>
      </c>
      <c r="R827" s="143">
        <f>J827*0.25</f>
        <v>12.5</v>
      </c>
      <c r="S827" s="143">
        <f>J827*1</f>
        <v>50</v>
      </c>
      <c r="T827" s="143">
        <f>J827*1.5</f>
        <v>75</v>
      </c>
      <c r="U827" s="143">
        <f>J827*0.5</f>
        <v>25</v>
      </c>
      <c r="V827" s="143">
        <f>R827+S827+T827+U827</f>
        <v>162.5</v>
      </c>
    </row>
    <row r="828" spans="1:22" s="128" customFormat="1" ht="15.6" hidden="1" x14ac:dyDescent="0.3">
      <c r="A828" s="142" t="s">
        <v>477</v>
      </c>
      <c r="B828" s="142">
        <v>283</v>
      </c>
      <c r="C828" s="141">
        <v>45918</v>
      </c>
      <c r="D828" s="140">
        <f>WEEKNUM(C828)</f>
        <v>38</v>
      </c>
      <c r="E828" s="140" t="s">
        <v>475</v>
      </c>
      <c r="F828" s="142" t="s">
        <v>831</v>
      </c>
      <c r="G828" s="142" t="s">
        <v>218</v>
      </c>
      <c r="H828" s="140" t="s">
        <v>74</v>
      </c>
      <c r="I828" s="142" t="s">
        <v>46</v>
      </c>
      <c r="J828" s="157">
        <v>200</v>
      </c>
      <c r="K828" s="143">
        <v>22</v>
      </c>
      <c r="L828" s="143">
        <f>K828*J828</f>
        <v>4400</v>
      </c>
      <c r="M828" s="143">
        <v>0</v>
      </c>
      <c r="N828" s="141">
        <v>45954</v>
      </c>
      <c r="O828" s="157">
        <f>WEEKNUM(N828)</f>
        <v>43</v>
      </c>
      <c r="P828" s="140"/>
      <c r="Q828" s="140" t="s">
        <v>29</v>
      </c>
      <c r="R828" s="143">
        <f>J828*0.25</f>
        <v>50</v>
      </c>
      <c r="S828" s="143">
        <f>J828*1</f>
        <v>200</v>
      </c>
      <c r="T828" s="143">
        <f>J828*1.5</f>
        <v>300</v>
      </c>
      <c r="U828" s="143">
        <f>J828*0.5</f>
        <v>100</v>
      </c>
      <c r="V828" s="143">
        <f>R828+S828+T828+U828</f>
        <v>650</v>
      </c>
    </row>
    <row r="829" spans="1:22" s="128" customFormat="1" ht="15.6" hidden="1" x14ac:dyDescent="0.3">
      <c r="A829" s="142" t="s">
        <v>477</v>
      </c>
      <c r="B829" s="142">
        <v>937</v>
      </c>
      <c r="C829" s="141">
        <v>45918</v>
      </c>
      <c r="D829" s="140">
        <f>WEEKNUM(C829)</f>
        <v>38</v>
      </c>
      <c r="E829" s="142" t="s">
        <v>498</v>
      </c>
      <c r="F829" s="142" t="s">
        <v>952</v>
      </c>
      <c r="G829" s="142" t="s">
        <v>487</v>
      </c>
      <c r="H829" s="140" t="s">
        <v>51</v>
      </c>
      <c r="I829" s="142" t="s">
        <v>46</v>
      </c>
      <c r="J829" s="157">
        <v>250</v>
      </c>
      <c r="K829" s="143">
        <v>23.5</v>
      </c>
      <c r="L829" s="143">
        <f>K829*J829</f>
        <v>5875</v>
      </c>
      <c r="M829" s="143">
        <v>0</v>
      </c>
      <c r="N829" s="141">
        <v>45945</v>
      </c>
      <c r="O829" s="157">
        <f>WEEKNUM(N829)</f>
        <v>42</v>
      </c>
      <c r="P829" s="140"/>
      <c r="Q829" s="140" t="s">
        <v>29</v>
      </c>
      <c r="R829" s="143">
        <f>J829*0.25</f>
        <v>62.5</v>
      </c>
      <c r="S829" s="143">
        <f>J829*0.5</f>
        <v>125</v>
      </c>
      <c r="T829" s="143">
        <f>J829*1.3</f>
        <v>325</v>
      </c>
      <c r="U829" s="143">
        <f>J829*0.5</f>
        <v>125</v>
      </c>
      <c r="V829" s="143">
        <f>R829+S829+T829+U829</f>
        <v>637.5</v>
      </c>
    </row>
    <row r="830" spans="1:22" s="128" customFormat="1" ht="15.6" hidden="1" x14ac:dyDescent="0.3">
      <c r="A830" s="142" t="s">
        <v>477</v>
      </c>
      <c r="B830" s="142">
        <v>938</v>
      </c>
      <c r="C830" s="141">
        <v>45919</v>
      </c>
      <c r="D830" s="140">
        <f>WEEKNUM(C830)</f>
        <v>38</v>
      </c>
      <c r="E830" s="140" t="s">
        <v>475</v>
      </c>
      <c r="F830" s="142" t="s">
        <v>888</v>
      </c>
      <c r="G830" s="142" t="s">
        <v>218</v>
      </c>
      <c r="H830" s="140" t="s">
        <v>74</v>
      </c>
      <c r="I830" s="142" t="s">
        <v>46</v>
      </c>
      <c r="J830" s="157">
        <v>400</v>
      </c>
      <c r="K830" s="143">
        <v>22.5</v>
      </c>
      <c r="L830" s="143">
        <f>K830*J830</f>
        <v>9000</v>
      </c>
      <c r="M830" s="143">
        <v>0</v>
      </c>
      <c r="N830" s="141">
        <v>45950</v>
      </c>
      <c r="O830" s="157">
        <f>WEEKNUM(N830)</f>
        <v>43</v>
      </c>
      <c r="P830" s="140"/>
      <c r="Q830" s="140" t="s">
        <v>29</v>
      </c>
      <c r="R830" s="143">
        <f>J830*0.25</f>
        <v>100</v>
      </c>
      <c r="S830" s="143">
        <f>J830*1</f>
        <v>400</v>
      </c>
      <c r="T830" s="143">
        <f>J830*1.5</f>
        <v>600</v>
      </c>
      <c r="U830" s="143">
        <f>J830*0.5</f>
        <v>200</v>
      </c>
      <c r="V830" s="143">
        <f>R830+S830+T830+U830</f>
        <v>1300</v>
      </c>
    </row>
    <row r="831" spans="1:22" s="128" customFormat="1" ht="15.6" hidden="1" x14ac:dyDescent="0.3">
      <c r="A831" s="142" t="s">
        <v>483</v>
      </c>
      <c r="B831" s="142">
        <v>287</v>
      </c>
      <c r="C831" s="141">
        <v>45919</v>
      </c>
      <c r="D831" s="140">
        <f>WEEKNUM(C831)</f>
        <v>38</v>
      </c>
      <c r="E831" s="140" t="s">
        <v>475</v>
      </c>
      <c r="F831" s="142" t="s">
        <v>997</v>
      </c>
      <c r="G831" s="142" t="s">
        <v>311</v>
      </c>
      <c r="H831" s="140" t="s">
        <v>51</v>
      </c>
      <c r="I831" s="142" t="s">
        <v>46</v>
      </c>
      <c r="J831" s="157">
        <v>15</v>
      </c>
      <c r="K831" s="143">
        <v>25</v>
      </c>
      <c r="L831" s="143">
        <f>K831*J831</f>
        <v>375</v>
      </c>
      <c r="M831" s="143">
        <v>0</v>
      </c>
      <c r="N831" s="141">
        <v>45919</v>
      </c>
      <c r="O831" s="157">
        <f>WEEKNUM(N831)</f>
        <v>38</v>
      </c>
      <c r="P831" s="140"/>
      <c r="Q831" s="140" t="s">
        <v>29</v>
      </c>
      <c r="R831" s="143">
        <f>J831*0.25</f>
        <v>3.75</v>
      </c>
      <c r="S831" s="143">
        <f>J831*0.5</f>
        <v>7.5</v>
      </c>
      <c r="T831" s="143">
        <f>J831*1.3</f>
        <v>19.5</v>
      </c>
      <c r="U831" s="143">
        <f>J831*0.5</f>
        <v>7.5</v>
      </c>
      <c r="V831" s="143">
        <f>R831+S831+T831+U831</f>
        <v>38.25</v>
      </c>
    </row>
    <row r="832" spans="1:22" s="128" customFormat="1" ht="15.6" hidden="1" x14ac:dyDescent="0.3">
      <c r="A832" s="142" t="s">
        <v>483</v>
      </c>
      <c r="B832" s="142">
        <v>287</v>
      </c>
      <c r="C832" s="141">
        <v>45919</v>
      </c>
      <c r="D832" s="140">
        <f>WEEKNUM(C832)</f>
        <v>38</v>
      </c>
      <c r="E832" s="140" t="s">
        <v>475</v>
      </c>
      <c r="F832" s="142" t="s">
        <v>997</v>
      </c>
      <c r="G832" s="142" t="s">
        <v>546</v>
      </c>
      <c r="H832" s="140" t="s">
        <v>494</v>
      </c>
      <c r="I832" s="142" t="s">
        <v>46</v>
      </c>
      <c r="J832" s="157">
        <v>65</v>
      </c>
      <c r="K832" s="143">
        <v>25</v>
      </c>
      <c r="L832" s="143">
        <f>K832*J832</f>
        <v>1625</v>
      </c>
      <c r="M832" s="143">
        <v>0</v>
      </c>
      <c r="N832" s="141">
        <v>45919</v>
      </c>
      <c r="O832" s="157">
        <f>WEEKNUM(N832)</f>
        <v>38</v>
      </c>
      <c r="P832" s="140"/>
      <c r="Q832" s="140" t="s">
        <v>29</v>
      </c>
      <c r="R832" s="143">
        <f>J832*0.25</f>
        <v>16.25</v>
      </c>
      <c r="S832" s="143">
        <f>J832*1</f>
        <v>65</v>
      </c>
      <c r="T832" s="143">
        <f>J832*1.5</f>
        <v>97.5</v>
      </c>
      <c r="U832" s="143">
        <f>J832*0.5</f>
        <v>32.5</v>
      </c>
      <c r="V832" s="143">
        <f>R832+S832+T832+U832</f>
        <v>211.25</v>
      </c>
    </row>
    <row r="833" spans="1:22" s="128" customFormat="1" ht="15.6" hidden="1" x14ac:dyDescent="0.3">
      <c r="A833" s="142" t="s">
        <v>477</v>
      </c>
      <c r="B833" s="142">
        <v>290</v>
      </c>
      <c r="C833" s="141">
        <v>45923</v>
      </c>
      <c r="D833" s="140">
        <f>WEEKNUM(C833)</f>
        <v>39</v>
      </c>
      <c r="E833" s="142" t="s">
        <v>68</v>
      </c>
      <c r="F833" s="142" t="s">
        <v>387</v>
      </c>
      <c r="G833" s="142" t="s">
        <v>339</v>
      </c>
      <c r="H833" s="142" t="s">
        <v>340</v>
      </c>
      <c r="I833" s="142" t="s">
        <v>46</v>
      </c>
      <c r="J833" s="157">
        <v>2</v>
      </c>
      <c r="K833" s="143">
        <v>65</v>
      </c>
      <c r="L833" s="143">
        <f>K833*J833</f>
        <v>130</v>
      </c>
      <c r="M833" s="143">
        <v>0</v>
      </c>
      <c r="N833" s="141">
        <v>45943</v>
      </c>
      <c r="O833" s="157">
        <f>WEEKNUM(N833)</f>
        <v>42</v>
      </c>
      <c r="P833" s="140"/>
      <c r="Q833" s="140" t="s">
        <v>29</v>
      </c>
      <c r="R833" s="143">
        <v>0</v>
      </c>
      <c r="S833" s="143">
        <f>J833*1</f>
        <v>2</v>
      </c>
      <c r="T833" s="143">
        <v>0</v>
      </c>
      <c r="U833" s="143">
        <f>J833*0.5</f>
        <v>1</v>
      </c>
      <c r="V833" s="143">
        <f>R833+S833+T833+U833</f>
        <v>3</v>
      </c>
    </row>
    <row r="834" spans="1:22" s="128" customFormat="1" ht="15.6" hidden="1" x14ac:dyDescent="0.3">
      <c r="A834" s="142" t="s">
        <v>477</v>
      </c>
      <c r="B834" s="142">
        <v>290</v>
      </c>
      <c r="C834" s="141">
        <v>45923</v>
      </c>
      <c r="D834" s="140">
        <f>WEEKNUM(C834)</f>
        <v>39</v>
      </c>
      <c r="E834" s="142" t="s">
        <v>68</v>
      </c>
      <c r="F834" s="142" t="s">
        <v>387</v>
      </c>
      <c r="G834" s="140" t="s">
        <v>503</v>
      </c>
      <c r="H834" s="142" t="s">
        <v>354</v>
      </c>
      <c r="I834" s="142" t="s">
        <v>46</v>
      </c>
      <c r="J834" s="157">
        <v>2</v>
      </c>
      <c r="K834" s="143">
        <v>36.75</v>
      </c>
      <c r="L834" s="143">
        <f>K834*J834</f>
        <v>73.5</v>
      </c>
      <c r="M834" s="143">
        <v>0</v>
      </c>
      <c r="N834" s="141">
        <v>45943</v>
      </c>
      <c r="O834" s="157">
        <f>WEEKNUM(N834)</f>
        <v>42</v>
      </c>
      <c r="P834" s="140"/>
      <c r="Q834" s="140" t="s">
        <v>29</v>
      </c>
      <c r="R834" s="143">
        <f>J834*0.25</f>
        <v>0.5</v>
      </c>
      <c r="S834" s="143">
        <f>J834*1</f>
        <v>2</v>
      </c>
      <c r="T834" s="143">
        <f>J834*1.5</f>
        <v>3</v>
      </c>
      <c r="U834" s="143">
        <f>J834*0.5</f>
        <v>1</v>
      </c>
      <c r="V834" s="143">
        <f>R834+S834+T834+U834</f>
        <v>6.5</v>
      </c>
    </row>
    <row r="835" spans="1:22" s="128" customFormat="1" ht="15.6" hidden="1" x14ac:dyDescent="0.3">
      <c r="A835" s="142" t="s">
        <v>477</v>
      </c>
      <c r="B835" s="142">
        <v>290</v>
      </c>
      <c r="C835" s="141">
        <v>45923</v>
      </c>
      <c r="D835" s="140">
        <f>WEEKNUM(C835)</f>
        <v>39</v>
      </c>
      <c r="E835" s="142" t="s">
        <v>68</v>
      </c>
      <c r="F835" s="142" t="s">
        <v>387</v>
      </c>
      <c r="G835" s="142" t="s">
        <v>301</v>
      </c>
      <c r="H835" s="140" t="s">
        <v>74</v>
      </c>
      <c r="I835" s="142" t="s">
        <v>46</v>
      </c>
      <c r="J835" s="157">
        <v>2</v>
      </c>
      <c r="K835" s="143">
        <v>36.75</v>
      </c>
      <c r="L835" s="143">
        <f>K835*J835</f>
        <v>73.5</v>
      </c>
      <c r="M835" s="143">
        <v>0</v>
      </c>
      <c r="N835" s="141">
        <v>45943</v>
      </c>
      <c r="O835" s="157">
        <f>WEEKNUM(N835)</f>
        <v>42</v>
      </c>
      <c r="P835" s="140"/>
      <c r="Q835" s="140" t="s">
        <v>29</v>
      </c>
      <c r="R835" s="143">
        <f>J835*0.25</f>
        <v>0.5</v>
      </c>
      <c r="S835" s="143">
        <f>J835*1</f>
        <v>2</v>
      </c>
      <c r="T835" s="143">
        <f>J835*1.5</f>
        <v>3</v>
      </c>
      <c r="U835" s="143">
        <f>J835*0.5</f>
        <v>1</v>
      </c>
      <c r="V835" s="143">
        <f>R835+S835+T835+U835</f>
        <v>6.5</v>
      </c>
    </row>
    <row r="836" spans="1:22" s="128" customFormat="1" ht="15.6" hidden="1" x14ac:dyDescent="0.3">
      <c r="A836" s="142" t="s">
        <v>477</v>
      </c>
      <c r="B836" s="142">
        <v>288</v>
      </c>
      <c r="C836" s="141">
        <v>45923</v>
      </c>
      <c r="D836" s="140">
        <f>WEEKNUM(C836)</f>
        <v>39</v>
      </c>
      <c r="E836" s="140" t="s">
        <v>475</v>
      </c>
      <c r="F836" s="142" t="s">
        <v>843</v>
      </c>
      <c r="G836" s="142" t="s">
        <v>311</v>
      </c>
      <c r="H836" s="140" t="s">
        <v>51</v>
      </c>
      <c r="I836" s="142" t="s">
        <v>46</v>
      </c>
      <c r="J836" s="157">
        <v>100</v>
      </c>
      <c r="K836" s="143">
        <v>17</v>
      </c>
      <c r="L836" s="143">
        <f>K836*J836</f>
        <v>1700</v>
      </c>
      <c r="M836" s="143">
        <v>0</v>
      </c>
      <c r="N836" s="141">
        <v>45957</v>
      </c>
      <c r="O836" s="157">
        <f>WEEKNUM(N836)</f>
        <v>44</v>
      </c>
      <c r="P836" s="140"/>
      <c r="Q836" s="140" t="s">
        <v>29</v>
      </c>
      <c r="R836" s="143">
        <f>J836*0.25</f>
        <v>25</v>
      </c>
      <c r="S836" s="143">
        <f>J836*0.5</f>
        <v>50</v>
      </c>
      <c r="T836" s="143">
        <f>J836*1.3</f>
        <v>130</v>
      </c>
      <c r="U836" s="143">
        <f>J836*0.5</f>
        <v>50</v>
      </c>
      <c r="V836" s="143">
        <f>R836+S836+T836+U836</f>
        <v>255</v>
      </c>
    </row>
    <row r="837" spans="1:22" s="128" customFormat="1" ht="15.6" hidden="1" x14ac:dyDescent="0.3">
      <c r="A837" s="142" t="s">
        <v>477</v>
      </c>
      <c r="B837" s="142">
        <v>289</v>
      </c>
      <c r="C837" s="141">
        <v>45923</v>
      </c>
      <c r="D837" s="140">
        <f>WEEKNUM(C837)</f>
        <v>39</v>
      </c>
      <c r="E837" s="142" t="s">
        <v>498</v>
      </c>
      <c r="F837" s="142" t="s">
        <v>952</v>
      </c>
      <c r="G837" s="142" t="s">
        <v>487</v>
      </c>
      <c r="H837" s="140" t="s">
        <v>51</v>
      </c>
      <c r="I837" s="142" t="s">
        <v>46</v>
      </c>
      <c r="J837" s="157">
        <v>700</v>
      </c>
      <c r="K837" s="143">
        <v>22.5</v>
      </c>
      <c r="L837" s="143">
        <f>K837*J837</f>
        <v>15750</v>
      </c>
      <c r="M837" s="143">
        <v>0</v>
      </c>
      <c r="N837" s="141">
        <v>45950</v>
      </c>
      <c r="O837" s="157">
        <f>WEEKNUM(N837)</f>
        <v>43</v>
      </c>
      <c r="P837" s="140"/>
      <c r="Q837" s="140" t="s">
        <v>29</v>
      </c>
      <c r="R837" s="143">
        <f>J837*0.25</f>
        <v>175</v>
      </c>
      <c r="S837" s="143">
        <f>J837*0.5</f>
        <v>350</v>
      </c>
      <c r="T837" s="143">
        <f>J837*1.3</f>
        <v>910</v>
      </c>
      <c r="U837" s="143">
        <f>J837*0.5</f>
        <v>350</v>
      </c>
      <c r="V837" s="143">
        <f>R837+S837+T837+U837</f>
        <v>1785</v>
      </c>
    </row>
    <row r="838" spans="1:22" s="128" customFormat="1" ht="15.6" hidden="1" x14ac:dyDescent="0.3">
      <c r="A838" s="142" t="s">
        <v>483</v>
      </c>
      <c r="B838" s="142">
        <v>291</v>
      </c>
      <c r="C838" s="141">
        <v>45925</v>
      </c>
      <c r="D838" s="140">
        <f>WEEKNUM(C838)</f>
        <v>39</v>
      </c>
      <c r="E838" s="142" t="s">
        <v>98</v>
      </c>
      <c r="F838" s="142" t="s">
        <v>612</v>
      </c>
      <c r="G838" s="142" t="s">
        <v>411</v>
      </c>
      <c r="H838" s="142" t="s">
        <v>340</v>
      </c>
      <c r="I838" s="142" t="s">
        <v>46</v>
      </c>
      <c r="J838" s="157">
        <v>155</v>
      </c>
      <c r="K838" s="143">
        <v>47</v>
      </c>
      <c r="L838" s="143">
        <f>K838*J838</f>
        <v>7285</v>
      </c>
      <c r="M838" s="143">
        <v>0</v>
      </c>
      <c r="N838" s="141">
        <v>45952</v>
      </c>
      <c r="O838" s="157">
        <f>WEEKNUM(N838)</f>
        <v>43</v>
      </c>
      <c r="P838" s="140"/>
      <c r="Q838" s="140" t="s">
        <v>29</v>
      </c>
      <c r="R838" s="143">
        <v>0</v>
      </c>
      <c r="S838" s="143">
        <f>J838*1</f>
        <v>155</v>
      </c>
      <c r="T838" s="143">
        <v>0</v>
      </c>
      <c r="U838" s="143">
        <f>J838*0.5</f>
        <v>77.5</v>
      </c>
      <c r="V838" s="143">
        <f>R838+S838+T838+U838</f>
        <v>232.5</v>
      </c>
    </row>
    <row r="839" spans="1:22" s="128" customFormat="1" ht="15.6" hidden="1" x14ac:dyDescent="0.3">
      <c r="A839" s="142" t="s">
        <v>483</v>
      </c>
      <c r="B839" s="142">
        <v>291</v>
      </c>
      <c r="C839" s="141">
        <v>45925</v>
      </c>
      <c r="D839" s="140">
        <f>WEEKNUM(C839)</f>
        <v>39</v>
      </c>
      <c r="E839" s="142" t="s">
        <v>98</v>
      </c>
      <c r="F839" s="142" t="s">
        <v>612</v>
      </c>
      <c r="G839" s="142" t="s">
        <v>606</v>
      </c>
      <c r="H839" s="140" t="s">
        <v>74</v>
      </c>
      <c r="I839" s="142" t="s">
        <v>46</v>
      </c>
      <c r="J839" s="157">
        <v>80</v>
      </c>
      <c r="K839" s="143">
        <v>35</v>
      </c>
      <c r="L839" s="143">
        <f>K839*J839</f>
        <v>2800</v>
      </c>
      <c r="M839" s="143">
        <v>0</v>
      </c>
      <c r="N839" s="141">
        <v>45952</v>
      </c>
      <c r="O839" s="157">
        <f>WEEKNUM(N839)</f>
        <v>43</v>
      </c>
      <c r="P839" s="140"/>
      <c r="Q839" s="140" t="s">
        <v>29</v>
      </c>
      <c r="R839" s="143">
        <f>J839*0.25</f>
        <v>20</v>
      </c>
      <c r="S839" s="143">
        <f>J839*1</f>
        <v>80</v>
      </c>
      <c r="T839" s="143">
        <f>J839*1.5</f>
        <v>120</v>
      </c>
      <c r="U839" s="143">
        <f>J839*0.5</f>
        <v>40</v>
      </c>
      <c r="V839" s="143">
        <f>R839+S839+T839+U839</f>
        <v>260</v>
      </c>
    </row>
    <row r="840" spans="1:22" s="128" customFormat="1" ht="15.6" hidden="1" x14ac:dyDescent="0.3">
      <c r="A840" s="142" t="s">
        <v>477</v>
      </c>
      <c r="B840" s="142">
        <v>939</v>
      </c>
      <c r="C840" s="141">
        <v>45925</v>
      </c>
      <c r="D840" s="140">
        <f>WEEKNUM(C840)</f>
        <v>39</v>
      </c>
      <c r="E840" s="140" t="s">
        <v>475</v>
      </c>
      <c r="F840" s="142" t="s">
        <v>794</v>
      </c>
      <c r="G840" s="142" t="s">
        <v>796</v>
      </c>
      <c r="H840" s="140" t="s">
        <v>51</v>
      </c>
      <c r="I840" s="142" t="s">
        <v>61</v>
      </c>
      <c r="J840" s="157">
        <v>270</v>
      </c>
      <c r="K840" s="143">
        <v>34</v>
      </c>
      <c r="L840" s="143">
        <f>K840*J840</f>
        <v>9180</v>
      </c>
      <c r="M840" s="143">
        <v>0</v>
      </c>
      <c r="N840" s="141">
        <v>45954</v>
      </c>
      <c r="O840" s="157">
        <f>WEEKNUM(N840)</f>
        <v>43</v>
      </c>
      <c r="P840" s="140"/>
      <c r="Q840" s="140" t="s">
        <v>29</v>
      </c>
      <c r="R840" s="143">
        <f>J840*0.25</f>
        <v>67.5</v>
      </c>
      <c r="S840" s="143">
        <f>J840*0.5</f>
        <v>135</v>
      </c>
      <c r="T840" s="143">
        <f>J840*1.3</f>
        <v>351</v>
      </c>
      <c r="U840" s="143">
        <f>J840*0.5</f>
        <v>135</v>
      </c>
      <c r="V840" s="143">
        <f>R840+S840+T840+U840</f>
        <v>688.5</v>
      </c>
    </row>
    <row r="841" spans="1:22" s="128" customFormat="1" ht="15.6" hidden="1" x14ac:dyDescent="0.3">
      <c r="A841" s="142" t="s">
        <v>496</v>
      </c>
      <c r="B841" s="142">
        <v>292</v>
      </c>
      <c r="C841" s="141">
        <v>45929</v>
      </c>
      <c r="D841" s="140">
        <f>WEEKNUM(C841)</f>
        <v>40</v>
      </c>
      <c r="E841" s="140" t="s">
        <v>478</v>
      </c>
      <c r="F841" s="142" t="s">
        <v>979</v>
      </c>
      <c r="G841" s="142" t="s">
        <v>631</v>
      </c>
      <c r="H841" s="140" t="s">
        <v>74</v>
      </c>
      <c r="I841" s="142" t="s">
        <v>46</v>
      </c>
      <c r="J841" s="157">
        <v>50</v>
      </c>
      <c r="K841" s="143">
        <v>26.5</v>
      </c>
      <c r="L841" s="143">
        <f>K841*J841</f>
        <v>1325</v>
      </c>
      <c r="M841" s="143">
        <v>0</v>
      </c>
      <c r="N841" s="141">
        <v>45953</v>
      </c>
      <c r="O841" s="157">
        <f>WEEKNUM(N841)</f>
        <v>43</v>
      </c>
      <c r="P841" s="140"/>
      <c r="Q841" s="140" t="s">
        <v>29</v>
      </c>
      <c r="R841" s="143">
        <f>J841*0.25</f>
        <v>12.5</v>
      </c>
      <c r="S841" s="143">
        <f>J841*1</f>
        <v>50</v>
      </c>
      <c r="T841" s="143">
        <f>J841*1.5</f>
        <v>75</v>
      </c>
      <c r="U841" s="143">
        <f>J841*0.5</f>
        <v>25</v>
      </c>
      <c r="V841" s="143">
        <f>R841+S841+T841+U841</f>
        <v>162.5</v>
      </c>
    </row>
    <row r="842" spans="1:22" s="128" customFormat="1" ht="15.6" hidden="1" x14ac:dyDescent="0.3">
      <c r="A842" s="142" t="s">
        <v>477</v>
      </c>
      <c r="B842" s="142">
        <v>940</v>
      </c>
      <c r="C842" s="141">
        <v>45930</v>
      </c>
      <c r="D842" s="140">
        <f>WEEKNUM(C842)</f>
        <v>40</v>
      </c>
      <c r="E842" s="140" t="s">
        <v>475</v>
      </c>
      <c r="F842" s="142" t="s">
        <v>934</v>
      </c>
      <c r="G842" s="142" t="s">
        <v>515</v>
      </c>
      <c r="H842" s="140" t="s">
        <v>60</v>
      </c>
      <c r="I842" s="142" t="s">
        <v>61</v>
      </c>
      <c r="J842" s="157">
        <v>200</v>
      </c>
      <c r="K842" s="143">
        <v>15</v>
      </c>
      <c r="L842" s="143">
        <f>K842*J842</f>
        <v>3000</v>
      </c>
      <c r="M842" s="143">
        <v>0</v>
      </c>
      <c r="N842" s="141">
        <v>45957</v>
      </c>
      <c r="O842" s="157">
        <f>WEEKNUM(N842)</f>
        <v>44</v>
      </c>
      <c r="P842" s="140"/>
      <c r="Q842" s="140" t="s">
        <v>29</v>
      </c>
      <c r="R842" s="143">
        <f>J842*0.25</f>
        <v>50</v>
      </c>
      <c r="S842" s="143">
        <f>J842*0.7</f>
        <v>140</v>
      </c>
      <c r="T842" s="143">
        <f>J842*2.5</f>
        <v>500</v>
      </c>
      <c r="U842" s="143">
        <f>J842*0.5</f>
        <v>100</v>
      </c>
      <c r="V842" s="143">
        <f>R842+S842+T842+U842</f>
        <v>790</v>
      </c>
    </row>
    <row r="843" spans="1:22" s="128" customFormat="1" ht="15.6" hidden="1" x14ac:dyDescent="0.3">
      <c r="A843" s="142" t="s">
        <v>496</v>
      </c>
      <c r="B843" s="142">
        <v>293</v>
      </c>
      <c r="C843" s="141">
        <v>45930</v>
      </c>
      <c r="D843" s="140">
        <f>WEEKNUM(C843)</f>
        <v>40</v>
      </c>
      <c r="E843" s="142" t="s">
        <v>68</v>
      </c>
      <c r="F843" s="142" t="s">
        <v>384</v>
      </c>
      <c r="G843" s="140" t="s">
        <v>503</v>
      </c>
      <c r="H843" s="142" t="s">
        <v>354</v>
      </c>
      <c r="I843" s="142" t="s">
        <v>46</v>
      </c>
      <c r="J843" s="157">
        <v>2</v>
      </c>
      <c r="K843" s="143">
        <v>45</v>
      </c>
      <c r="L843" s="143">
        <f>K843*J843</f>
        <v>90</v>
      </c>
      <c r="M843" s="143">
        <v>0</v>
      </c>
      <c r="N843" s="141">
        <v>45954</v>
      </c>
      <c r="O843" s="157">
        <f>WEEKNUM(N843)</f>
        <v>43</v>
      </c>
      <c r="P843" s="140"/>
      <c r="Q843" s="140" t="s">
        <v>29</v>
      </c>
      <c r="R843" s="143">
        <f>J843*0.25</f>
        <v>0.5</v>
      </c>
      <c r="S843" s="143">
        <f>J843*1</f>
        <v>2</v>
      </c>
      <c r="T843" s="143">
        <f>J843*1.5</f>
        <v>3</v>
      </c>
      <c r="U843" s="143">
        <f>J843*0.5</f>
        <v>1</v>
      </c>
      <c r="V843" s="143">
        <f>R843+S843+T843+U843</f>
        <v>6.5</v>
      </c>
    </row>
    <row r="844" spans="1:22" s="128" customFormat="1" ht="15.6" hidden="1" x14ac:dyDescent="0.3">
      <c r="A844" s="142" t="s">
        <v>496</v>
      </c>
      <c r="B844" s="142">
        <v>293</v>
      </c>
      <c r="C844" s="141">
        <v>45930</v>
      </c>
      <c r="D844" s="140">
        <f>WEEKNUM(C844)</f>
        <v>40</v>
      </c>
      <c r="E844" s="142" t="s">
        <v>68</v>
      </c>
      <c r="F844" s="142" t="s">
        <v>384</v>
      </c>
      <c r="G844" s="140" t="s">
        <v>508</v>
      </c>
      <c r="H844" s="140" t="s">
        <v>78</v>
      </c>
      <c r="I844" s="142" t="s">
        <v>46</v>
      </c>
      <c r="J844" s="157">
        <v>1</v>
      </c>
      <c r="K844" s="143">
        <v>65</v>
      </c>
      <c r="L844" s="143">
        <f>K844*J844</f>
        <v>65</v>
      </c>
      <c r="M844" s="143">
        <v>0</v>
      </c>
      <c r="N844" s="141">
        <v>45954</v>
      </c>
      <c r="O844" s="157">
        <f>WEEKNUM(N844)</f>
        <v>43</v>
      </c>
      <c r="P844" s="140"/>
      <c r="Q844" s="140" t="s">
        <v>29</v>
      </c>
      <c r="R844" s="143">
        <f>J844*0.25</f>
        <v>0.25</v>
      </c>
      <c r="S844" s="143"/>
      <c r="T844" s="143"/>
      <c r="U844" s="143">
        <f>J844*0.5</f>
        <v>0.5</v>
      </c>
      <c r="V844" s="143"/>
    </row>
    <row r="845" spans="1:22" s="128" customFormat="1" ht="15.6" hidden="1" x14ac:dyDescent="0.3">
      <c r="A845" s="142" t="s">
        <v>496</v>
      </c>
      <c r="B845" s="142">
        <v>293</v>
      </c>
      <c r="C845" s="141">
        <v>45930</v>
      </c>
      <c r="D845" s="140">
        <f>WEEKNUM(C845)</f>
        <v>40</v>
      </c>
      <c r="E845" s="142" t="s">
        <v>68</v>
      </c>
      <c r="F845" s="142" t="s">
        <v>384</v>
      </c>
      <c r="G845" s="142" t="s">
        <v>301</v>
      </c>
      <c r="H845" s="140" t="s">
        <v>74</v>
      </c>
      <c r="I845" s="142" t="s">
        <v>46</v>
      </c>
      <c r="J845" s="157">
        <v>1</v>
      </c>
      <c r="K845" s="143">
        <v>36.75</v>
      </c>
      <c r="L845" s="143">
        <f>K845*J845</f>
        <v>36.75</v>
      </c>
      <c r="M845" s="143">
        <v>0</v>
      </c>
      <c r="N845" s="141">
        <v>45954</v>
      </c>
      <c r="O845" s="157">
        <f>WEEKNUM(N845)</f>
        <v>43</v>
      </c>
      <c r="P845" s="140"/>
      <c r="Q845" s="140" t="s">
        <v>29</v>
      </c>
      <c r="R845" s="143">
        <f>J845*0.25</f>
        <v>0.25</v>
      </c>
      <c r="S845" s="143">
        <f>J845*1</f>
        <v>1</v>
      </c>
      <c r="T845" s="143">
        <f>J845*1.5</f>
        <v>1.5</v>
      </c>
      <c r="U845" s="143">
        <f>J845*0.5</f>
        <v>0.5</v>
      </c>
      <c r="V845" s="143">
        <f>R845+S845+T845+U845</f>
        <v>3.25</v>
      </c>
    </row>
    <row r="846" spans="1:22" s="128" customFormat="1" ht="15.6" hidden="1" x14ac:dyDescent="0.3">
      <c r="A846" s="142" t="s">
        <v>496</v>
      </c>
      <c r="B846" s="142">
        <v>293</v>
      </c>
      <c r="C846" s="141">
        <v>45930</v>
      </c>
      <c r="D846" s="140">
        <f>WEEKNUM(C846)</f>
        <v>40</v>
      </c>
      <c r="E846" s="142" t="s">
        <v>68</v>
      </c>
      <c r="F846" s="142" t="s">
        <v>384</v>
      </c>
      <c r="G846" s="142" t="s">
        <v>374</v>
      </c>
      <c r="H846" s="140" t="s">
        <v>74</v>
      </c>
      <c r="I846" s="142" t="s">
        <v>46</v>
      </c>
      <c r="J846" s="157">
        <v>1</v>
      </c>
      <c r="K846" s="143">
        <v>55</v>
      </c>
      <c r="L846" s="143">
        <f>K846*J846</f>
        <v>55</v>
      </c>
      <c r="M846" s="143">
        <v>0</v>
      </c>
      <c r="N846" s="141">
        <v>45954</v>
      </c>
      <c r="O846" s="157">
        <f>WEEKNUM(N846)</f>
        <v>43</v>
      </c>
      <c r="P846" s="140"/>
      <c r="Q846" s="140" t="s">
        <v>29</v>
      </c>
      <c r="R846" s="143">
        <f>J846*0.25</f>
        <v>0.25</v>
      </c>
      <c r="S846" s="143">
        <f>J846*1</f>
        <v>1</v>
      </c>
      <c r="T846" s="143">
        <f>J846*1.5</f>
        <v>1.5</v>
      </c>
      <c r="U846" s="143">
        <f>J846*0.5</f>
        <v>0.5</v>
      </c>
      <c r="V846" s="143">
        <f>R846+S846+T846+U846</f>
        <v>3.25</v>
      </c>
    </row>
    <row r="847" spans="1:22" s="128" customFormat="1" ht="15.6" hidden="1" x14ac:dyDescent="0.3">
      <c r="A847" s="142" t="s">
        <v>477</v>
      </c>
      <c r="B847" s="142">
        <v>294</v>
      </c>
      <c r="C847" s="141">
        <v>45931</v>
      </c>
      <c r="D847" s="140">
        <f>WEEKNUM(C847)</f>
        <v>40</v>
      </c>
      <c r="E847" s="142" t="s">
        <v>498</v>
      </c>
      <c r="F847" s="142" t="s">
        <v>626</v>
      </c>
      <c r="G847" s="142" t="s">
        <v>487</v>
      </c>
      <c r="H847" s="140" t="s">
        <v>51</v>
      </c>
      <c r="I847" s="142" t="s">
        <v>46</v>
      </c>
      <c r="J847" s="157">
        <v>200</v>
      </c>
      <c r="K847" s="143">
        <v>25.5</v>
      </c>
      <c r="L847" s="143">
        <f>K847*J847</f>
        <v>5100</v>
      </c>
      <c r="M847" s="143">
        <v>0</v>
      </c>
      <c r="N847" s="141">
        <v>45958</v>
      </c>
      <c r="O847" s="157">
        <f>WEEKNUM(N847)</f>
        <v>44</v>
      </c>
      <c r="P847" s="140"/>
      <c r="Q847" s="140" t="s">
        <v>29</v>
      </c>
      <c r="R847" s="143">
        <f>J847*0.25</f>
        <v>50</v>
      </c>
      <c r="S847" s="143">
        <f>J847*0.5</f>
        <v>100</v>
      </c>
      <c r="T847" s="143">
        <f>J847*1.3</f>
        <v>260</v>
      </c>
      <c r="U847" s="143">
        <f>J847*0.5</f>
        <v>100</v>
      </c>
      <c r="V847" s="143">
        <f>R847+S847+T847+U847</f>
        <v>510</v>
      </c>
    </row>
    <row r="848" spans="1:22" s="128" customFormat="1" ht="15.6" hidden="1" x14ac:dyDescent="0.3">
      <c r="A848" s="142" t="s">
        <v>477</v>
      </c>
      <c r="B848" s="142">
        <v>297</v>
      </c>
      <c r="C848" s="141">
        <v>45931</v>
      </c>
      <c r="D848" s="140">
        <f>WEEKNUM(C848)</f>
        <v>40</v>
      </c>
      <c r="E848" s="140" t="s">
        <v>475</v>
      </c>
      <c r="F848" s="142" t="s">
        <v>740</v>
      </c>
      <c r="G848" s="142" t="s">
        <v>311</v>
      </c>
      <c r="H848" s="140" t="s">
        <v>51</v>
      </c>
      <c r="I848" s="142" t="s">
        <v>46</v>
      </c>
      <c r="J848" s="157">
        <v>50</v>
      </c>
      <c r="K848" s="143">
        <v>18.5</v>
      </c>
      <c r="L848" s="143">
        <f>K848*J848</f>
        <v>925</v>
      </c>
      <c r="M848" s="143">
        <v>0</v>
      </c>
      <c r="N848" s="141">
        <v>45958</v>
      </c>
      <c r="O848" s="157">
        <f>WEEKNUM(N848)</f>
        <v>44</v>
      </c>
      <c r="P848" s="140"/>
      <c r="Q848" s="140" t="s">
        <v>29</v>
      </c>
      <c r="R848" s="143">
        <f>J848*0.25</f>
        <v>12.5</v>
      </c>
      <c r="S848" s="143">
        <f>J848*0.5</f>
        <v>25</v>
      </c>
      <c r="T848" s="143">
        <f>J848*1.3</f>
        <v>65</v>
      </c>
      <c r="U848" s="143">
        <f>J848*0.5</f>
        <v>25</v>
      </c>
      <c r="V848" s="143">
        <f>R848+S848+T848+U848</f>
        <v>127.5</v>
      </c>
    </row>
    <row r="849" spans="1:22" s="128" customFormat="1" ht="15.6" hidden="1" x14ac:dyDescent="0.3">
      <c r="A849" s="142" t="s">
        <v>477</v>
      </c>
      <c r="B849" s="142">
        <v>297</v>
      </c>
      <c r="C849" s="141">
        <v>45931</v>
      </c>
      <c r="D849" s="140">
        <f>WEEKNUM(C849)</f>
        <v>40</v>
      </c>
      <c r="E849" s="140" t="s">
        <v>475</v>
      </c>
      <c r="F849" s="142" t="s">
        <v>740</v>
      </c>
      <c r="G849" s="142" t="s">
        <v>554</v>
      </c>
      <c r="H849" s="142" t="s">
        <v>555</v>
      </c>
      <c r="I849" s="142" t="s">
        <v>46</v>
      </c>
      <c r="J849" s="157">
        <v>50</v>
      </c>
      <c r="K849" s="143">
        <v>26.5</v>
      </c>
      <c r="L849" s="143">
        <f>K849*J849</f>
        <v>1325</v>
      </c>
      <c r="M849" s="143">
        <v>0</v>
      </c>
      <c r="N849" s="141">
        <v>45958</v>
      </c>
      <c r="O849" s="157">
        <f>WEEKNUM(N849)</f>
        <v>44</v>
      </c>
      <c r="P849" s="140"/>
      <c r="Q849" s="140" t="s">
        <v>29</v>
      </c>
      <c r="R849" s="143">
        <f>J849*0.25</f>
        <v>12.5</v>
      </c>
      <c r="S849" s="143">
        <f>J849*1.5</f>
        <v>75</v>
      </c>
      <c r="T849" s="143">
        <f>J849*5.2</f>
        <v>260</v>
      </c>
      <c r="U849" s="143">
        <f>J849*0.5</f>
        <v>25</v>
      </c>
      <c r="V849" s="143">
        <f>R849+S849+T849+U849</f>
        <v>372.5</v>
      </c>
    </row>
    <row r="850" spans="1:22" s="128" customFormat="1" ht="15.6" hidden="1" x14ac:dyDescent="0.3">
      <c r="A850" s="142" t="s">
        <v>496</v>
      </c>
      <c r="B850" s="142">
        <v>295</v>
      </c>
      <c r="C850" s="141">
        <v>45931</v>
      </c>
      <c r="D850" s="140">
        <f>WEEKNUM(C850)</f>
        <v>40</v>
      </c>
      <c r="E850" s="142" t="s">
        <v>498</v>
      </c>
      <c r="F850" s="142" t="s">
        <v>807</v>
      </c>
      <c r="G850" s="142" t="s">
        <v>487</v>
      </c>
      <c r="H850" s="140" t="s">
        <v>51</v>
      </c>
      <c r="I850" s="142" t="s">
        <v>46</v>
      </c>
      <c r="J850" s="157">
        <v>100</v>
      </c>
      <c r="K850" s="143">
        <v>25</v>
      </c>
      <c r="L850" s="143">
        <f>K850*J850</f>
        <v>2500</v>
      </c>
      <c r="M850" s="143">
        <v>0</v>
      </c>
      <c r="N850" s="141">
        <v>45958</v>
      </c>
      <c r="O850" s="157">
        <f>WEEKNUM(N850)</f>
        <v>44</v>
      </c>
      <c r="P850" s="140"/>
      <c r="Q850" s="140" t="s">
        <v>29</v>
      </c>
      <c r="R850" s="143">
        <f>J850*0.25</f>
        <v>25</v>
      </c>
      <c r="S850" s="143">
        <f>J850*0.5</f>
        <v>50</v>
      </c>
      <c r="T850" s="143">
        <f>J850*1.3</f>
        <v>130</v>
      </c>
      <c r="U850" s="143">
        <f>J850*0.5</f>
        <v>50</v>
      </c>
      <c r="V850" s="143">
        <f>R850+S850+T850+U850</f>
        <v>255</v>
      </c>
    </row>
    <row r="851" spans="1:22" s="128" customFormat="1" ht="15.6" hidden="1" x14ac:dyDescent="0.3">
      <c r="A851" s="142" t="s">
        <v>477</v>
      </c>
      <c r="B851" s="142">
        <v>296</v>
      </c>
      <c r="C851" s="141">
        <v>45931</v>
      </c>
      <c r="D851" s="140">
        <f>WEEKNUM(C851)</f>
        <v>40</v>
      </c>
      <c r="E851" s="142" t="s">
        <v>498</v>
      </c>
      <c r="F851" s="142" t="s">
        <v>923</v>
      </c>
      <c r="G851" s="142" t="s">
        <v>487</v>
      </c>
      <c r="H851" s="140" t="s">
        <v>51</v>
      </c>
      <c r="I851" s="142" t="s">
        <v>46</v>
      </c>
      <c r="J851" s="157">
        <v>100</v>
      </c>
      <c r="K851" s="143">
        <v>28</v>
      </c>
      <c r="L851" s="143">
        <f>K851*J851</f>
        <v>2800</v>
      </c>
      <c r="M851" s="143">
        <v>0</v>
      </c>
      <c r="N851" s="141">
        <v>45958</v>
      </c>
      <c r="O851" s="157">
        <f>WEEKNUM(N851)</f>
        <v>44</v>
      </c>
      <c r="P851" s="140"/>
      <c r="Q851" s="140" t="s">
        <v>29</v>
      </c>
      <c r="R851" s="143">
        <f>J851*0.25</f>
        <v>25</v>
      </c>
      <c r="S851" s="143">
        <f>J851*0.5</f>
        <v>50</v>
      </c>
      <c r="T851" s="143">
        <f>J851*1.3</f>
        <v>130</v>
      </c>
      <c r="U851" s="143">
        <f>J851*0.5</f>
        <v>50</v>
      </c>
      <c r="V851" s="143">
        <f>R851+S851+T851+U851</f>
        <v>255</v>
      </c>
    </row>
    <row r="852" spans="1:22" s="128" customFormat="1" ht="15.6" hidden="1" x14ac:dyDescent="0.3">
      <c r="A852" s="142" t="s">
        <v>477</v>
      </c>
      <c r="B852" s="142">
        <v>298</v>
      </c>
      <c r="C852" s="141">
        <v>45932</v>
      </c>
      <c r="D852" s="140">
        <f>WEEKNUM(C852)</f>
        <v>40</v>
      </c>
      <c r="E852" s="142" t="s">
        <v>498</v>
      </c>
      <c r="F852" s="142" t="s">
        <v>516</v>
      </c>
      <c r="G852" s="142" t="s">
        <v>487</v>
      </c>
      <c r="H852" s="140" t="s">
        <v>51</v>
      </c>
      <c r="I852" s="142" t="s">
        <v>46</v>
      </c>
      <c r="J852" s="157">
        <v>100</v>
      </c>
      <c r="K852" s="143">
        <v>28</v>
      </c>
      <c r="L852" s="143">
        <f>K852*J852</f>
        <v>2800</v>
      </c>
      <c r="M852" s="143">
        <v>0</v>
      </c>
      <c r="N852" s="141">
        <v>45959</v>
      </c>
      <c r="O852" s="157">
        <f>WEEKNUM(N852)</f>
        <v>44</v>
      </c>
      <c r="P852" s="140"/>
      <c r="Q852" s="140" t="s">
        <v>29</v>
      </c>
      <c r="R852" s="143">
        <f>J852*0.25</f>
        <v>25</v>
      </c>
      <c r="S852" s="143">
        <f>J852*0.5</f>
        <v>50</v>
      </c>
      <c r="T852" s="143">
        <f>J852*1.3</f>
        <v>130</v>
      </c>
      <c r="U852" s="143">
        <f>J852*0.5</f>
        <v>50</v>
      </c>
      <c r="V852" s="143">
        <f>R852+S852+T852+U852</f>
        <v>255</v>
      </c>
    </row>
    <row r="853" spans="1:22" s="128" customFormat="1" ht="15.6" hidden="1" x14ac:dyDescent="0.3">
      <c r="A853" s="142" t="s">
        <v>477</v>
      </c>
      <c r="B853" s="142">
        <v>304</v>
      </c>
      <c r="C853" s="141">
        <v>45932</v>
      </c>
      <c r="D853" s="140">
        <f>WEEKNUM(C853)</f>
        <v>40</v>
      </c>
      <c r="E853" s="140" t="s">
        <v>475</v>
      </c>
      <c r="F853" s="142" t="s">
        <v>551</v>
      </c>
      <c r="G853" s="142" t="s">
        <v>489</v>
      </c>
      <c r="H853" s="140" t="s">
        <v>51</v>
      </c>
      <c r="I853" s="142" t="s">
        <v>61</v>
      </c>
      <c r="J853" s="157">
        <v>100</v>
      </c>
      <c r="K853" s="143">
        <v>67</v>
      </c>
      <c r="L853" s="143">
        <f>K853*J853</f>
        <v>6700</v>
      </c>
      <c r="M853" s="143">
        <v>0</v>
      </c>
      <c r="N853" s="141">
        <v>45959</v>
      </c>
      <c r="O853" s="157">
        <f>WEEKNUM(N853)</f>
        <v>44</v>
      </c>
      <c r="P853" s="140"/>
      <c r="Q853" s="140" t="s">
        <v>29</v>
      </c>
      <c r="R853" s="143">
        <f>J853*0.25</f>
        <v>25</v>
      </c>
      <c r="S853" s="143">
        <f>PRODUCT(1,J853)</f>
        <v>100</v>
      </c>
      <c r="T853" s="143">
        <f>PRODUCT(3,J853)</f>
        <v>300</v>
      </c>
      <c r="U853" s="143">
        <f>PRODUCT(1,J853)</f>
        <v>100</v>
      </c>
      <c r="V853" s="143">
        <f>SUM(R853:U853)</f>
        <v>525</v>
      </c>
    </row>
    <row r="854" spans="1:22" s="128" customFormat="1" ht="15.6" hidden="1" x14ac:dyDescent="0.3">
      <c r="A854" s="142" t="s">
        <v>477</v>
      </c>
      <c r="B854" s="142">
        <v>304</v>
      </c>
      <c r="C854" s="141">
        <v>45932</v>
      </c>
      <c r="D854" s="140">
        <f>WEEKNUM(C854)</f>
        <v>40</v>
      </c>
      <c r="E854" s="140" t="s">
        <v>475</v>
      </c>
      <c r="F854" s="142" t="s">
        <v>551</v>
      </c>
      <c r="G854" s="142" t="s">
        <v>546</v>
      </c>
      <c r="H854" s="140" t="s">
        <v>494</v>
      </c>
      <c r="I854" s="142" t="s">
        <v>46</v>
      </c>
      <c r="J854" s="157">
        <v>100</v>
      </c>
      <c r="K854" s="143">
        <v>17</v>
      </c>
      <c r="L854" s="143">
        <f>K854*J854</f>
        <v>1700</v>
      </c>
      <c r="M854" s="143">
        <v>0</v>
      </c>
      <c r="N854" s="141">
        <v>45959</v>
      </c>
      <c r="O854" s="157">
        <f>WEEKNUM(N854)</f>
        <v>44</v>
      </c>
      <c r="P854" s="140"/>
      <c r="Q854" s="140" t="s">
        <v>29</v>
      </c>
      <c r="R854" s="143">
        <f>J854*0.25</f>
        <v>25</v>
      </c>
      <c r="S854" s="143">
        <f>J854*1</f>
        <v>100</v>
      </c>
      <c r="T854" s="143">
        <f>J854*1.5</f>
        <v>150</v>
      </c>
      <c r="U854" s="143">
        <f>J854*0.5</f>
        <v>50</v>
      </c>
      <c r="V854" s="143">
        <f>R854+S854+T854+U854</f>
        <v>325</v>
      </c>
    </row>
    <row r="855" spans="1:22" s="128" customFormat="1" ht="15.6" hidden="1" x14ac:dyDescent="0.3">
      <c r="A855" s="142" t="s">
        <v>477</v>
      </c>
      <c r="B855" s="142">
        <v>303</v>
      </c>
      <c r="C855" s="141">
        <v>45932</v>
      </c>
      <c r="D855" s="140">
        <f>WEEKNUM(C855)</f>
        <v>40</v>
      </c>
      <c r="E855" s="142" t="s">
        <v>68</v>
      </c>
      <c r="F855" s="195" t="s">
        <v>306</v>
      </c>
      <c r="G855" s="142" t="s">
        <v>339</v>
      </c>
      <c r="H855" s="142" t="s">
        <v>340</v>
      </c>
      <c r="I855" s="142" t="s">
        <v>46</v>
      </c>
      <c r="J855" s="157">
        <v>3</v>
      </c>
      <c r="K855" s="143">
        <v>65</v>
      </c>
      <c r="L855" s="143">
        <f>K855*J855</f>
        <v>195</v>
      </c>
      <c r="M855" s="143">
        <v>0</v>
      </c>
      <c r="N855" s="141">
        <v>45959</v>
      </c>
      <c r="O855" s="157">
        <f>WEEKNUM(N855)</f>
        <v>44</v>
      </c>
      <c r="P855" s="140"/>
      <c r="Q855" s="140" t="s">
        <v>29</v>
      </c>
      <c r="R855" s="143">
        <v>0</v>
      </c>
      <c r="S855" s="143">
        <f>J855*1</f>
        <v>3</v>
      </c>
      <c r="T855" s="143">
        <v>0</v>
      </c>
      <c r="U855" s="143">
        <f>J855*0.5</f>
        <v>1.5</v>
      </c>
      <c r="V855" s="143">
        <f>R855+S855+T855+U855</f>
        <v>4.5</v>
      </c>
    </row>
    <row r="856" spans="1:22" s="128" customFormat="1" ht="15.6" hidden="1" x14ac:dyDescent="0.3">
      <c r="A856" s="142" t="s">
        <v>477</v>
      </c>
      <c r="B856" s="142">
        <v>303</v>
      </c>
      <c r="C856" s="141">
        <v>45932</v>
      </c>
      <c r="D856" s="140">
        <f>WEEKNUM(C856)</f>
        <v>40</v>
      </c>
      <c r="E856" s="142" t="s">
        <v>68</v>
      </c>
      <c r="F856" s="195" t="s">
        <v>306</v>
      </c>
      <c r="G856" s="142" t="s">
        <v>301</v>
      </c>
      <c r="H856" s="140" t="s">
        <v>74</v>
      </c>
      <c r="I856" s="142" t="s">
        <v>46</v>
      </c>
      <c r="J856" s="157">
        <v>24</v>
      </c>
      <c r="K856" s="143">
        <v>36.75</v>
      </c>
      <c r="L856" s="143">
        <f>K856*J856</f>
        <v>882</v>
      </c>
      <c r="M856" s="143">
        <v>0</v>
      </c>
      <c r="N856" s="141">
        <v>45959</v>
      </c>
      <c r="O856" s="157">
        <f>WEEKNUM(N856)</f>
        <v>44</v>
      </c>
      <c r="P856" s="140"/>
      <c r="Q856" s="140" t="s">
        <v>29</v>
      </c>
      <c r="R856" s="143">
        <f>J856*0.25</f>
        <v>6</v>
      </c>
      <c r="S856" s="143">
        <f>J856*1</f>
        <v>24</v>
      </c>
      <c r="T856" s="143">
        <f>J856*1.5</f>
        <v>36</v>
      </c>
      <c r="U856" s="143">
        <f>J856*0.5</f>
        <v>12</v>
      </c>
      <c r="V856" s="143">
        <f>R856+S856+T856+U856</f>
        <v>78</v>
      </c>
    </row>
    <row r="857" spans="1:22" s="128" customFormat="1" ht="15.6" hidden="1" x14ac:dyDescent="0.3">
      <c r="A857" s="142" t="s">
        <v>477</v>
      </c>
      <c r="B857" s="142">
        <v>303</v>
      </c>
      <c r="C857" s="141">
        <v>45932</v>
      </c>
      <c r="D857" s="140">
        <f>WEEKNUM(C857)</f>
        <v>40</v>
      </c>
      <c r="E857" s="142" t="s">
        <v>68</v>
      </c>
      <c r="F857" s="195" t="s">
        <v>306</v>
      </c>
      <c r="G857" s="142" t="s">
        <v>374</v>
      </c>
      <c r="H857" s="140" t="s">
        <v>74</v>
      </c>
      <c r="I857" s="142" t="s">
        <v>46</v>
      </c>
      <c r="J857" s="157">
        <v>20</v>
      </c>
      <c r="K857" s="143">
        <v>47.5</v>
      </c>
      <c r="L857" s="143">
        <f>K857*J857</f>
        <v>950</v>
      </c>
      <c r="M857" s="143">
        <v>0</v>
      </c>
      <c r="N857" s="141">
        <v>45959</v>
      </c>
      <c r="O857" s="157">
        <f>WEEKNUM(N857)</f>
        <v>44</v>
      </c>
      <c r="P857" s="140"/>
      <c r="Q857" s="140" t="s">
        <v>29</v>
      </c>
      <c r="R857" s="143">
        <f>J857*0.25</f>
        <v>5</v>
      </c>
      <c r="S857" s="143">
        <f>J857*1</f>
        <v>20</v>
      </c>
      <c r="T857" s="143">
        <f>J857*1.5</f>
        <v>30</v>
      </c>
      <c r="U857" s="143">
        <f>J857*0.5</f>
        <v>10</v>
      </c>
      <c r="V857" s="143">
        <f>R857+S857+T857+U857</f>
        <v>65</v>
      </c>
    </row>
    <row r="858" spans="1:22" s="128" customFormat="1" ht="15.6" hidden="1" x14ac:dyDescent="0.3">
      <c r="A858" s="142" t="s">
        <v>477</v>
      </c>
      <c r="B858" s="142">
        <v>303</v>
      </c>
      <c r="C858" s="141">
        <v>45932</v>
      </c>
      <c r="D858" s="140">
        <f>WEEKNUM(C858)</f>
        <v>40</v>
      </c>
      <c r="E858" s="142" t="s">
        <v>68</v>
      </c>
      <c r="F858" s="195" t="s">
        <v>306</v>
      </c>
      <c r="G858" s="142" t="s">
        <v>301</v>
      </c>
      <c r="H858" s="140" t="s">
        <v>74</v>
      </c>
      <c r="I858" s="142" t="s">
        <v>46</v>
      </c>
      <c r="J858" s="157">
        <v>25</v>
      </c>
      <c r="K858" s="143">
        <v>36.75</v>
      </c>
      <c r="L858" s="143">
        <f>K858*J858</f>
        <v>918.75</v>
      </c>
      <c r="M858" s="143">
        <v>0</v>
      </c>
      <c r="N858" s="141">
        <v>45959</v>
      </c>
      <c r="O858" s="157">
        <f>WEEKNUM(N858)</f>
        <v>44</v>
      </c>
      <c r="P858" s="140"/>
      <c r="Q858" s="140" t="s">
        <v>29</v>
      </c>
      <c r="R858" s="143">
        <f>J858*0.25</f>
        <v>6.25</v>
      </c>
      <c r="S858" s="143">
        <f>J858*1</f>
        <v>25</v>
      </c>
      <c r="T858" s="143">
        <f>J858*1.5</f>
        <v>37.5</v>
      </c>
      <c r="U858" s="143">
        <f>J858*0.5</f>
        <v>12.5</v>
      </c>
      <c r="V858" s="143">
        <f>R858+S858+T858+U858</f>
        <v>81.25</v>
      </c>
    </row>
    <row r="859" spans="1:22" s="128" customFormat="1" ht="15.6" hidden="1" x14ac:dyDescent="0.3">
      <c r="A859" s="142" t="s">
        <v>477</v>
      </c>
      <c r="B859" s="142">
        <v>303</v>
      </c>
      <c r="C859" s="141">
        <v>45932</v>
      </c>
      <c r="D859" s="140">
        <f>WEEKNUM(C859)</f>
        <v>40</v>
      </c>
      <c r="E859" s="142" t="s">
        <v>68</v>
      </c>
      <c r="F859" s="195" t="s">
        <v>306</v>
      </c>
      <c r="G859" s="142" t="s">
        <v>505</v>
      </c>
      <c r="H859" s="140" t="s">
        <v>78</v>
      </c>
      <c r="I859" s="142" t="s">
        <v>61</v>
      </c>
      <c r="J859" s="157">
        <v>25</v>
      </c>
      <c r="K859" s="143">
        <v>75</v>
      </c>
      <c r="L859" s="143">
        <f>K859*J859</f>
        <v>1875</v>
      </c>
      <c r="M859" s="143">
        <v>0</v>
      </c>
      <c r="N859" s="141">
        <v>45959</v>
      </c>
      <c r="O859" s="157">
        <f>WEEKNUM(N859)</f>
        <v>44</v>
      </c>
      <c r="P859" s="140"/>
      <c r="Q859" s="140" t="s">
        <v>29</v>
      </c>
      <c r="R859" s="143">
        <f>J859*0.25</f>
        <v>6.25</v>
      </c>
      <c r="S859" s="143">
        <v>0</v>
      </c>
      <c r="T859" s="143">
        <f>J859*1.5</f>
        <v>37.5</v>
      </c>
      <c r="U859" s="143">
        <f>J859*0.5</f>
        <v>12.5</v>
      </c>
      <c r="V859" s="143">
        <f>R859+S859+T859+U859</f>
        <v>56.25</v>
      </c>
    </row>
    <row r="860" spans="1:22" s="128" customFormat="1" ht="15.6" hidden="1" x14ac:dyDescent="0.3">
      <c r="A860" s="142" t="s">
        <v>477</v>
      </c>
      <c r="B860" s="142">
        <v>303</v>
      </c>
      <c r="C860" s="141">
        <v>45932</v>
      </c>
      <c r="D860" s="140">
        <f>WEEKNUM(C860)</f>
        <v>40</v>
      </c>
      <c r="E860" s="142" t="s">
        <v>68</v>
      </c>
      <c r="F860" s="195" t="s">
        <v>306</v>
      </c>
      <c r="G860" s="142" t="s">
        <v>408</v>
      </c>
      <c r="H860" s="140" t="s">
        <v>80</v>
      </c>
      <c r="I860" s="142" t="s">
        <v>46</v>
      </c>
      <c r="J860" s="157">
        <v>30</v>
      </c>
      <c r="K860" s="143">
        <v>25</v>
      </c>
      <c r="L860" s="143">
        <f>K860*J860</f>
        <v>750</v>
      </c>
      <c r="M860" s="143">
        <v>0</v>
      </c>
      <c r="N860" s="141">
        <v>45959</v>
      </c>
      <c r="O860" s="157">
        <f>WEEKNUM(N860)</f>
        <v>44</v>
      </c>
      <c r="P860" s="140"/>
      <c r="Q860" s="140" t="s">
        <v>29</v>
      </c>
      <c r="R860" s="156">
        <f>J860*0.25</f>
        <v>7.5</v>
      </c>
      <c r="S860" s="156">
        <f>J860*1</f>
        <v>30</v>
      </c>
      <c r="T860" s="156">
        <f>J860*1.2</f>
        <v>36</v>
      </c>
      <c r="U860" s="156">
        <f>J860*0.5</f>
        <v>15</v>
      </c>
      <c r="V860" s="156">
        <f>R860+S860+T860+U860</f>
        <v>88.5</v>
      </c>
    </row>
    <row r="861" spans="1:22" s="128" customFormat="1" ht="15.6" hidden="1" x14ac:dyDescent="0.3">
      <c r="A861" s="142" t="s">
        <v>477</v>
      </c>
      <c r="B861" s="142">
        <v>303</v>
      </c>
      <c r="C861" s="141">
        <v>45932</v>
      </c>
      <c r="D861" s="140">
        <f>WEEKNUM(C861)</f>
        <v>40</v>
      </c>
      <c r="E861" s="142" t="s">
        <v>68</v>
      </c>
      <c r="F861" s="195" t="s">
        <v>306</v>
      </c>
      <c r="G861" s="142" t="s">
        <v>311</v>
      </c>
      <c r="H861" s="140" t="s">
        <v>51</v>
      </c>
      <c r="I861" s="142" t="s">
        <v>46</v>
      </c>
      <c r="J861" s="157">
        <v>30</v>
      </c>
      <c r="K861" s="143">
        <v>21</v>
      </c>
      <c r="L861" s="143">
        <f>K861*J861</f>
        <v>630</v>
      </c>
      <c r="M861" s="143">
        <v>0</v>
      </c>
      <c r="N861" s="141">
        <v>45959</v>
      </c>
      <c r="O861" s="157">
        <f>WEEKNUM(N861)</f>
        <v>44</v>
      </c>
      <c r="P861" s="140"/>
      <c r="Q861" s="140" t="s">
        <v>29</v>
      </c>
      <c r="R861" s="143">
        <f>J861*0.25</f>
        <v>7.5</v>
      </c>
      <c r="S861" s="143">
        <f>J861*0.5</f>
        <v>15</v>
      </c>
      <c r="T861" s="143">
        <f>J861*1.3</f>
        <v>39</v>
      </c>
      <c r="U861" s="143">
        <f>J861*0.5</f>
        <v>15</v>
      </c>
      <c r="V861" s="143">
        <f>R861+S861+T861+U861</f>
        <v>76.5</v>
      </c>
    </row>
    <row r="862" spans="1:22" s="128" customFormat="1" ht="15.6" hidden="1" x14ac:dyDescent="0.3">
      <c r="A862" s="142" t="s">
        <v>669</v>
      </c>
      <c r="B862" s="142">
        <v>301</v>
      </c>
      <c r="C862" s="141">
        <v>45932</v>
      </c>
      <c r="D862" s="140">
        <f>WEEKNUM(C862)</f>
        <v>40</v>
      </c>
      <c r="E862" s="140" t="s">
        <v>475</v>
      </c>
      <c r="F862" s="142" t="s">
        <v>670</v>
      </c>
      <c r="G862" s="140" t="s">
        <v>658</v>
      </c>
      <c r="H862" s="142" t="s">
        <v>304</v>
      </c>
      <c r="I862" s="142" t="s">
        <v>46</v>
      </c>
      <c r="J862" s="157">
        <v>100</v>
      </c>
      <c r="K862" s="143">
        <v>35</v>
      </c>
      <c r="L862" s="143">
        <f>K862*J862</f>
        <v>3500</v>
      </c>
      <c r="M862" s="143">
        <v>0</v>
      </c>
      <c r="N862" s="141">
        <v>45952</v>
      </c>
      <c r="O862" s="157">
        <f>WEEKNUM(N862)</f>
        <v>43</v>
      </c>
      <c r="P862" s="140"/>
      <c r="Q862" s="140" t="s">
        <v>29</v>
      </c>
      <c r="R862" s="143">
        <f>J862*0.25</f>
        <v>25</v>
      </c>
      <c r="S862" s="143">
        <f>J862*0.7</f>
        <v>70</v>
      </c>
      <c r="T862" s="143">
        <f>J862*1</f>
        <v>100</v>
      </c>
      <c r="U862" s="143">
        <f>J862*1</f>
        <v>100</v>
      </c>
      <c r="V862" s="143">
        <f>R862+S862+T862+U862</f>
        <v>295</v>
      </c>
    </row>
    <row r="863" spans="1:22" s="128" customFormat="1" ht="15.6" hidden="1" x14ac:dyDescent="0.3">
      <c r="A863" s="142" t="s">
        <v>477</v>
      </c>
      <c r="B863" s="142">
        <v>941</v>
      </c>
      <c r="C863" s="141">
        <v>45932</v>
      </c>
      <c r="D863" s="140">
        <f>WEEKNUM(C863)</f>
        <v>40</v>
      </c>
      <c r="E863" s="140" t="s">
        <v>475</v>
      </c>
      <c r="F863" s="142" t="s">
        <v>711</v>
      </c>
      <c r="G863" s="142" t="s">
        <v>546</v>
      </c>
      <c r="H863" s="140" t="s">
        <v>494</v>
      </c>
      <c r="I863" s="142" t="s">
        <v>46</v>
      </c>
      <c r="J863" s="157">
        <v>100</v>
      </c>
      <c r="K863" s="143">
        <v>16</v>
      </c>
      <c r="L863" s="143">
        <f>K863*J863</f>
        <v>1600</v>
      </c>
      <c r="M863" s="143">
        <v>0</v>
      </c>
      <c r="N863" s="141">
        <v>45958</v>
      </c>
      <c r="O863" s="157">
        <f>WEEKNUM(N863)</f>
        <v>44</v>
      </c>
      <c r="P863" s="140"/>
      <c r="Q863" s="140" t="s">
        <v>29</v>
      </c>
      <c r="R863" s="143">
        <f>J863*0.25</f>
        <v>25</v>
      </c>
      <c r="S863" s="143">
        <f>J863*1</f>
        <v>100</v>
      </c>
      <c r="T863" s="143">
        <f>J863*1.5</f>
        <v>150</v>
      </c>
      <c r="U863" s="143">
        <f>J863*0.5</f>
        <v>50</v>
      </c>
      <c r="V863" s="143">
        <f>R863+S863+T863+U863</f>
        <v>325</v>
      </c>
    </row>
    <row r="864" spans="1:22" s="128" customFormat="1" ht="15.6" hidden="1" x14ac:dyDescent="0.3">
      <c r="A864" s="142" t="s">
        <v>477</v>
      </c>
      <c r="B864" s="142">
        <v>305</v>
      </c>
      <c r="C864" s="141">
        <v>45933</v>
      </c>
      <c r="D864" s="140">
        <f>WEEKNUM(C864)</f>
        <v>40</v>
      </c>
      <c r="E864" s="140" t="s">
        <v>475</v>
      </c>
      <c r="F864" s="142" t="s">
        <v>712</v>
      </c>
      <c r="G864" s="142" t="s">
        <v>713</v>
      </c>
      <c r="H864" s="140" t="s">
        <v>60</v>
      </c>
      <c r="I864" s="142" t="s">
        <v>61</v>
      </c>
      <c r="J864" s="157">
        <v>1500</v>
      </c>
      <c r="K864" s="143">
        <v>7.8</v>
      </c>
      <c r="L864" s="143">
        <f>K864*J864</f>
        <v>11700</v>
      </c>
      <c r="M864" s="143">
        <v>0</v>
      </c>
      <c r="N864" s="141">
        <v>45960</v>
      </c>
      <c r="O864" s="157">
        <f>WEEKNUM(N864)</f>
        <v>44</v>
      </c>
      <c r="P864" s="140"/>
      <c r="Q864" s="140" t="s">
        <v>29</v>
      </c>
      <c r="R864" s="143">
        <f>J864*0.25</f>
        <v>375</v>
      </c>
      <c r="S864" s="143">
        <f>J864*0.7</f>
        <v>1050</v>
      </c>
      <c r="T864" s="143">
        <f>J864*2.5</f>
        <v>3750</v>
      </c>
      <c r="U864" s="143">
        <f>J864*0.5</f>
        <v>750</v>
      </c>
      <c r="V864" s="143">
        <f>R864+S864+T864+U864</f>
        <v>5925</v>
      </c>
    </row>
    <row r="865" spans="1:22" s="128" customFormat="1" ht="15.6" hidden="1" x14ac:dyDescent="0.3">
      <c r="A865" s="142" t="s">
        <v>477</v>
      </c>
      <c r="B865" s="142">
        <v>1242</v>
      </c>
      <c r="C865" s="141">
        <v>45935</v>
      </c>
      <c r="D865" s="140">
        <f>WEEKNUM(C865)</f>
        <v>41</v>
      </c>
      <c r="E865" s="142" t="s">
        <v>498</v>
      </c>
      <c r="F865" s="140" t="s">
        <v>446</v>
      </c>
      <c r="G865" s="142" t="s">
        <v>487</v>
      </c>
      <c r="H865" s="140" t="s">
        <v>51</v>
      </c>
      <c r="I865" s="142" t="s">
        <v>46</v>
      </c>
      <c r="J865" s="157">
        <v>300</v>
      </c>
      <c r="K865" s="143">
        <v>23.5</v>
      </c>
      <c r="L865" s="143">
        <f>K865*J865</f>
        <v>7050</v>
      </c>
      <c r="M865" s="143">
        <v>0</v>
      </c>
      <c r="N865" s="141">
        <v>45961</v>
      </c>
      <c r="O865" s="157">
        <f>WEEKNUM(N865)</f>
        <v>44</v>
      </c>
      <c r="P865" s="140"/>
      <c r="Q865" s="140" t="s">
        <v>29</v>
      </c>
      <c r="R865" s="143">
        <f>J865*0.25</f>
        <v>75</v>
      </c>
      <c r="S865" s="143">
        <f>J865*0.5</f>
        <v>150</v>
      </c>
      <c r="T865" s="143">
        <f>J865*1.3</f>
        <v>390</v>
      </c>
      <c r="U865" s="143">
        <f>J865*0.5</f>
        <v>150</v>
      </c>
      <c r="V865" s="143">
        <f>R865+S865+T865+U865</f>
        <v>765</v>
      </c>
    </row>
    <row r="866" spans="1:22" s="128" customFormat="1" ht="15.6" hidden="1" x14ac:dyDescent="0.3">
      <c r="A866" s="142" t="s">
        <v>477</v>
      </c>
      <c r="B866" s="142">
        <v>942</v>
      </c>
      <c r="C866" s="141">
        <v>45936</v>
      </c>
      <c r="D866" s="140">
        <f>WEEKNUM(C866)</f>
        <v>41</v>
      </c>
      <c r="E866" s="142" t="s">
        <v>498</v>
      </c>
      <c r="F866" s="140" t="s">
        <v>459</v>
      </c>
      <c r="G866" s="142" t="s">
        <v>487</v>
      </c>
      <c r="H866" s="140" t="s">
        <v>51</v>
      </c>
      <c r="I866" s="142" t="s">
        <v>46</v>
      </c>
      <c r="J866" s="157">
        <v>1000</v>
      </c>
      <c r="K866" s="143">
        <v>23</v>
      </c>
      <c r="L866" s="143">
        <f>K866*J866</f>
        <v>23000</v>
      </c>
      <c r="M866" s="143">
        <v>0</v>
      </c>
      <c r="N866" s="141">
        <v>45961</v>
      </c>
      <c r="O866" s="157">
        <f>WEEKNUM(N866)</f>
        <v>44</v>
      </c>
      <c r="P866" s="140"/>
      <c r="Q866" s="140" t="s">
        <v>29</v>
      </c>
      <c r="R866" s="143">
        <f>J866*0.25</f>
        <v>250</v>
      </c>
      <c r="S866" s="143">
        <f>J866*0.5</f>
        <v>500</v>
      </c>
      <c r="T866" s="143">
        <f>J866*1.3</f>
        <v>1300</v>
      </c>
      <c r="U866" s="143">
        <f>J866*0.5</f>
        <v>500</v>
      </c>
      <c r="V866" s="143">
        <f>R866+S866+T866+U866</f>
        <v>2550</v>
      </c>
    </row>
    <row r="867" spans="1:22" s="128" customFormat="1" ht="15.6" hidden="1" x14ac:dyDescent="0.3">
      <c r="A867" s="142" t="s">
        <v>477</v>
      </c>
      <c r="B867" s="142">
        <v>306</v>
      </c>
      <c r="C867" s="141">
        <v>45937</v>
      </c>
      <c r="D867" s="140">
        <f>WEEKNUM(C867)</f>
        <v>41</v>
      </c>
      <c r="E867" s="140" t="s">
        <v>475</v>
      </c>
      <c r="F867" s="142" t="s">
        <v>831</v>
      </c>
      <c r="G867" s="142" t="s">
        <v>218</v>
      </c>
      <c r="H867" s="140" t="s">
        <v>74</v>
      </c>
      <c r="I867" s="142" t="s">
        <v>46</v>
      </c>
      <c r="J867" s="157">
        <v>200</v>
      </c>
      <c r="K867" s="143">
        <v>22</v>
      </c>
      <c r="L867" s="143">
        <f>K867*J867</f>
        <v>4400</v>
      </c>
      <c r="M867" s="143">
        <v>0</v>
      </c>
      <c r="N867" s="141">
        <v>45964</v>
      </c>
      <c r="O867" s="157">
        <f>WEEKNUM(N867)</f>
        <v>45</v>
      </c>
      <c r="P867" s="140"/>
      <c r="Q867" s="140" t="s">
        <v>29</v>
      </c>
      <c r="R867" s="143">
        <f>J867*0.25</f>
        <v>50</v>
      </c>
      <c r="S867" s="143">
        <f>J867*1</f>
        <v>200</v>
      </c>
      <c r="T867" s="143">
        <f>J867*1.5</f>
        <v>300</v>
      </c>
      <c r="U867" s="143">
        <f>J867*0.5</f>
        <v>100</v>
      </c>
      <c r="V867" s="143">
        <f>R867+S867+T867+U867</f>
        <v>650</v>
      </c>
    </row>
    <row r="868" spans="1:22" s="128" customFormat="1" ht="15.6" hidden="1" x14ac:dyDescent="0.3">
      <c r="A868" s="142" t="s">
        <v>496</v>
      </c>
      <c r="B868" s="142">
        <v>307</v>
      </c>
      <c r="C868" s="141">
        <v>45938</v>
      </c>
      <c r="D868" s="140">
        <f>WEEKNUM(C868)</f>
        <v>41</v>
      </c>
      <c r="E868" s="140" t="s">
        <v>475</v>
      </c>
      <c r="F868" s="142" t="s">
        <v>624</v>
      </c>
      <c r="G868" s="142" t="s">
        <v>218</v>
      </c>
      <c r="H868" s="140" t="s">
        <v>74</v>
      </c>
      <c r="I868" s="142" t="s">
        <v>46</v>
      </c>
      <c r="J868" s="157">
        <v>100</v>
      </c>
      <c r="K868" s="143">
        <v>24.5</v>
      </c>
      <c r="L868" s="143">
        <f>K868*J868</f>
        <v>2450</v>
      </c>
      <c r="M868" s="143">
        <v>0</v>
      </c>
      <c r="N868" s="141">
        <v>45960</v>
      </c>
      <c r="O868" s="157">
        <f>WEEKNUM(N868)</f>
        <v>44</v>
      </c>
      <c r="P868" s="140"/>
      <c r="Q868" s="140" t="s">
        <v>29</v>
      </c>
      <c r="R868" s="143">
        <f>J868*0.25</f>
        <v>25</v>
      </c>
      <c r="S868" s="143">
        <f>J868*1</f>
        <v>100</v>
      </c>
      <c r="T868" s="143">
        <f>J868*1.5</f>
        <v>150</v>
      </c>
      <c r="U868" s="143">
        <f>J868*0.5</f>
        <v>50</v>
      </c>
      <c r="V868" s="143">
        <f>R868+S868+T868+U868</f>
        <v>325</v>
      </c>
    </row>
    <row r="869" spans="1:22" s="128" customFormat="1" ht="15.6" hidden="1" x14ac:dyDescent="0.3">
      <c r="A869" s="142" t="s">
        <v>477</v>
      </c>
      <c r="B869" s="142">
        <v>943</v>
      </c>
      <c r="C869" s="141">
        <v>45938</v>
      </c>
      <c r="D869" s="140">
        <f>WEEKNUM(C869)</f>
        <v>41</v>
      </c>
      <c r="E869" s="140" t="s">
        <v>475</v>
      </c>
      <c r="F869" s="140" t="s">
        <v>809</v>
      </c>
      <c r="G869" s="142" t="s">
        <v>311</v>
      </c>
      <c r="H869" s="140" t="s">
        <v>51</v>
      </c>
      <c r="I869" s="142" t="s">
        <v>46</v>
      </c>
      <c r="J869" s="157">
        <v>1000</v>
      </c>
      <c r="K869" s="143">
        <v>14</v>
      </c>
      <c r="L869" s="143">
        <f>K869*J869</f>
        <v>14000</v>
      </c>
      <c r="M869" s="143">
        <v>0</v>
      </c>
      <c r="N869" s="141">
        <v>45965</v>
      </c>
      <c r="O869" s="157">
        <f>WEEKNUM(N869)</f>
        <v>45</v>
      </c>
      <c r="P869" s="140"/>
      <c r="Q869" s="140" t="s">
        <v>29</v>
      </c>
      <c r="R869" s="143">
        <f>J869*0.25</f>
        <v>250</v>
      </c>
      <c r="S869" s="143">
        <f>J869*0.5</f>
        <v>500</v>
      </c>
      <c r="T869" s="143">
        <f>J869*1.3</f>
        <v>1300</v>
      </c>
      <c r="U869" s="143">
        <f>J869*0.5</f>
        <v>500</v>
      </c>
      <c r="V869" s="143">
        <f>R869+S869+T869+U869</f>
        <v>2550</v>
      </c>
    </row>
    <row r="870" spans="1:22" s="128" customFormat="1" ht="15.6" hidden="1" x14ac:dyDescent="0.3">
      <c r="A870" s="142" t="s">
        <v>477</v>
      </c>
      <c r="B870" s="142">
        <v>943</v>
      </c>
      <c r="C870" s="141">
        <v>45938</v>
      </c>
      <c r="D870" s="140">
        <f>WEEKNUM(C870)</f>
        <v>41</v>
      </c>
      <c r="E870" s="140" t="s">
        <v>475</v>
      </c>
      <c r="F870" s="140" t="s">
        <v>809</v>
      </c>
      <c r="G870" s="142" t="s">
        <v>554</v>
      </c>
      <c r="H870" s="142" t="s">
        <v>555</v>
      </c>
      <c r="I870" s="142" t="s">
        <v>46</v>
      </c>
      <c r="J870" s="157">
        <v>500</v>
      </c>
      <c r="K870" s="143">
        <v>24.5</v>
      </c>
      <c r="L870" s="143">
        <f>K870*J870</f>
        <v>12250</v>
      </c>
      <c r="M870" s="143">
        <v>0</v>
      </c>
      <c r="N870" s="141">
        <v>45962</v>
      </c>
      <c r="O870" s="157">
        <f>WEEKNUM(N870)</f>
        <v>44</v>
      </c>
      <c r="P870" s="140"/>
      <c r="Q870" s="140" t="s">
        <v>29</v>
      </c>
      <c r="R870" s="143">
        <f>J870*0.25</f>
        <v>125</v>
      </c>
      <c r="S870" s="143">
        <f>J870*1.5</f>
        <v>750</v>
      </c>
      <c r="T870" s="143">
        <f>J870*5.2</f>
        <v>2600</v>
      </c>
      <c r="U870" s="143">
        <f>J870*0.5</f>
        <v>250</v>
      </c>
      <c r="V870" s="143">
        <f>R870+S870+T870+U870</f>
        <v>3725</v>
      </c>
    </row>
    <row r="871" spans="1:22" s="128" customFormat="1" ht="15.6" hidden="1" x14ac:dyDescent="0.3">
      <c r="A871" s="142" t="s">
        <v>477</v>
      </c>
      <c r="B871" s="142">
        <v>944</v>
      </c>
      <c r="C871" s="141">
        <v>45938</v>
      </c>
      <c r="D871" s="140">
        <f>WEEKNUM(C871)</f>
        <v>41</v>
      </c>
      <c r="E871" s="140" t="s">
        <v>478</v>
      </c>
      <c r="F871" s="140" t="s">
        <v>146</v>
      </c>
      <c r="G871" s="142" t="s">
        <v>837</v>
      </c>
      <c r="H871" s="142" t="s">
        <v>95</v>
      </c>
      <c r="I871" s="142" t="s">
        <v>46</v>
      </c>
      <c r="J871" s="157">
        <v>200</v>
      </c>
      <c r="K871" s="143">
        <v>16.5</v>
      </c>
      <c r="L871" s="143">
        <f>K871*J871</f>
        <v>3300</v>
      </c>
      <c r="M871" s="143">
        <v>0</v>
      </c>
      <c r="N871" s="141">
        <v>45965</v>
      </c>
      <c r="O871" s="157">
        <f>WEEKNUM(N871)</f>
        <v>45</v>
      </c>
      <c r="P871" s="140"/>
      <c r="Q871" s="140" t="s">
        <v>29</v>
      </c>
      <c r="R871" s="143">
        <f>J871*1</f>
        <v>200</v>
      </c>
      <c r="S871" s="143">
        <f>J871*0.6</f>
        <v>120</v>
      </c>
      <c r="T871" s="143">
        <f>J871*0.7</f>
        <v>140</v>
      </c>
      <c r="U871" s="143">
        <f>J871*1</f>
        <v>200</v>
      </c>
      <c r="V871" s="143">
        <f>R871+S871+T871+U871</f>
        <v>660</v>
      </c>
    </row>
    <row r="872" spans="1:22" s="128" customFormat="1" ht="15.6" hidden="1" x14ac:dyDescent="0.3">
      <c r="A872" s="142" t="s">
        <v>477</v>
      </c>
      <c r="B872" s="142">
        <v>944</v>
      </c>
      <c r="C872" s="141">
        <v>45938</v>
      </c>
      <c r="D872" s="140">
        <f>WEEKNUM(C872)</f>
        <v>41</v>
      </c>
      <c r="E872" s="140" t="s">
        <v>478</v>
      </c>
      <c r="F872" s="140" t="s">
        <v>146</v>
      </c>
      <c r="G872" s="142" t="s">
        <v>759</v>
      </c>
      <c r="H872" s="140" t="s">
        <v>107</v>
      </c>
      <c r="I872" s="142" t="s">
        <v>46</v>
      </c>
      <c r="J872" s="157">
        <v>500</v>
      </c>
      <c r="K872" s="143">
        <v>2.5</v>
      </c>
      <c r="L872" s="143">
        <f>K872*J872</f>
        <v>1250</v>
      </c>
      <c r="M872" s="143">
        <v>0</v>
      </c>
      <c r="N872" s="141">
        <v>45965</v>
      </c>
      <c r="O872" s="157">
        <f>WEEKNUM(N872)</f>
        <v>45</v>
      </c>
      <c r="P872" s="140"/>
      <c r="Q872" s="140" t="s">
        <v>29</v>
      </c>
      <c r="R872" s="156">
        <f>J872*0.25</f>
        <v>125</v>
      </c>
      <c r="S872" s="156">
        <f>J872*0.5</f>
        <v>250</v>
      </c>
      <c r="T872" s="156">
        <f>J872*0.5</f>
        <v>250</v>
      </c>
      <c r="U872" s="156">
        <f>J872*0.5</f>
        <v>250</v>
      </c>
      <c r="V872" s="156">
        <f>R872+S872+T872+U872</f>
        <v>875</v>
      </c>
    </row>
    <row r="873" spans="1:22" s="128" customFormat="1" ht="15.6" hidden="1" x14ac:dyDescent="0.3">
      <c r="A873" s="142" t="s">
        <v>496</v>
      </c>
      <c r="B873" s="142">
        <v>308</v>
      </c>
      <c r="C873" s="141">
        <v>45939</v>
      </c>
      <c r="D873" s="140">
        <f>WEEKNUM(C873)</f>
        <v>41</v>
      </c>
      <c r="E873" s="142" t="s">
        <v>68</v>
      </c>
      <c r="F873" s="142" t="s">
        <v>388</v>
      </c>
      <c r="G873" s="142" t="s">
        <v>311</v>
      </c>
      <c r="H873" s="140" t="s">
        <v>51</v>
      </c>
      <c r="I873" s="142" t="s">
        <v>46</v>
      </c>
      <c r="J873" s="157">
        <v>3</v>
      </c>
      <c r="K873" s="143">
        <v>25</v>
      </c>
      <c r="L873" s="143">
        <f>K873*J873</f>
        <v>75</v>
      </c>
      <c r="M873" s="143">
        <v>0</v>
      </c>
      <c r="N873" s="141">
        <v>45959</v>
      </c>
      <c r="O873" s="157">
        <f>WEEKNUM(N873)</f>
        <v>44</v>
      </c>
      <c r="P873" s="140"/>
      <c r="Q873" s="140" t="s">
        <v>29</v>
      </c>
      <c r="R873" s="143">
        <f>J873*0.25</f>
        <v>0.75</v>
      </c>
      <c r="S873" s="143">
        <f>J873*0.5</f>
        <v>1.5</v>
      </c>
      <c r="T873" s="143">
        <f>J873*1.3</f>
        <v>3.9000000000000004</v>
      </c>
      <c r="U873" s="143">
        <f>J873*0.5</f>
        <v>1.5</v>
      </c>
      <c r="V873" s="143">
        <f>R873+S873+T873+U873</f>
        <v>7.65</v>
      </c>
    </row>
    <row r="874" spans="1:22" s="128" customFormat="1" ht="15.6" hidden="1" x14ac:dyDescent="0.3">
      <c r="A874" s="142" t="s">
        <v>496</v>
      </c>
      <c r="B874" s="142">
        <v>308</v>
      </c>
      <c r="C874" s="141">
        <v>45939</v>
      </c>
      <c r="D874" s="140">
        <f>WEEKNUM(C874)</f>
        <v>41</v>
      </c>
      <c r="E874" s="142" t="s">
        <v>68</v>
      </c>
      <c r="F874" s="142" t="s">
        <v>388</v>
      </c>
      <c r="G874" s="140" t="s">
        <v>503</v>
      </c>
      <c r="H874" s="142" t="s">
        <v>354</v>
      </c>
      <c r="I874" s="142" t="s">
        <v>46</v>
      </c>
      <c r="J874" s="157">
        <v>7</v>
      </c>
      <c r="K874" s="143">
        <v>36.75</v>
      </c>
      <c r="L874" s="143">
        <f>K874*J874</f>
        <v>257.25</v>
      </c>
      <c r="M874" s="143">
        <v>0</v>
      </c>
      <c r="N874" s="141">
        <v>45959</v>
      </c>
      <c r="O874" s="157">
        <f>WEEKNUM(N874)</f>
        <v>44</v>
      </c>
      <c r="P874" s="140"/>
      <c r="Q874" s="140" t="s">
        <v>29</v>
      </c>
      <c r="R874" s="143">
        <f>J874*0.25</f>
        <v>1.75</v>
      </c>
      <c r="S874" s="143">
        <f>J874*1</f>
        <v>7</v>
      </c>
      <c r="T874" s="143">
        <f>J874*1.5</f>
        <v>10.5</v>
      </c>
      <c r="U874" s="143">
        <f>J874*0.5</f>
        <v>3.5</v>
      </c>
      <c r="V874" s="143">
        <f>R874+S874+T874+U874</f>
        <v>22.75</v>
      </c>
    </row>
    <row r="875" spans="1:22" s="128" customFormat="1" ht="15.6" hidden="1" x14ac:dyDescent="0.3">
      <c r="A875" s="142" t="s">
        <v>496</v>
      </c>
      <c r="B875" s="142">
        <v>308</v>
      </c>
      <c r="C875" s="141">
        <v>45939</v>
      </c>
      <c r="D875" s="140">
        <f>WEEKNUM(C875)</f>
        <v>41</v>
      </c>
      <c r="E875" s="142" t="s">
        <v>68</v>
      </c>
      <c r="F875" s="142" t="s">
        <v>388</v>
      </c>
      <c r="G875" s="142" t="s">
        <v>408</v>
      </c>
      <c r="H875" s="140" t="s">
        <v>80</v>
      </c>
      <c r="I875" s="142" t="s">
        <v>46</v>
      </c>
      <c r="J875" s="157">
        <v>4</v>
      </c>
      <c r="K875" s="143">
        <v>21</v>
      </c>
      <c r="L875" s="143">
        <f>K875*J875</f>
        <v>84</v>
      </c>
      <c r="M875" s="143">
        <v>0</v>
      </c>
      <c r="N875" s="141">
        <v>45959</v>
      </c>
      <c r="O875" s="157">
        <f>WEEKNUM(N875)</f>
        <v>44</v>
      </c>
      <c r="P875" s="140"/>
      <c r="Q875" s="140" t="s">
        <v>29</v>
      </c>
      <c r="R875" s="156">
        <f>J875*0.25</f>
        <v>1</v>
      </c>
      <c r="S875" s="156">
        <f>J875*1</f>
        <v>4</v>
      </c>
      <c r="T875" s="156">
        <f>J875*1.2</f>
        <v>4.8</v>
      </c>
      <c r="U875" s="156">
        <f>J875*0.5</f>
        <v>2</v>
      </c>
      <c r="V875" s="156">
        <f>R875+S875+T875+U875</f>
        <v>11.8</v>
      </c>
    </row>
    <row r="876" spans="1:22" s="128" customFormat="1" ht="15.6" hidden="1" x14ac:dyDescent="0.3">
      <c r="A876" s="142" t="s">
        <v>496</v>
      </c>
      <c r="B876" s="142">
        <v>308</v>
      </c>
      <c r="C876" s="141">
        <v>45939</v>
      </c>
      <c r="D876" s="140">
        <f>WEEKNUM(C876)</f>
        <v>41</v>
      </c>
      <c r="E876" s="142" t="s">
        <v>68</v>
      </c>
      <c r="F876" s="142" t="s">
        <v>388</v>
      </c>
      <c r="G876" s="142" t="s">
        <v>339</v>
      </c>
      <c r="H876" s="142" t="s">
        <v>340</v>
      </c>
      <c r="I876" s="142" t="s">
        <v>46</v>
      </c>
      <c r="J876" s="157">
        <v>2</v>
      </c>
      <c r="K876" s="143">
        <v>65</v>
      </c>
      <c r="L876" s="143">
        <f>K876*J876</f>
        <v>130</v>
      </c>
      <c r="M876" s="143">
        <v>0</v>
      </c>
      <c r="N876" s="141">
        <v>45959</v>
      </c>
      <c r="O876" s="157">
        <f>WEEKNUM(N876)</f>
        <v>44</v>
      </c>
      <c r="P876" s="140"/>
      <c r="Q876" s="140" t="s">
        <v>29</v>
      </c>
      <c r="R876" s="143">
        <v>0</v>
      </c>
      <c r="S876" s="143">
        <f>J876*1</f>
        <v>2</v>
      </c>
      <c r="T876" s="143">
        <v>0</v>
      </c>
      <c r="U876" s="143">
        <f>J876*0.5</f>
        <v>1</v>
      </c>
      <c r="V876" s="143">
        <f>R876+S876+T876+U876</f>
        <v>3</v>
      </c>
    </row>
    <row r="877" spans="1:22" s="128" customFormat="1" ht="15.6" hidden="1" x14ac:dyDescent="0.3">
      <c r="A877" s="142" t="s">
        <v>496</v>
      </c>
      <c r="B877" s="142">
        <v>309</v>
      </c>
      <c r="C877" s="141">
        <v>45939</v>
      </c>
      <c r="D877" s="140">
        <f>WEEKNUM(C877)</f>
        <v>41</v>
      </c>
      <c r="E877" s="142" t="s">
        <v>68</v>
      </c>
      <c r="F877" s="142" t="s">
        <v>389</v>
      </c>
      <c r="G877" s="142" t="s">
        <v>311</v>
      </c>
      <c r="H877" s="140" t="s">
        <v>51</v>
      </c>
      <c r="I877" s="142" t="s">
        <v>46</v>
      </c>
      <c r="J877" s="157">
        <v>9</v>
      </c>
      <c r="K877" s="143">
        <v>25</v>
      </c>
      <c r="L877" s="143">
        <f>K877*J877</f>
        <v>225</v>
      </c>
      <c r="M877" s="143">
        <v>0</v>
      </c>
      <c r="N877" s="141">
        <v>45965</v>
      </c>
      <c r="O877" s="157">
        <f>WEEKNUM(N877)</f>
        <v>45</v>
      </c>
      <c r="P877" s="140"/>
      <c r="Q877" s="140" t="s">
        <v>29</v>
      </c>
      <c r="R877" s="143">
        <f>J877*0.25</f>
        <v>2.25</v>
      </c>
      <c r="S877" s="143">
        <f>J877*0.5</f>
        <v>4.5</v>
      </c>
      <c r="T877" s="143">
        <f>J877*1.3</f>
        <v>11.700000000000001</v>
      </c>
      <c r="U877" s="143">
        <f>J877*0.5</f>
        <v>4.5</v>
      </c>
      <c r="V877" s="143">
        <f>R877+S877+T877+U877</f>
        <v>22.950000000000003</v>
      </c>
    </row>
    <row r="878" spans="1:22" s="128" customFormat="1" ht="15.6" hidden="1" x14ac:dyDescent="0.3">
      <c r="A878" s="142" t="s">
        <v>496</v>
      </c>
      <c r="B878" s="142">
        <v>309</v>
      </c>
      <c r="C878" s="141">
        <v>45939</v>
      </c>
      <c r="D878" s="140">
        <f>WEEKNUM(C878)</f>
        <v>41</v>
      </c>
      <c r="E878" s="142" t="s">
        <v>68</v>
      </c>
      <c r="F878" s="142" t="s">
        <v>389</v>
      </c>
      <c r="G878" s="142" t="s">
        <v>301</v>
      </c>
      <c r="H878" s="140" t="s">
        <v>74</v>
      </c>
      <c r="I878" s="142" t="s">
        <v>46</v>
      </c>
      <c r="J878" s="157">
        <v>25</v>
      </c>
      <c r="K878" s="143">
        <v>36.75</v>
      </c>
      <c r="L878" s="143">
        <f>K878*J878</f>
        <v>918.75</v>
      </c>
      <c r="M878" s="143">
        <v>0</v>
      </c>
      <c r="N878" s="141">
        <v>45965</v>
      </c>
      <c r="O878" s="157">
        <f>WEEKNUM(N878)</f>
        <v>45</v>
      </c>
      <c r="P878" s="140"/>
      <c r="Q878" s="140" t="s">
        <v>29</v>
      </c>
      <c r="R878" s="143">
        <f>J878*0.25</f>
        <v>6.25</v>
      </c>
      <c r="S878" s="143">
        <f>J878*1</f>
        <v>25</v>
      </c>
      <c r="T878" s="143">
        <f>J878*1.5</f>
        <v>37.5</v>
      </c>
      <c r="U878" s="143">
        <f>J878*0.5</f>
        <v>12.5</v>
      </c>
      <c r="V878" s="143">
        <f>R878+S878+T878+U878</f>
        <v>81.25</v>
      </c>
    </row>
    <row r="879" spans="1:22" s="128" customFormat="1" ht="15.6" hidden="1" x14ac:dyDescent="0.3">
      <c r="A879" s="142" t="s">
        <v>496</v>
      </c>
      <c r="B879" s="142">
        <v>309</v>
      </c>
      <c r="C879" s="141">
        <v>45939</v>
      </c>
      <c r="D879" s="140">
        <f>WEEKNUM(C879)</f>
        <v>41</v>
      </c>
      <c r="E879" s="142" t="s">
        <v>68</v>
      </c>
      <c r="F879" s="142" t="s">
        <v>389</v>
      </c>
      <c r="G879" s="142" t="s">
        <v>339</v>
      </c>
      <c r="H879" s="142" t="s">
        <v>340</v>
      </c>
      <c r="I879" s="142" t="s">
        <v>46</v>
      </c>
      <c r="J879" s="157">
        <v>4</v>
      </c>
      <c r="K879" s="143">
        <v>65</v>
      </c>
      <c r="L879" s="143">
        <f>K879*J879</f>
        <v>260</v>
      </c>
      <c r="M879" s="143">
        <v>0</v>
      </c>
      <c r="N879" s="141">
        <v>45965</v>
      </c>
      <c r="O879" s="157">
        <f>WEEKNUM(N879)</f>
        <v>45</v>
      </c>
      <c r="P879" s="140"/>
      <c r="Q879" s="140" t="s">
        <v>29</v>
      </c>
      <c r="R879" s="143">
        <v>0</v>
      </c>
      <c r="S879" s="143">
        <f>J879*1</f>
        <v>4</v>
      </c>
      <c r="T879" s="143">
        <v>0</v>
      </c>
      <c r="U879" s="143">
        <f>J879*0.5</f>
        <v>2</v>
      </c>
      <c r="V879" s="143">
        <f>R879+S879+T879+U879</f>
        <v>6</v>
      </c>
    </row>
    <row r="880" spans="1:22" s="128" customFormat="1" ht="15.6" hidden="1" x14ac:dyDescent="0.3">
      <c r="A880" s="142" t="s">
        <v>496</v>
      </c>
      <c r="B880" s="142">
        <v>309</v>
      </c>
      <c r="C880" s="141">
        <v>45939</v>
      </c>
      <c r="D880" s="140">
        <f>WEEKNUM(C880)</f>
        <v>41</v>
      </c>
      <c r="E880" s="142" t="s">
        <v>68</v>
      </c>
      <c r="F880" s="142" t="s">
        <v>389</v>
      </c>
      <c r="G880" s="140" t="s">
        <v>356</v>
      </c>
      <c r="H880" s="140" t="s">
        <v>321</v>
      </c>
      <c r="I880" s="142" t="s">
        <v>46</v>
      </c>
      <c r="J880" s="157">
        <v>7</v>
      </c>
      <c r="K880" s="143">
        <v>85</v>
      </c>
      <c r="L880" s="143">
        <f>K880*J880</f>
        <v>595</v>
      </c>
      <c r="M880" s="143">
        <v>0</v>
      </c>
      <c r="N880" s="141">
        <v>45965</v>
      </c>
      <c r="O880" s="157">
        <f>WEEKNUM(N880)</f>
        <v>45</v>
      </c>
      <c r="P880" s="140"/>
      <c r="Q880" s="140" t="s">
        <v>29</v>
      </c>
      <c r="R880" s="156">
        <f>J880*0.25</f>
        <v>1.75</v>
      </c>
      <c r="S880" s="156">
        <f>PRODUCT(1.5,J880)</f>
        <v>10.5</v>
      </c>
      <c r="T880" s="156">
        <f>PRODUCT(1.5,J880)</f>
        <v>10.5</v>
      </c>
      <c r="U880" s="156">
        <f>J880*0.5</f>
        <v>3.5</v>
      </c>
      <c r="V880" s="156">
        <f>R880+S880+T880+U880</f>
        <v>26.25</v>
      </c>
    </row>
    <row r="881" spans="1:22" s="128" customFormat="1" ht="15.6" hidden="1" x14ac:dyDescent="0.3">
      <c r="A881" s="142" t="s">
        <v>496</v>
      </c>
      <c r="B881" s="142">
        <v>309</v>
      </c>
      <c r="C881" s="141">
        <v>45939</v>
      </c>
      <c r="D881" s="140">
        <f>WEEKNUM(C881)</f>
        <v>41</v>
      </c>
      <c r="E881" s="142" t="s">
        <v>68</v>
      </c>
      <c r="F881" s="142" t="s">
        <v>389</v>
      </c>
      <c r="G881" s="142" t="s">
        <v>408</v>
      </c>
      <c r="H881" s="140" t="s">
        <v>80</v>
      </c>
      <c r="I881" s="142" t="s">
        <v>46</v>
      </c>
      <c r="J881" s="157">
        <v>10</v>
      </c>
      <c r="K881" s="143">
        <v>21</v>
      </c>
      <c r="L881" s="143">
        <f>K881*J881</f>
        <v>210</v>
      </c>
      <c r="M881" s="143">
        <v>0</v>
      </c>
      <c r="N881" s="141">
        <v>45965</v>
      </c>
      <c r="O881" s="157">
        <f>WEEKNUM(N881)</f>
        <v>45</v>
      </c>
      <c r="P881" s="140"/>
      <c r="Q881" s="140" t="s">
        <v>29</v>
      </c>
      <c r="R881" s="156">
        <f>J881*0.25</f>
        <v>2.5</v>
      </c>
      <c r="S881" s="156">
        <f>J881*1</f>
        <v>10</v>
      </c>
      <c r="T881" s="156">
        <f>J881*1.2</f>
        <v>12</v>
      </c>
      <c r="U881" s="156">
        <f>J881*0.5</f>
        <v>5</v>
      </c>
      <c r="V881" s="156">
        <f>R881+S881+T881+U881</f>
        <v>29.5</v>
      </c>
    </row>
    <row r="882" spans="1:22" s="128" customFormat="1" ht="15.6" hidden="1" x14ac:dyDescent="0.3">
      <c r="A882" s="142" t="s">
        <v>477</v>
      </c>
      <c r="B882" s="142">
        <v>945</v>
      </c>
      <c r="C882" s="141">
        <v>45939</v>
      </c>
      <c r="D882" s="140">
        <f>WEEKNUM(C882)</f>
        <v>41</v>
      </c>
      <c r="E882" s="140" t="s">
        <v>475</v>
      </c>
      <c r="F882" s="140" t="s">
        <v>809</v>
      </c>
      <c r="G882" s="142" t="s">
        <v>218</v>
      </c>
      <c r="H882" s="140" t="s">
        <v>74</v>
      </c>
      <c r="I882" s="142" t="s">
        <v>46</v>
      </c>
      <c r="J882" s="157">
        <v>99</v>
      </c>
      <c r="K882" s="143">
        <v>24.5</v>
      </c>
      <c r="L882" s="143">
        <f>K882*J882</f>
        <v>2425.5</v>
      </c>
      <c r="M882" s="143">
        <v>0</v>
      </c>
      <c r="N882" s="141">
        <v>45959</v>
      </c>
      <c r="O882" s="157">
        <f>WEEKNUM(N882)</f>
        <v>44</v>
      </c>
      <c r="P882" s="140"/>
      <c r="Q882" s="140" t="s">
        <v>29</v>
      </c>
      <c r="R882" s="143">
        <f>J882*0.25</f>
        <v>24.75</v>
      </c>
      <c r="S882" s="143">
        <f>J882*1</f>
        <v>99</v>
      </c>
      <c r="T882" s="143">
        <f>J882*1.5</f>
        <v>148.5</v>
      </c>
      <c r="U882" s="143">
        <f>J882*0.5</f>
        <v>49.5</v>
      </c>
      <c r="V882" s="143">
        <f>R882+S882+T882+U882</f>
        <v>321.75</v>
      </c>
    </row>
    <row r="883" spans="1:22" s="128" customFormat="1" ht="15.6" hidden="1" x14ac:dyDescent="0.3">
      <c r="A883" s="142" t="s">
        <v>477</v>
      </c>
      <c r="B883" s="142">
        <v>313</v>
      </c>
      <c r="C883" s="141">
        <v>45940</v>
      </c>
      <c r="D883" s="140">
        <f>WEEKNUM(C883)</f>
        <v>41</v>
      </c>
      <c r="E883" s="140" t="s">
        <v>475</v>
      </c>
      <c r="F883" s="142" t="s">
        <v>517</v>
      </c>
      <c r="G883" s="142" t="s">
        <v>515</v>
      </c>
      <c r="H883" s="140" t="s">
        <v>60</v>
      </c>
      <c r="I883" s="142" t="s">
        <v>61</v>
      </c>
      <c r="J883" s="157">
        <v>100</v>
      </c>
      <c r="K883" s="143">
        <v>19.5</v>
      </c>
      <c r="L883" s="143">
        <f>K883*J883</f>
        <v>1950</v>
      </c>
      <c r="M883" s="143">
        <v>0</v>
      </c>
      <c r="N883" s="141">
        <v>45966</v>
      </c>
      <c r="O883" s="157">
        <f>WEEKNUM(N883)</f>
        <v>45</v>
      </c>
      <c r="P883" s="140"/>
      <c r="Q883" s="140" t="s">
        <v>29</v>
      </c>
      <c r="R883" s="143">
        <f>PRODUCT(0.25,J883)</f>
        <v>25</v>
      </c>
      <c r="S883" s="143">
        <f>PRODUCT(1.5,J883)</f>
        <v>150</v>
      </c>
      <c r="T883" s="143">
        <f>PRODUCT(1.5,J883)</f>
        <v>150</v>
      </c>
      <c r="U883" s="143">
        <f>J883*0.5</f>
        <v>50</v>
      </c>
      <c r="V883" s="143">
        <f>SUM(R883:U883)</f>
        <v>375</v>
      </c>
    </row>
    <row r="884" spans="1:22" s="128" customFormat="1" ht="15.6" hidden="1" x14ac:dyDescent="0.3">
      <c r="A884" s="142" t="s">
        <v>477</v>
      </c>
      <c r="B884" s="142">
        <v>313</v>
      </c>
      <c r="C884" s="141">
        <v>45940</v>
      </c>
      <c r="D884" s="140">
        <f>WEEKNUM(C884)</f>
        <v>41</v>
      </c>
      <c r="E884" s="140" t="s">
        <v>475</v>
      </c>
      <c r="F884" s="142" t="s">
        <v>517</v>
      </c>
      <c r="G884" s="142" t="s">
        <v>515</v>
      </c>
      <c r="H884" s="140" t="s">
        <v>60</v>
      </c>
      <c r="I884" s="142" t="s">
        <v>61</v>
      </c>
      <c r="J884" s="157">
        <v>100</v>
      </c>
      <c r="K884" s="143">
        <v>17.5</v>
      </c>
      <c r="L884" s="143">
        <f>K884*J884</f>
        <v>1750</v>
      </c>
      <c r="M884" s="143">
        <v>0</v>
      </c>
      <c r="N884" s="141">
        <v>45966</v>
      </c>
      <c r="O884" s="157">
        <f>WEEKNUM(N884)</f>
        <v>45</v>
      </c>
      <c r="P884" s="140"/>
      <c r="Q884" s="140" t="s">
        <v>29</v>
      </c>
      <c r="R884" s="143">
        <f>PRODUCT(0.25,J884)</f>
        <v>25</v>
      </c>
      <c r="S884" s="143">
        <f>PRODUCT(1.5,J884)</f>
        <v>150</v>
      </c>
      <c r="T884" s="143">
        <f>PRODUCT(1.5,J884)</f>
        <v>150</v>
      </c>
      <c r="U884" s="143">
        <f>J884*0.5</f>
        <v>50</v>
      </c>
      <c r="V884" s="143">
        <f>SUM(R884:U884)</f>
        <v>375</v>
      </c>
    </row>
    <row r="885" spans="1:22" s="128" customFormat="1" ht="15.6" hidden="1" x14ac:dyDescent="0.3">
      <c r="A885" s="142" t="s">
        <v>477</v>
      </c>
      <c r="B885" s="142">
        <v>311</v>
      </c>
      <c r="C885" s="141">
        <v>45940</v>
      </c>
      <c r="D885" s="140">
        <f>WEEKNUM(C885)</f>
        <v>41</v>
      </c>
      <c r="E885" s="140" t="s">
        <v>475</v>
      </c>
      <c r="F885" s="142" t="s">
        <v>639</v>
      </c>
      <c r="G885" s="142" t="s">
        <v>487</v>
      </c>
      <c r="H885" s="140" t="s">
        <v>51</v>
      </c>
      <c r="I885" s="142" t="s">
        <v>46</v>
      </c>
      <c r="J885" s="157">
        <v>100</v>
      </c>
      <c r="K885" s="143">
        <v>23.5</v>
      </c>
      <c r="L885" s="143">
        <f>K885*J885</f>
        <v>2350</v>
      </c>
      <c r="M885" s="143">
        <v>0</v>
      </c>
      <c r="N885" s="141">
        <v>45960</v>
      </c>
      <c r="O885" s="157">
        <f>WEEKNUM(N885)</f>
        <v>44</v>
      </c>
      <c r="P885" s="140"/>
      <c r="Q885" s="140" t="s">
        <v>29</v>
      </c>
      <c r="R885" s="143">
        <f>J885*0.25</f>
        <v>25</v>
      </c>
      <c r="S885" s="143">
        <f>J885*0.5</f>
        <v>50</v>
      </c>
      <c r="T885" s="143">
        <f>J885*1.3</f>
        <v>130</v>
      </c>
      <c r="U885" s="143">
        <f>J885*0.5</f>
        <v>50</v>
      </c>
      <c r="V885" s="143">
        <f>R885+S885+T885+U885</f>
        <v>255</v>
      </c>
    </row>
    <row r="886" spans="1:22" s="128" customFormat="1" ht="15.6" hidden="1" x14ac:dyDescent="0.3">
      <c r="A886" s="142" t="s">
        <v>477</v>
      </c>
      <c r="B886" s="142">
        <v>312</v>
      </c>
      <c r="C886" s="141">
        <v>45940</v>
      </c>
      <c r="D886" s="140">
        <f>WEEKNUM(C886)</f>
        <v>41</v>
      </c>
      <c r="E886" s="140" t="s">
        <v>475</v>
      </c>
      <c r="F886" s="142" t="s">
        <v>705</v>
      </c>
      <c r="G886" s="142" t="s">
        <v>706</v>
      </c>
      <c r="H886" s="142" t="s">
        <v>154</v>
      </c>
      <c r="I886" s="142" t="s">
        <v>46</v>
      </c>
      <c r="J886" s="157">
        <v>100</v>
      </c>
      <c r="K886" s="143">
        <v>11</v>
      </c>
      <c r="L886" s="143">
        <f>K886*J886</f>
        <v>1100</v>
      </c>
      <c r="M886" s="143">
        <v>0</v>
      </c>
      <c r="N886" s="141">
        <v>45967</v>
      </c>
      <c r="O886" s="157">
        <f>WEEKNUM(N886)</f>
        <v>45</v>
      </c>
      <c r="P886" s="140"/>
      <c r="Q886" s="140" t="s">
        <v>29</v>
      </c>
      <c r="R886" s="143">
        <f>J886*0.25</f>
        <v>25</v>
      </c>
      <c r="S886" s="143">
        <f>J886*0.6</f>
        <v>60</v>
      </c>
      <c r="T886" s="143">
        <f>J886*1.87</f>
        <v>187</v>
      </c>
      <c r="U886" s="143">
        <f>J886*0.5</f>
        <v>50</v>
      </c>
      <c r="V886" s="156">
        <f>SUM(R886:U886)</f>
        <v>322</v>
      </c>
    </row>
    <row r="887" spans="1:22" s="128" customFormat="1" ht="15.6" hidden="1" x14ac:dyDescent="0.3">
      <c r="A887" s="142" t="s">
        <v>477</v>
      </c>
      <c r="B887" s="142">
        <v>947</v>
      </c>
      <c r="C887" s="141">
        <v>45940</v>
      </c>
      <c r="D887" s="140">
        <f>WEEKNUM(C887)</f>
        <v>41</v>
      </c>
      <c r="E887" s="140" t="s">
        <v>475</v>
      </c>
      <c r="F887" s="142" t="s">
        <v>888</v>
      </c>
      <c r="G887" s="140" t="s">
        <v>480</v>
      </c>
      <c r="H887" s="140" t="s">
        <v>51</v>
      </c>
      <c r="I887" s="142" t="s">
        <v>46</v>
      </c>
      <c r="J887" s="157">
        <v>300</v>
      </c>
      <c r="K887" s="143">
        <v>19.5</v>
      </c>
      <c r="L887" s="143">
        <f>K887*J887</f>
        <v>5850</v>
      </c>
      <c r="M887" s="143">
        <v>0</v>
      </c>
      <c r="N887" s="141">
        <v>45966</v>
      </c>
      <c r="O887" s="157">
        <f>WEEKNUM(N887)</f>
        <v>45</v>
      </c>
      <c r="P887" s="140"/>
      <c r="Q887" s="140" t="s">
        <v>29</v>
      </c>
      <c r="R887" s="143">
        <f>J887*0.25</f>
        <v>75</v>
      </c>
      <c r="S887" s="143">
        <f>J887*0.5</f>
        <v>150</v>
      </c>
      <c r="T887" s="143">
        <f>J887*1.3</f>
        <v>390</v>
      </c>
      <c r="U887" s="143">
        <f>J887*0.5</f>
        <v>150</v>
      </c>
      <c r="V887" s="143">
        <f>R887+S887+T887+U887</f>
        <v>765</v>
      </c>
    </row>
    <row r="888" spans="1:22" s="128" customFormat="1" ht="15.6" hidden="1" x14ac:dyDescent="0.3">
      <c r="A888" s="142" t="s">
        <v>477</v>
      </c>
      <c r="B888" s="142">
        <v>947</v>
      </c>
      <c r="C888" s="141">
        <v>45940</v>
      </c>
      <c r="D888" s="140">
        <f>WEEKNUM(C888)</f>
        <v>41</v>
      </c>
      <c r="E888" s="140" t="s">
        <v>475</v>
      </c>
      <c r="F888" s="142" t="s">
        <v>888</v>
      </c>
      <c r="G888" s="142" t="s">
        <v>783</v>
      </c>
      <c r="H888" s="140" t="s">
        <v>494</v>
      </c>
      <c r="I888" s="142" t="s">
        <v>46</v>
      </c>
      <c r="J888" s="157">
        <v>300</v>
      </c>
      <c r="K888" s="143">
        <v>26.5</v>
      </c>
      <c r="L888" s="143">
        <f>K888*J888</f>
        <v>7950</v>
      </c>
      <c r="M888" s="143">
        <v>0</v>
      </c>
      <c r="N888" s="141">
        <v>45966</v>
      </c>
      <c r="O888" s="157">
        <f>WEEKNUM(N888)</f>
        <v>45</v>
      </c>
      <c r="P888" s="140"/>
      <c r="Q888" s="140" t="s">
        <v>29</v>
      </c>
      <c r="R888" s="143">
        <f>J888*0.25</f>
        <v>75</v>
      </c>
      <c r="S888" s="143">
        <f>J888*1</f>
        <v>300</v>
      </c>
      <c r="T888" s="143">
        <f>J888*1.5</f>
        <v>450</v>
      </c>
      <c r="U888" s="143">
        <f>J888*0.5</f>
        <v>150</v>
      </c>
      <c r="V888" s="143">
        <f>R888+S888+T888+U888</f>
        <v>975</v>
      </c>
    </row>
    <row r="889" spans="1:22" s="128" customFormat="1" ht="15.6" hidden="1" x14ac:dyDescent="0.3">
      <c r="A889" s="142" t="s">
        <v>496</v>
      </c>
      <c r="B889" s="142">
        <v>310</v>
      </c>
      <c r="C889" s="141">
        <v>45940</v>
      </c>
      <c r="D889" s="140">
        <f>WEEKNUM(C889)</f>
        <v>41</v>
      </c>
      <c r="E889" s="140" t="s">
        <v>475</v>
      </c>
      <c r="F889" s="142" t="s">
        <v>948</v>
      </c>
      <c r="G889" s="142" t="s">
        <v>638</v>
      </c>
      <c r="H889" s="140" t="s">
        <v>60</v>
      </c>
      <c r="I889" s="142" t="s">
        <v>61</v>
      </c>
      <c r="J889" s="157">
        <v>100</v>
      </c>
      <c r="K889" s="143">
        <v>14.2</v>
      </c>
      <c r="L889" s="143">
        <f>K889*J889</f>
        <v>1420</v>
      </c>
      <c r="M889" s="143">
        <v>0</v>
      </c>
      <c r="N889" s="141">
        <v>45966</v>
      </c>
      <c r="O889" s="157">
        <f>WEEKNUM(N889)</f>
        <v>45</v>
      </c>
      <c r="P889" s="140"/>
      <c r="Q889" s="140" t="s">
        <v>29</v>
      </c>
      <c r="R889" s="143">
        <f>J889*0.25</f>
        <v>25</v>
      </c>
      <c r="S889" s="143">
        <f>J889*0.7</f>
        <v>70</v>
      </c>
      <c r="T889" s="143">
        <f>J889*2.5</f>
        <v>250</v>
      </c>
      <c r="U889" s="143">
        <f>J889*0.5</f>
        <v>50</v>
      </c>
      <c r="V889" s="143">
        <f>R889+S889+T889+U889</f>
        <v>395</v>
      </c>
    </row>
    <row r="890" spans="1:22" s="128" customFormat="1" ht="15.6" hidden="1" x14ac:dyDescent="0.3">
      <c r="A890" s="142" t="s">
        <v>496</v>
      </c>
      <c r="B890" s="142">
        <v>315</v>
      </c>
      <c r="C890" s="141">
        <v>45943</v>
      </c>
      <c r="D890" s="140">
        <f>WEEKNUM(C890)</f>
        <v>42</v>
      </c>
      <c r="E890" s="142" t="s">
        <v>68</v>
      </c>
      <c r="F890" s="195" t="s">
        <v>319</v>
      </c>
      <c r="G890" s="142" t="s">
        <v>339</v>
      </c>
      <c r="H890" s="142" t="s">
        <v>340</v>
      </c>
      <c r="I890" s="142" t="s">
        <v>46</v>
      </c>
      <c r="J890" s="157">
        <v>1</v>
      </c>
      <c r="K890" s="143">
        <v>65</v>
      </c>
      <c r="L890" s="143">
        <f>K890*J890</f>
        <v>65</v>
      </c>
      <c r="M890" s="143">
        <v>0</v>
      </c>
      <c r="N890" s="141">
        <v>45968</v>
      </c>
      <c r="O890" s="157">
        <f>WEEKNUM(N890)</f>
        <v>45</v>
      </c>
      <c r="P890" s="140"/>
      <c r="Q890" s="140" t="s">
        <v>29</v>
      </c>
      <c r="R890" s="143">
        <f>J890*0.25</f>
        <v>0.25</v>
      </c>
      <c r="S890" s="143"/>
      <c r="T890" s="143"/>
      <c r="U890" s="143">
        <f>J890*0.5</f>
        <v>0.5</v>
      </c>
      <c r="V890" s="143"/>
    </row>
    <row r="891" spans="1:22" s="128" customFormat="1" ht="15.6" hidden="1" x14ac:dyDescent="0.3">
      <c r="A891" s="142" t="s">
        <v>496</v>
      </c>
      <c r="B891" s="142">
        <v>315</v>
      </c>
      <c r="C891" s="141">
        <v>45943</v>
      </c>
      <c r="D891" s="140">
        <f>WEEKNUM(C891)</f>
        <v>42</v>
      </c>
      <c r="E891" s="142" t="s">
        <v>68</v>
      </c>
      <c r="F891" s="195" t="s">
        <v>319</v>
      </c>
      <c r="G891" s="142" t="s">
        <v>301</v>
      </c>
      <c r="H891" s="140" t="s">
        <v>74</v>
      </c>
      <c r="I891" s="142" t="s">
        <v>26</v>
      </c>
      <c r="J891" s="157">
        <v>5</v>
      </c>
      <c r="K891" s="143">
        <v>36.75</v>
      </c>
      <c r="L891" s="143">
        <f>K891*J891</f>
        <v>183.75</v>
      </c>
      <c r="M891" s="143">
        <v>0</v>
      </c>
      <c r="N891" s="141">
        <v>45968</v>
      </c>
      <c r="O891" s="157">
        <f>WEEKNUM(N891)</f>
        <v>45</v>
      </c>
      <c r="P891" s="140"/>
      <c r="Q891" s="140" t="s">
        <v>29</v>
      </c>
      <c r="R891" s="143">
        <f>J891*0.25</f>
        <v>1.25</v>
      </c>
      <c r="S891" s="143"/>
      <c r="T891" s="143"/>
      <c r="U891" s="143">
        <f>J891*0.5</f>
        <v>2.5</v>
      </c>
      <c r="V891" s="143"/>
    </row>
    <row r="892" spans="1:22" s="128" customFormat="1" ht="15.6" hidden="1" x14ac:dyDescent="0.3">
      <c r="A892" s="142" t="s">
        <v>496</v>
      </c>
      <c r="B892" s="142">
        <v>315</v>
      </c>
      <c r="C892" s="141">
        <v>45943</v>
      </c>
      <c r="D892" s="140">
        <f>WEEKNUM(C892)</f>
        <v>42</v>
      </c>
      <c r="E892" s="142" t="s">
        <v>68</v>
      </c>
      <c r="F892" s="195" t="s">
        <v>319</v>
      </c>
      <c r="G892" s="140" t="s">
        <v>503</v>
      </c>
      <c r="H892" s="142" t="s">
        <v>354</v>
      </c>
      <c r="I892" s="142" t="s">
        <v>46</v>
      </c>
      <c r="J892" s="157">
        <v>12</v>
      </c>
      <c r="K892" s="143">
        <v>36.75</v>
      </c>
      <c r="L892" s="143">
        <f>K892*J892</f>
        <v>441</v>
      </c>
      <c r="M892" s="143">
        <v>0</v>
      </c>
      <c r="N892" s="141">
        <v>45968</v>
      </c>
      <c r="O892" s="157">
        <f>WEEKNUM(N892)</f>
        <v>45</v>
      </c>
      <c r="P892" s="140"/>
      <c r="Q892" s="140" t="s">
        <v>29</v>
      </c>
      <c r="R892" s="143">
        <f>J892*0.25</f>
        <v>3</v>
      </c>
      <c r="S892" s="143"/>
      <c r="T892" s="143"/>
      <c r="U892" s="143">
        <f>J892*0.5</f>
        <v>6</v>
      </c>
      <c r="V892" s="143"/>
    </row>
    <row r="893" spans="1:22" s="128" customFormat="1" ht="15.6" hidden="1" x14ac:dyDescent="0.3">
      <c r="A893" s="142" t="s">
        <v>496</v>
      </c>
      <c r="B893" s="142">
        <v>314</v>
      </c>
      <c r="C893" s="141">
        <v>45943</v>
      </c>
      <c r="D893" s="140">
        <f>WEEKNUM(C893)</f>
        <v>42</v>
      </c>
      <c r="E893" s="140" t="s">
        <v>475</v>
      </c>
      <c r="F893" s="142" t="s">
        <v>760</v>
      </c>
      <c r="G893" s="142" t="s">
        <v>311</v>
      </c>
      <c r="H893" s="140" t="s">
        <v>51</v>
      </c>
      <c r="I893" s="142" t="s">
        <v>46</v>
      </c>
      <c r="J893" s="157">
        <v>100</v>
      </c>
      <c r="K893" s="143">
        <v>12.99</v>
      </c>
      <c r="L893" s="143">
        <f>K893*J893</f>
        <v>1299</v>
      </c>
      <c r="M893" s="143">
        <v>0</v>
      </c>
      <c r="N893" s="141">
        <v>45968</v>
      </c>
      <c r="O893" s="157">
        <f>WEEKNUM(N893)</f>
        <v>45</v>
      </c>
      <c r="P893" s="140"/>
      <c r="Q893" s="140" t="s">
        <v>29</v>
      </c>
      <c r="R893" s="143">
        <f>J893*0.25</f>
        <v>25</v>
      </c>
      <c r="S893" s="143">
        <f>J893*0.5</f>
        <v>50</v>
      </c>
      <c r="T893" s="143">
        <f>J893*1.3</f>
        <v>130</v>
      </c>
      <c r="U893" s="143">
        <f>J893*0.5</f>
        <v>50</v>
      </c>
      <c r="V893" s="143">
        <f>R893+S893+T893+U893</f>
        <v>255</v>
      </c>
    </row>
    <row r="894" spans="1:22" s="128" customFormat="1" ht="15.6" hidden="1" x14ac:dyDescent="0.3">
      <c r="A894" s="142" t="s">
        <v>477</v>
      </c>
      <c r="B894" s="142">
        <v>316</v>
      </c>
      <c r="C894" s="141">
        <v>45943</v>
      </c>
      <c r="D894" s="140">
        <f>WEEKNUM(C894)</f>
        <v>42</v>
      </c>
      <c r="E894" s="142" t="s">
        <v>498</v>
      </c>
      <c r="F894" s="142" t="s">
        <v>972</v>
      </c>
      <c r="G894" s="142" t="s">
        <v>487</v>
      </c>
      <c r="H894" s="140" t="s">
        <v>51</v>
      </c>
      <c r="I894" s="142" t="s">
        <v>46</v>
      </c>
      <c r="J894" s="157">
        <v>10</v>
      </c>
      <c r="K894" s="143">
        <v>45</v>
      </c>
      <c r="L894" s="143">
        <f>K894*J894</f>
        <v>450</v>
      </c>
      <c r="M894" s="143">
        <v>0</v>
      </c>
      <c r="N894" s="141">
        <v>45945</v>
      </c>
      <c r="O894" s="157">
        <f>WEEKNUM(N894)</f>
        <v>42</v>
      </c>
      <c r="P894" s="140"/>
      <c r="Q894" s="140" t="s">
        <v>29</v>
      </c>
      <c r="R894" s="143">
        <f>J894*0.25</f>
        <v>2.5</v>
      </c>
      <c r="S894" s="143"/>
      <c r="T894" s="143"/>
      <c r="U894" s="143">
        <f>J894*0.5</f>
        <v>5</v>
      </c>
      <c r="V894" s="143"/>
    </row>
    <row r="895" spans="1:22" s="128" customFormat="1" ht="15.6" hidden="1" x14ac:dyDescent="0.3">
      <c r="A895" s="142" t="s">
        <v>477</v>
      </c>
      <c r="B895" s="142">
        <v>951</v>
      </c>
      <c r="C895" s="141">
        <v>45944</v>
      </c>
      <c r="D895" s="140">
        <f>WEEKNUM(C895)</f>
        <v>42</v>
      </c>
      <c r="E895" s="142" t="s">
        <v>498</v>
      </c>
      <c r="F895" s="140" t="s">
        <v>459</v>
      </c>
      <c r="G895" s="142" t="s">
        <v>218</v>
      </c>
      <c r="H895" s="140" t="s">
        <v>74</v>
      </c>
      <c r="I895" s="142" t="s">
        <v>46</v>
      </c>
      <c r="J895" s="157">
        <v>10</v>
      </c>
      <c r="K895" s="143">
        <v>35</v>
      </c>
      <c r="L895" s="143">
        <f>K895*J895</f>
        <v>350</v>
      </c>
      <c r="M895" s="143">
        <v>0</v>
      </c>
      <c r="N895" s="141">
        <v>45950</v>
      </c>
      <c r="O895" s="157">
        <f>WEEKNUM(N895)</f>
        <v>43</v>
      </c>
      <c r="P895" s="140"/>
      <c r="Q895" s="140" t="s">
        <v>29</v>
      </c>
      <c r="R895" s="143">
        <f>PRODUCT(0.25,J895)</f>
        <v>2.5</v>
      </c>
      <c r="S895" s="143">
        <f>PRODUCT(1.5,J895)</f>
        <v>15</v>
      </c>
      <c r="T895" s="143">
        <f>PRODUCT(1.5,J895)</f>
        <v>15</v>
      </c>
      <c r="U895" s="143">
        <f>J895*0.5</f>
        <v>5</v>
      </c>
      <c r="V895" s="143">
        <f>SUM(R895:U895)</f>
        <v>37.5</v>
      </c>
    </row>
    <row r="896" spans="1:22" s="128" customFormat="1" ht="15.6" hidden="1" x14ac:dyDescent="0.3">
      <c r="A896" s="142" t="s">
        <v>477</v>
      </c>
      <c r="B896" s="142">
        <v>949</v>
      </c>
      <c r="C896" s="141">
        <v>45944</v>
      </c>
      <c r="D896" s="140">
        <f>WEEKNUM(C896)</f>
        <v>42</v>
      </c>
      <c r="E896" s="140" t="s">
        <v>478</v>
      </c>
      <c r="F896" s="140" t="s">
        <v>444</v>
      </c>
      <c r="G896" s="130" t="s">
        <v>638</v>
      </c>
      <c r="H896" s="140" t="s">
        <v>60</v>
      </c>
      <c r="I896" s="142" t="s">
        <v>61</v>
      </c>
      <c r="J896" s="157">
        <v>300</v>
      </c>
      <c r="K896" s="143">
        <v>23</v>
      </c>
      <c r="L896" s="143">
        <f>K896*J896</f>
        <v>6900</v>
      </c>
      <c r="M896" s="143">
        <v>0</v>
      </c>
      <c r="N896" s="141">
        <v>45971</v>
      </c>
      <c r="O896" s="157">
        <f>WEEKNUM(N896)</f>
        <v>46</v>
      </c>
      <c r="P896" s="140"/>
      <c r="Q896" s="140" t="s">
        <v>29</v>
      </c>
      <c r="R896" s="143">
        <f>J896*0.25</f>
        <v>75</v>
      </c>
      <c r="S896" s="143"/>
      <c r="T896" s="143"/>
      <c r="U896" s="143">
        <f>J896*0.5</f>
        <v>150</v>
      </c>
      <c r="V896" s="143"/>
    </row>
    <row r="897" spans="1:22" s="128" customFormat="1" ht="15.6" hidden="1" x14ac:dyDescent="0.3">
      <c r="A897" s="142" t="s">
        <v>477</v>
      </c>
      <c r="B897" s="142">
        <v>950</v>
      </c>
      <c r="C897" s="141">
        <v>45944</v>
      </c>
      <c r="D897" s="140">
        <f>WEEKNUM(C897)</f>
        <v>42</v>
      </c>
      <c r="E897" s="140" t="s">
        <v>478</v>
      </c>
      <c r="F897" s="140" t="s">
        <v>444</v>
      </c>
      <c r="G897" s="130" t="s">
        <v>638</v>
      </c>
      <c r="H897" s="140" t="s">
        <v>60</v>
      </c>
      <c r="I897" s="142" t="s">
        <v>61</v>
      </c>
      <c r="J897" s="157">
        <v>300</v>
      </c>
      <c r="K897" s="143">
        <v>23</v>
      </c>
      <c r="L897" s="143">
        <f>K897*J897</f>
        <v>6900</v>
      </c>
      <c r="M897" s="143">
        <v>0</v>
      </c>
      <c r="N897" s="141">
        <v>46001</v>
      </c>
      <c r="O897" s="157">
        <f>WEEKNUM(N897)</f>
        <v>50</v>
      </c>
      <c r="P897" s="140"/>
      <c r="Q897" s="142" t="s">
        <v>29</v>
      </c>
      <c r="R897" s="143">
        <f>PRODUCT(0.25,J897)</f>
        <v>75</v>
      </c>
      <c r="S897" s="143">
        <f>PRODUCT(0.6,J897)</f>
        <v>180</v>
      </c>
      <c r="T897" s="143">
        <f>PRODUCT(1.5,J897)</f>
        <v>450</v>
      </c>
      <c r="U897" s="143">
        <f>J897*0.5</f>
        <v>150</v>
      </c>
      <c r="V897" s="143">
        <f>SUM(R897:U897)</f>
        <v>855</v>
      </c>
    </row>
    <row r="898" spans="1:22" s="128" customFormat="1" ht="15.6" hidden="1" x14ac:dyDescent="0.3">
      <c r="A898" s="142" t="s">
        <v>477</v>
      </c>
      <c r="B898" s="142">
        <v>317</v>
      </c>
      <c r="C898" s="141">
        <v>45946</v>
      </c>
      <c r="D898" s="140">
        <f>WEEKNUM(C898)</f>
        <v>42</v>
      </c>
      <c r="E898" s="140" t="s">
        <v>475</v>
      </c>
      <c r="F898" s="142" t="s">
        <v>782</v>
      </c>
      <c r="G898" s="142" t="s">
        <v>783</v>
      </c>
      <c r="H898" s="140" t="s">
        <v>494</v>
      </c>
      <c r="I898" s="142" t="s">
        <v>46</v>
      </c>
      <c r="J898" s="157">
        <v>600</v>
      </c>
      <c r="K898" s="143">
        <v>26.5</v>
      </c>
      <c r="L898" s="143">
        <f>K898*J898</f>
        <v>15900</v>
      </c>
      <c r="M898" s="143">
        <v>0</v>
      </c>
      <c r="N898" s="141">
        <v>45974</v>
      </c>
      <c r="O898" s="157">
        <f>WEEKNUM(N898)</f>
        <v>46</v>
      </c>
      <c r="P898" s="140"/>
      <c r="Q898" s="140" t="s">
        <v>29</v>
      </c>
      <c r="R898" s="143">
        <f>PRODUCT(0.25,J898)</f>
        <v>150</v>
      </c>
      <c r="S898" s="143">
        <f>PRODUCT(0.7,J898)</f>
        <v>420</v>
      </c>
      <c r="T898" s="143">
        <f>PRODUCT(1.5,J898)</f>
        <v>900</v>
      </c>
      <c r="U898" s="143">
        <f>J898*0.5</f>
        <v>300</v>
      </c>
      <c r="V898" s="143">
        <f>SUM(R898:U898)</f>
        <v>1770</v>
      </c>
    </row>
    <row r="899" spans="1:22" s="128" customFormat="1" ht="15.6" hidden="1" x14ac:dyDescent="0.3">
      <c r="A899" s="142" t="s">
        <v>477</v>
      </c>
      <c r="B899" s="142">
        <v>317</v>
      </c>
      <c r="C899" s="141">
        <v>45946</v>
      </c>
      <c r="D899" s="140">
        <f>WEEKNUM(C899)</f>
        <v>42</v>
      </c>
      <c r="E899" s="140" t="s">
        <v>475</v>
      </c>
      <c r="F899" s="142" t="s">
        <v>782</v>
      </c>
      <c r="G899" s="142" t="s">
        <v>487</v>
      </c>
      <c r="H899" s="140" t="s">
        <v>51</v>
      </c>
      <c r="I899" s="142" t="s">
        <v>46</v>
      </c>
      <c r="J899" s="157">
        <v>600</v>
      </c>
      <c r="K899" s="143">
        <v>24.5</v>
      </c>
      <c r="L899" s="143">
        <f>K899*J899</f>
        <v>14700</v>
      </c>
      <c r="M899" s="143">
        <v>0</v>
      </c>
      <c r="N899" s="141">
        <v>45974</v>
      </c>
      <c r="O899" s="157">
        <f>WEEKNUM(N899)</f>
        <v>46</v>
      </c>
      <c r="P899" s="140"/>
      <c r="Q899" s="140" t="s">
        <v>29</v>
      </c>
      <c r="R899" s="156">
        <f>PRODUCT(0.25,J899)</f>
        <v>150</v>
      </c>
      <c r="S899" s="143">
        <f>PRODUCT(1.5,J899)</f>
        <v>900</v>
      </c>
      <c r="T899" s="156">
        <f>PRODUCT(1.5,J899)</f>
        <v>900</v>
      </c>
      <c r="U899" s="156">
        <f>PRODUCT(0.5,J899)</f>
        <v>300</v>
      </c>
      <c r="V899" s="156">
        <f>SUM(R899:U899)</f>
        <v>2250</v>
      </c>
    </row>
    <row r="900" spans="1:22" s="128" customFormat="1" ht="15.6" hidden="1" x14ac:dyDescent="0.3">
      <c r="A900" s="142" t="s">
        <v>477</v>
      </c>
      <c r="B900" s="142">
        <v>953</v>
      </c>
      <c r="C900" s="141">
        <v>45947</v>
      </c>
      <c r="D900" s="140">
        <f>WEEKNUM(C900)</f>
        <v>42</v>
      </c>
      <c r="E900" s="140" t="s">
        <v>475</v>
      </c>
      <c r="F900" s="140" t="s">
        <v>940</v>
      </c>
      <c r="G900" s="140" t="s">
        <v>480</v>
      </c>
      <c r="H900" s="140" t="s">
        <v>51</v>
      </c>
      <c r="I900" s="142" t="s">
        <v>46</v>
      </c>
      <c r="J900" s="157">
        <v>100</v>
      </c>
      <c r="K900" s="143">
        <v>19.5</v>
      </c>
      <c r="L900" s="143">
        <f>K900*J900</f>
        <v>1950</v>
      </c>
      <c r="M900" s="143">
        <v>0</v>
      </c>
      <c r="N900" s="141">
        <v>45975</v>
      </c>
      <c r="O900" s="157">
        <f>WEEKNUM(N900)</f>
        <v>46</v>
      </c>
      <c r="P900" s="140"/>
      <c r="Q900" s="140" t="s">
        <v>29</v>
      </c>
      <c r="R900" s="156">
        <f>PRODUCT(0.25,J900)</f>
        <v>25</v>
      </c>
      <c r="S900" s="143">
        <f>PRODUCT(1.5,J900)</f>
        <v>150</v>
      </c>
      <c r="T900" s="156">
        <f>PRODUCT(1.5,J900)</f>
        <v>150</v>
      </c>
      <c r="U900" s="156">
        <f>PRODUCT(0.5,J900)</f>
        <v>50</v>
      </c>
      <c r="V900" s="156">
        <f>SUM(R900:U900)</f>
        <v>375</v>
      </c>
    </row>
    <row r="901" spans="1:22" s="128" customFormat="1" ht="15.6" hidden="1" x14ac:dyDescent="0.3">
      <c r="A901" s="142" t="s">
        <v>477</v>
      </c>
      <c r="B901" s="142">
        <v>953</v>
      </c>
      <c r="C901" s="141">
        <v>45947</v>
      </c>
      <c r="D901" s="140">
        <f>WEEKNUM(C901)</f>
        <v>42</v>
      </c>
      <c r="E901" s="140" t="s">
        <v>475</v>
      </c>
      <c r="F901" s="140" t="s">
        <v>940</v>
      </c>
      <c r="G901" s="142" t="s">
        <v>546</v>
      </c>
      <c r="H901" s="140" t="s">
        <v>494</v>
      </c>
      <c r="I901" s="142" t="s">
        <v>46</v>
      </c>
      <c r="J901" s="157">
        <v>50</v>
      </c>
      <c r="K901" s="143">
        <v>17</v>
      </c>
      <c r="L901" s="143">
        <f>K901*J901</f>
        <v>850</v>
      </c>
      <c r="M901" s="143">
        <v>0</v>
      </c>
      <c r="N901" s="141">
        <v>45975</v>
      </c>
      <c r="O901" s="157">
        <f>WEEKNUM(N901)</f>
        <v>46</v>
      </c>
      <c r="P901" s="140"/>
      <c r="Q901" s="140" t="s">
        <v>29</v>
      </c>
      <c r="R901" s="156">
        <f>PRODUCT(0.25,J901)</f>
        <v>12.5</v>
      </c>
      <c r="S901" s="143">
        <f>PRODUCT(1.5,J901)</f>
        <v>75</v>
      </c>
      <c r="T901" s="156">
        <f>PRODUCT(1.5,J901)</f>
        <v>75</v>
      </c>
      <c r="U901" s="156">
        <f>PRODUCT(0.5,J901)</f>
        <v>25</v>
      </c>
      <c r="V901" s="156">
        <f>SUM(R901:U901)</f>
        <v>187.5</v>
      </c>
    </row>
    <row r="902" spans="1:22" s="128" customFormat="1" ht="15.6" hidden="1" x14ac:dyDescent="0.3">
      <c r="A902" s="142" t="s">
        <v>491</v>
      </c>
      <c r="B902" s="142">
        <v>318</v>
      </c>
      <c r="C902" s="141">
        <v>45947</v>
      </c>
      <c r="D902" s="140">
        <f>WEEKNUM(C902)</f>
        <v>42</v>
      </c>
      <c r="E902" s="142" t="s">
        <v>954</v>
      </c>
      <c r="F902" s="142" t="s">
        <v>955</v>
      </c>
      <c r="G902" s="142" t="s">
        <v>487</v>
      </c>
      <c r="H902" s="140" t="s">
        <v>51</v>
      </c>
      <c r="I902" s="142" t="s">
        <v>46</v>
      </c>
      <c r="J902" s="157">
        <v>100</v>
      </c>
      <c r="K902" s="143">
        <v>25</v>
      </c>
      <c r="L902" s="143">
        <f>K902*J902</f>
        <v>2500</v>
      </c>
      <c r="M902" s="143">
        <v>0</v>
      </c>
      <c r="N902" s="141">
        <v>45975</v>
      </c>
      <c r="O902" s="157">
        <f>WEEKNUM(N902)</f>
        <v>46</v>
      </c>
      <c r="P902" s="140"/>
      <c r="Q902" s="140" t="s">
        <v>29</v>
      </c>
      <c r="R902" s="156">
        <f>PRODUCT(0.25,J902)</f>
        <v>25</v>
      </c>
      <c r="S902" s="143">
        <f>PRODUCT(1.5,J902)</f>
        <v>150</v>
      </c>
      <c r="T902" s="156">
        <f>PRODUCT(1.5,J902)</f>
        <v>150</v>
      </c>
      <c r="U902" s="156">
        <f>PRODUCT(0.5,J902)</f>
        <v>50</v>
      </c>
      <c r="V902" s="156">
        <f>SUM(R902:U902)</f>
        <v>375</v>
      </c>
    </row>
    <row r="903" spans="1:22" s="128" customFormat="1" ht="15.6" hidden="1" x14ac:dyDescent="0.3">
      <c r="A903" s="142" t="s">
        <v>491</v>
      </c>
      <c r="B903" s="142">
        <v>954</v>
      </c>
      <c r="C903" s="141">
        <v>45947</v>
      </c>
      <c r="D903" s="140">
        <f>WEEKNUM(C903)</f>
        <v>42</v>
      </c>
      <c r="E903" s="140" t="s">
        <v>475</v>
      </c>
      <c r="F903" s="142" t="s">
        <v>1006</v>
      </c>
      <c r="G903" s="142" t="s">
        <v>515</v>
      </c>
      <c r="H903" s="140" t="s">
        <v>60</v>
      </c>
      <c r="I903" s="142" t="s">
        <v>61</v>
      </c>
      <c r="J903" s="157">
        <v>100</v>
      </c>
      <c r="K903" s="143">
        <v>14.99</v>
      </c>
      <c r="L903" s="143">
        <f>K903*J903</f>
        <v>1499</v>
      </c>
      <c r="M903" s="143">
        <v>0</v>
      </c>
      <c r="N903" s="141">
        <v>45960</v>
      </c>
      <c r="O903" s="157">
        <f>WEEKNUM(N903)</f>
        <v>44</v>
      </c>
      <c r="P903" s="140"/>
      <c r="Q903" s="140" t="s">
        <v>29</v>
      </c>
      <c r="R903" s="156">
        <f>PRODUCT(0.25,J903)</f>
        <v>25</v>
      </c>
      <c r="S903" s="143">
        <f>PRODUCT(1.5,J903)</f>
        <v>150</v>
      </c>
      <c r="T903" s="156">
        <f>PRODUCT(1.5,J903)</f>
        <v>150</v>
      </c>
      <c r="U903" s="156">
        <f>PRODUCT(0.5,J903)</f>
        <v>50</v>
      </c>
      <c r="V903" s="156">
        <f>SUM(R903:U903)</f>
        <v>375</v>
      </c>
    </row>
    <row r="904" spans="1:22" s="128" customFormat="1" ht="15.6" hidden="1" x14ac:dyDescent="0.3">
      <c r="A904" s="142" t="s">
        <v>477</v>
      </c>
      <c r="B904" s="142">
        <v>319</v>
      </c>
      <c r="C904" s="141">
        <v>45950</v>
      </c>
      <c r="D904" s="140">
        <f>WEEKNUM(C904)</f>
        <v>43</v>
      </c>
      <c r="E904" s="140" t="s">
        <v>478</v>
      </c>
      <c r="F904" s="142" t="s">
        <v>829</v>
      </c>
      <c r="G904" s="142" t="s">
        <v>830</v>
      </c>
      <c r="H904" s="142" t="s">
        <v>304</v>
      </c>
      <c r="I904" s="142" t="s">
        <v>46</v>
      </c>
      <c r="J904" s="157">
        <v>200</v>
      </c>
      <c r="K904" s="143">
        <v>13.5</v>
      </c>
      <c r="L904" s="143">
        <f>K904*J904</f>
        <v>2700</v>
      </c>
      <c r="M904" s="143">
        <v>0</v>
      </c>
      <c r="N904" s="141">
        <v>45944</v>
      </c>
      <c r="O904" s="157">
        <f>WEEKNUM(N904)</f>
        <v>42</v>
      </c>
      <c r="P904" s="140"/>
      <c r="Q904" s="140" t="s">
        <v>29</v>
      </c>
      <c r="R904" s="156">
        <f>PRODUCT(0.25,J904)</f>
        <v>50</v>
      </c>
      <c r="S904" s="143">
        <f>PRODUCT(1.5,J904)</f>
        <v>300</v>
      </c>
      <c r="T904" s="156">
        <f>PRODUCT(1.5,J904)</f>
        <v>300</v>
      </c>
      <c r="U904" s="156">
        <f>PRODUCT(0.5,J904)</f>
        <v>100</v>
      </c>
      <c r="V904" s="156">
        <f>SUM(R904:U904)</f>
        <v>750</v>
      </c>
    </row>
    <row r="905" spans="1:22" s="128" customFormat="1" ht="15.6" hidden="1" x14ac:dyDescent="0.3">
      <c r="A905" s="142" t="s">
        <v>477</v>
      </c>
      <c r="B905" s="142">
        <v>320</v>
      </c>
      <c r="C905" s="141">
        <v>45950</v>
      </c>
      <c r="D905" s="140">
        <f>WEEKNUM(C905)</f>
        <v>43</v>
      </c>
      <c r="E905" s="140" t="s">
        <v>478</v>
      </c>
      <c r="F905" s="142" t="s">
        <v>877</v>
      </c>
      <c r="G905" s="142" t="s">
        <v>339</v>
      </c>
      <c r="H905" s="140" t="s">
        <v>74</v>
      </c>
      <c r="I905" s="142" t="s">
        <v>46</v>
      </c>
      <c r="J905" s="157">
        <v>17</v>
      </c>
      <c r="K905" s="143">
        <v>55</v>
      </c>
      <c r="L905" s="143">
        <v>1045</v>
      </c>
      <c r="M905" s="143">
        <v>0</v>
      </c>
      <c r="N905" s="141">
        <v>45978</v>
      </c>
      <c r="O905" s="157">
        <f>WEEKNUM(N905)</f>
        <v>47</v>
      </c>
      <c r="P905" s="140"/>
      <c r="Q905" s="140" t="s">
        <v>29</v>
      </c>
      <c r="R905" s="156">
        <f>PRODUCT(0.25,J905)</f>
        <v>4.25</v>
      </c>
      <c r="S905" s="143">
        <f>PRODUCT(1.5,J905)</f>
        <v>25.5</v>
      </c>
      <c r="T905" s="156">
        <f>PRODUCT(1.5,J905)</f>
        <v>25.5</v>
      </c>
      <c r="U905" s="156">
        <f>PRODUCT(0.5,J905)</f>
        <v>8.5</v>
      </c>
      <c r="V905" s="156">
        <f>SUM(R905:U905)</f>
        <v>63.75</v>
      </c>
    </row>
    <row r="906" spans="1:22" s="128" customFormat="1" ht="15.6" hidden="1" x14ac:dyDescent="0.3">
      <c r="A906" s="142" t="s">
        <v>477</v>
      </c>
      <c r="B906" s="142">
        <v>320</v>
      </c>
      <c r="C906" s="141">
        <v>45950</v>
      </c>
      <c r="D906" s="140">
        <f>WEEKNUM(C906)</f>
        <v>43</v>
      </c>
      <c r="E906" s="140" t="s">
        <v>478</v>
      </c>
      <c r="F906" s="142" t="s">
        <v>877</v>
      </c>
      <c r="G906" s="142" t="s">
        <v>218</v>
      </c>
      <c r="H906" s="142" t="s">
        <v>340</v>
      </c>
      <c r="I906" s="142" t="s">
        <v>46</v>
      </c>
      <c r="J906" s="157">
        <v>22</v>
      </c>
      <c r="K906" s="143">
        <v>35</v>
      </c>
      <c r="L906" s="143">
        <v>2975</v>
      </c>
      <c r="M906" s="143">
        <v>0</v>
      </c>
      <c r="N906" s="141">
        <v>45978</v>
      </c>
      <c r="O906" s="157">
        <f>WEEKNUM(N906)</f>
        <v>47</v>
      </c>
      <c r="P906" s="140"/>
      <c r="Q906" s="140" t="s">
        <v>29</v>
      </c>
      <c r="R906" s="156">
        <f>PRODUCT(0.25,J906)</f>
        <v>5.5</v>
      </c>
      <c r="S906" s="143">
        <f>PRODUCT(1.5,J906)</f>
        <v>33</v>
      </c>
      <c r="T906" s="156">
        <f>PRODUCT(1.5,J906)</f>
        <v>33</v>
      </c>
      <c r="U906" s="156">
        <f>PRODUCT(0.5,J906)</f>
        <v>11</v>
      </c>
      <c r="V906" s="156">
        <f>SUM(R906:U906)</f>
        <v>82.5</v>
      </c>
    </row>
    <row r="907" spans="1:22" s="128" customFormat="1" ht="15.6" hidden="1" x14ac:dyDescent="0.3">
      <c r="A907" s="142" t="s">
        <v>477</v>
      </c>
      <c r="B907" s="142">
        <v>955</v>
      </c>
      <c r="C907" s="141">
        <v>45950</v>
      </c>
      <c r="D907" s="140">
        <f>WEEKNUM(C907)</f>
        <v>43</v>
      </c>
      <c r="E907" s="140" t="s">
        <v>475</v>
      </c>
      <c r="F907" s="140" t="s">
        <v>940</v>
      </c>
      <c r="G907" s="142" t="s">
        <v>618</v>
      </c>
      <c r="H907" s="142" t="s">
        <v>555</v>
      </c>
      <c r="I907" s="142" t="s">
        <v>61</v>
      </c>
      <c r="J907" s="157">
        <v>150</v>
      </c>
      <c r="K907" s="143">
        <v>28</v>
      </c>
      <c r="L907" s="143">
        <f>K907*J907</f>
        <v>4200</v>
      </c>
      <c r="M907" s="143">
        <v>0</v>
      </c>
      <c r="N907" s="141">
        <v>45975</v>
      </c>
      <c r="O907" s="157">
        <f>WEEKNUM(N907)</f>
        <v>46</v>
      </c>
      <c r="P907" s="140"/>
      <c r="Q907" s="140" t="s">
        <v>29</v>
      </c>
      <c r="R907" s="156">
        <f>PRODUCT(0.25,J907)</f>
        <v>37.5</v>
      </c>
      <c r="S907" s="143">
        <f>PRODUCT(1.5,J907)</f>
        <v>225</v>
      </c>
      <c r="T907" s="156">
        <f>PRODUCT(3,J907)</f>
        <v>450</v>
      </c>
      <c r="U907" s="156">
        <f>PRODUCT(0.5,J907)</f>
        <v>75</v>
      </c>
      <c r="V907" s="156">
        <f>SUM(R907:U907)</f>
        <v>787.5</v>
      </c>
    </row>
    <row r="908" spans="1:22" s="128" customFormat="1" ht="15.6" hidden="1" x14ac:dyDescent="0.3">
      <c r="A908" s="142" t="s">
        <v>491</v>
      </c>
      <c r="B908" s="142">
        <v>324</v>
      </c>
      <c r="C908" s="141">
        <v>45951</v>
      </c>
      <c r="D908" s="140">
        <f>WEEKNUM(C908)</f>
        <v>43</v>
      </c>
      <c r="E908" s="140" t="s">
        <v>478</v>
      </c>
      <c r="F908" s="142" t="s">
        <v>680</v>
      </c>
      <c r="G908" s="142" t="s">
        <v>218</v>
      </c>
      <c r="H908" s="140" t="s">
        <v>74</v>
      </c>
      <c r="I908" s="142" t="s">
        <v>46</v>
      </c>
      <c r="J908" s="157">
        <v>50</v>
      </c>
      <c r="K908" s="143">
        <v>35</v>
      </c>
      <c r="L908" s="143">
        <f>K908*J908</f>
        <v>1750</v>
      </c>
      <c r="M908" s="143">
        <v>0</v>
      </c>
      <c r="N908" s="141">
        <v>45981</v>
      </c>
      <c r="O908" s="157">
        <f>WEEKNUM(N908)</f>
        <v>47</v>
      </c>
      <c r="P908" s="140"/>
      <c r="Q908" s="140" t="s">
        <v>29</v>
      </c>
      <c r="R908" s="156">
        <f>PRODUCT(0.25,J908)</f>
        <v>12.5</v>
      </c>
      <c r="S908" s="143">
        <f>PRODUCT(1.5,J908)</f>
        <v>75</v>
      </c>
      <c r="T908" s="156">
        <f>PRODUCT(1.5,J908)</f>
        <v>75</v>
      </c>
      <c r="U908" s="156">
        <f>PRODUCT(0.5,J908)</f>
        <v>25</v>
      </c>
      <c r="V908" s="156">
        <f>SUM(R908:U908)</f>
        <v>187.5</v>
      </c>
    </row>
    <row r="909" spans="1:22" s="128" customFormat="1" ht="15.6" hidden="1" x14ac:dyDescent="0.3">
      <c r="A909" s="142" t="s">
        <v>491</v>
      </c>
      <c r="B909" s="142">
        <v>324</v>
      </c>
      <c r="C909" s="141">
        <v>45951</v>
      </c>
      <c r="D909" s="140">
        <f>WEEKNUM(C909)</f>
        <v>43</v>
      </c>
      <c r="E909" s="140" t="s">
        <v>478</v>
      </c>
      <c r="F909" s="142" t="s">
        <v>680</v>
      </c>
      <c r="G909" s="142" t="s">
        <v>681</v>
      </c>
      <c r="H909" s="140" t="s">
        <v>494</v>
      </c>
      <c r="I909" s="142" t="s">
        <v>46</v>
      </c>
      <c r="J909" s="157">
        <v>6</v>
      </c>
      <c r="K909" s="143">
        <v>35</v>
      </c>
      <c r="L909" s="143">
        <f>K909*J909</f>
        <v>210</v>
      </c>
      <c r="M909" s="143">
        <v>0</v>
      </c>
      <c r="N909" s="141">
        <v>45981</v>
      </c>
      <c r="O909" s="157">
        <f>WEEKNUM(N909)</f>
        <v>47</v>
      </c>
      <c r="P909" s="140"/>
      <c r="Q909" s="140" t="s">
        <v>29</v>
      </c>
      <c r="R909" s="156">
        <f>PRODUCT(0.25,J909)</f>
        <v>1.5</v>
      </c>
      <c r="S909" s="143">
        <f>PRODUCT(1.5,J909)</f>
        <v>9</v>
      </c>
      <c r="T909" s="156">
        <f>PRODUCT(1.5,J909)</f>
        <v>9</v>
      </c>
      <c r="U909" s="156">
        <f>PRODUCT(0.5,J909)</f>
        <v>3</v>
      </c>
      <c r="V909" s="156">
        <f>SUM(R909:U909)</f>
        <v>22.5</v>
      </c>
    </row>
    <row r="910" spans="1:22" s="128" customFormat="1" ht="15.6" hidden="1" x14ac:dyDescent="0.3">
      <c r="A910" s="142" t="s">
        <v>491</v>
      </c>
      <c r="B910" s="142">
        <v>324</v>
      </c>
      <c r="C910" s="141">
        <v>45951</v>
      </c>
      <c r="D910" s="140">
        <f>WEEKNUM(C910)</f>
        <v>43</v>
      </c>
      <c r="E910" s="140" t="s">
        <v>478</v>
      </c>
      <c r="F910" s="142" t="s">
        <v>680</v>
      </c>
      <c r="G910" s="142" t="s">
        <v>311</v>
      </c>
      <c r="H910" s="140" t="s">
        <v>51</v>
      </c>
      <c r="I910" s="142" t="s">
        <v>46</v>
      </c>
      <c r="J910" s="157">
        <v>10</v>
      </c>
      <c r="K910" s="143">
        <v>25</v>
      </c>
      <c r="L910" s="143">
        <f>K910*J910</f>
        <v>250</v>
      </c>
      <c r="M910" s="143">
        <v>0</v>
      </c>
      <c r="N910" s="141">
        <v>45981</v>
      </c>
      <c r="O910" s="157">
        <f>WEEKNUM(N910)</f>
        <v>47</v>
      </c>
      <c r="P910" s="140"/>
      <c r="Q910" s="140" t="s">
        <v>29</v>
      </c>
      <c r="R910" s="156">
        <f>PRODUCT(0.25,J910)</f>
        <v>2.5</v>
      </c>
      <c r="S910" s="143">
        <f>PRODUCT(0.7,J910)</f>
        <v>7</v>
      </c>
      <c r="T910" s="156">
        <f>PRODUCT(1.84,J910)</f>
        <v>18.400000000000002</v>
      </c>
      <c r="U910" s="156">
        <f>PRODUCT(0.5,J910)</f>
        <v>5</v>
      </c>
      <c r="V910" s="156">
        <f>SUM(R910:U910)</f>
        <v>32.900000000000006</v>
      </c>
    </row>
    <row r="911" spans="1:22" s="128" customFormat="1" ht="15.6" hidden="1" x14ac:dyDescent="0.3">
      <c r="A911" s="142" t="s">
        <v>477</v>
      </c>
      <c r="B911" s="142">
        <v>322</v>
      </c>
      <c r="C911" s="141">
        <v>45951</v>
      </c>
      <c r="D911" s="140">
        <f>WEEKNUM(C911)</f>
        <v>43</v>
      </c>
      <c r="E911" s="140" t="s">
        <v>478</v>
      </c>
      <c r="F911" s="142" t="s">
        <v>829</v>
      </c>
      <c r="G911" s="140" t="s">
        <v>658</v>
      </c>
      <c r="H911" s="142" t="s">
        <v>304</v>
      </c>
      <c r="I911" s="142" t="s">
        <v>46</v>
      </c>
      <c r="J911" s="157">
        <v>200</v>
      </c>
      <c r="K911" s="143">
        <v>11.9</v>
      </c>
      <c r="L911" s="143">
        <f>K911*J911</f>
        <v>2380</v>
      </c>
      <c r="M911" s="143">
        <v>0</v>
      </c>
      <c r="N911" s="141">
        <v>45978</v>
      </c>
      <c r="O911" s="157">
        <f>WEEKNUM(N911)</f>
        <v>47</v>
      </c>
      <c r="P911" s="140"/>
      <c r="Q911" s="140" t="s">
        <v>29</v>
      </c>
      <c r="R911" s="156">
        <f>PRODUCT(0.25,J911)</f>
        <v>50</v>
      </c>
      <c r="S911" s="143">
        <f>PRODUCT(1.5,J911)</f>
        <v>300</v>
      </c>
      <c r="T911" s="156">
        <f>PRODUCT(1.5,J911)</f>
        <v>300</v>
      </c>
      <c r="U911" s="156">
        <f>PRODUCT(0.5,J911)</f>
        <v>100</v>
      </c>
      <c r="V911" s="156">
        <f>SUM(R911:U911)</f>
        <v>750</v>
      </c>
    </row>
    <row r="912" spans="1:22" s="128" customFormat="1" ht="15.6" hidden="1" x14ac:dyDescent="0.3">
      <c r="A912" s="142" t="s">
        <v>477</v>
      </c>
      <c r="B912" s="142">
        <v>325</v>
      </c>
      <c r="C912" s="141">
        <v>45952</v>
      </c>
      <c r="D912" s="140">
        <f>WEEKNUM(C912)</f>
        <v>43</v>
      </c>
      <c r="E912" s="140" t="s">
        <v>475</v>
      </c>
      <c r="F912" s="142" t="s">
        <v>694</v>
      </c>
      <c r="G912" s="142" t="s">
        <v>493</v>
      </c>
      <c r="H912" s="140" t="s">
        <v>494</v>
      </c>
      <c r="I912" s="142" t="s">
        <v>46</v>
      </c>
      <c r="J912" s="157">
        <v>100</v>
      </c>
      <c r="K912" s="143">
        <v>20</v>
      </c>
      <c r="L912" s="143">
        <f>K912*J912</f>
        <v>2000</v>
      </c>
      <c r="M912" s="143">
        <v>0</v>
      </c>
      <c r="N912" s="141">
        <v>45986</v>
      </c>
      <c r="O912" s="157">
        <f>WEEKNUM(N912)</f>
        <v>48</v>
      </c>
      <c r="P912" s="140"/>
      <c r="Q912" s="140" t="s">
        <v>29</v>
      </c>
      <c r="R912" s="156">
        <f>PRODUCT(0.25,J912)</f>
        <v>25</v>
      </c>
      <c r="S912" s="143">
        <f>PRODUCT(1.5,J912)</f>
        <v>150</v>
      </c>
      <c r="T912" s="156">
        <f>PRODUCT(1.5,J912)</f>
        <v>150</v>
      </c>
      <c r="U912" s="156">
        <f>PRODUCT(0.5,J912)</f>
        <v>50</v>
      </c>
      <c r="V912" s="156">
        <f>SUM(R912:U912)</f>
        <v>375</v>
      </c>
    </row>
    <row r="913" spans="1:22" s="128" customFormat="1" ht="15.6" hidden="1" x14ac:dyDescent="0.3">
      <c r="A913" s="142" t="s">
        <v>477</v>
      </c>
      <c r="B913" s="142">
        <v>325</v>
      </c>
      <c r="C913" s="141">
        <v>45952</v>
      </c>
      <c r="D913" s="140">
        <f>WEEKNUM(C913)</f>
        <v>43</v>
      </c>
      <c r="E913" s="140" t="s">
        <v>475</v>
      </c>
      <c r="F913" s="142" t="s">
        <v>694</v>
      </c>
      <c r="G913" s="142" t="s">
        <v>311</v>
      </c>
      <c r="H913" s="140" t="s">
        <v>51</v>
      </c>
      <c r="I913" s="142" t="s">
        <v>46</v>
      </c>
      <c r="J913" s="157">
        <v>100</v>
      </c>
      <c r="K913" s="143">
        <v>16</v>
      </c>
      <c r="L913" s="143">
        <f>K913*J913</f>
        <v>1600</v>
      </c>
      <c r="M913" s="143">
        <v>0</v>
      </c>
      <c r="N913" s="141">
        <v>45986</v>
      </c>
      <c r="O913" s="157">
        <f>WEEKNUM(N913)</f>
        <v>48</v>
      </c>
      <c r="P913" s="140"/>
      <c r="Q913" s="140" t="s">
        <v>29</v>
      </c>
      <c r="R913" s="156">
        <f>PRODUCT(0.25,J913)</f>
        <v>25</v>
      </c>
      <c r="S913" s="143">
        <f>PRODUCT(0.7,J913)</f>
        <v>70</v>
      </c>
      <c r="T913" s="156">
        <f>PRODUCT(1.84,J913)</f>
        <v>184</v>
      </c>
      <c r="U913" s="156">
        <f>PRODUCT(0.5,J913)</f>
        <v>50</v>
      </c>
      <c r="V913" s="156">
        <f>SUM(R913:U913)</f>
        <v>329</v>
      </c>
    </row>
    <row r="914" spans="1:22" s="128" customFormat="1" ht="15.6" hidden="1" x14ac:dyDescent="0.3">
      <c r="A914" s="142" t="s">
        <v>477</v>
      </c>
      <c r="B914" s="142">
        <v>210</v>
      </c>
      <c r="C914" s="141">
        <v>45953</v>
      </c>
      <c r="D914" s="140">
        <f>WEEKNUM(C914)</f>
        <v>43</v>
      </c>
      <c r="E914" s="142" t="s">
        <v>498</v>
      </c>
      <c r="F914" s="140" t="s">
        <v>446</v>
      </c>
      <c r="G914" s="142" t="s">
        <v>155</v>
      </c>
      <c r="H914" s="140" t="s">
        <v>51</v>
      </c>
      <c r="I914" s="142" t="s">
        <v>26</v>
      </c>
      <c r="J914" s="157">
        <v>2500</v>
      </c>
      <c r="K914" s="143">
        <v>23.5</v>
      </c>
      <c r="L914" s="143">
        <f>K914*J914</f>
        <v>58750</v>
      </c>
      <c r="M914" s="143">
        <v>0</v>
      </c>
      <c r="N914" s="141">
        <v>46001</v>
      </c>
      <c r="O914" s="157">
        <f>WEEKNUM(N914)</f>
        <v>50</v>
      </c>
      <c r="P914" s="140"/>
      <c r="Q914" s="140" t="s">
        <v>29</v>
      </c>
      <c r="R914" s="156">
        <f>PRODUCT(0.25,J914)</f>
        <v>625</v>
      </c>
      <c r="S914" s="143">
        <f>PRODUCT(1,J914)</f>
        <v>2500</v>
      </c>
      <c r="T914" s="156">
        <f>PRODUCT(1.84,J914)</f>
        <v>4600</v>
      </c>
      <c r="U914" s="156">
        <f>PRODUCT(0.5,J914)</f>
        <v>1250</v>
      </c>
      <c r="V914" s="156">
        <f>SUM(R914:U914)</f>
        <v>8975</v>
      </c>
    </row>
    <row r="915" spans="1:22" s="128" customFormat="1" ht="15.6" hidden="1" x14ac:dyDescent="0.3">
      <c r="A915" s="142" t="s">
        <v>477</v>
      </c>
      <c r="B915" s="142">
        <v>958</v>
      </c>
      <c r="C915" s="141">
        <v>45953</v>
      </c>
      <c r="D915" s="140">
        <f>WEEKNUM(C915)</f>
        <v>43</v>
      </c>
      <c r="E915" s="142" t="s">
        <v>498</v>
      </c>
      <c r="F915" s="140" t="s">
        <v>637</v>
      </c>
      <c r="G915" s="142" t="s">
        <v>487</v>
      </c>
      <c r="H915" s="140" t="s">
        <v>51</v>
      </c>
      <c r="I915" s="142" t="s">
        <v>46</v>
      </c>
      <c r="J915" s="157">
        <v>250</v>
      </c>
      <c r="K915" s="143">
        <v>23.5</v>
      </c>
      <c r="L915" s="143">
        <f>K915*J915</f>
        <v>5875</v>
      </c>
      <c r="M915" s="143">
        <v>0</v>
      </c>
      <c r="N915" s="141">
        <v>45978</v>
      </c>
      <c r="O915" s="157">
        <f>WEEKNUM(N915)</f>
        <v>47</v>
      </c>
      <c r="P915" s="140"/>
      <c r="Q915" s="140" t="s">
        <v>29</v>
      </c>
      <c r="R915" s="156">
        <f>PRODUCT(0.25,J915)</f>
        <v>62.5</v>
      </c>
      <c r="S915" s="143">
        <f>PRODUCT(1,J915)</f>
        <v>250</v>
      </c>
      <c r="T915" s="156">
        <f>PRODUCT(1.84,J915)</f>
        <v>460</v>
      </c>
      <c r="U915" s="156">
        <f>PRODUCT(0.5,J915)</f>
        <v>125</v>
      </c>
      <c r="V915" s="156">
        <f>SUM(R915:U915)</f>
        <v>897.5</v>
      </c>
    </row>
    <row r="916" spans="1:22" s="128" customFormat="1" ht="15.6" hidden="1" x14ac:dyDescent="0.3">
      <c r="A916" s="142" t="s">
        <v>477</v>
      </c>
      <c r="B916" s="142">
        <v>326</v>
      </c>
      <c r="C916" s="141">
        <v>45953</v>
      </c>
      <c r="D916" s="140">
        <f>WEEKNUM(C916)</f>
        <v>43</v>
      </c>
      <c r="E916" s="140" t="s">
        <v>478</v>
      </c>
      <c r="F916" s="142" t="s">
        <v>867</v>
      </c>
      <c r="G916" s="142" t="s">
        <v>868</v>
      </c>
      <c r="H916" s="142" t="s">
        <v>304</v>
      </c>
      <c r="I916" s="142" t="s">
        <v>61</v>
      </c>
      <c r="J916" s="157">
        <v>55</v>
      </c>
      <c r="K916" s="143">
        <v>17.5</v>
      </c>
      <c r="L916" s="143">
        <f>K916*J916</f>
        <v>962.5</v>
      </c>
      <c r="M916" s="143">
        <v>0</v>
      </c>
      <c r="N916" s="141">
        <v>45987</v>
      </c>
      <c r="O916" s="157">
        <f>WEEKNUM(N916)</f>
        <v>48</v>
      </c>
      <c r="P916" s="140"/>
      <c r="Q916" s="140" t="s">
        <v>29</v>
      </c>
      <c r="R916" s="143">
        <f>PRODUCT(0.25,J916)</f>
        <v>13.75</v>
      </c>
      <c r="S916" s="143">
        <f>PRODUCT(1.5,J916)</f>
        <v>82.5</v>
      </c>
      <c r="T916" s="143">
        <f>PRODUCT(1.5,J916)</f>
        <v>82.5</v>
      </c>
      <c r="U916" s="143">
        <f>PRODUCT(0.5,J916)</f>
        <v>27.5</v>
      </c>
      <c r="V916" s="143">
        <f>SUM(R916:U916)</f>
        <v>206.25</v>
      </c>
    </row>
    <row r="917" spans="1:22" s="128" customFormat="1" ht="15.6" hidden="1" x14ac:dyDescent="0.3">
      <c r="A917" s="142" t="s">
        <v>477</v>
      </c>
      <c r="B917" s="142">
        <v>328</v>
      </c>
      <c r="C917" s="141">
        <v>45953</v>
      </c>
      <c r="D917" s="140">
        <f>WEEKNUM(C917)</f>
        <v>43</v>
      </c>
      <c r="E917" s="142" t="s">
        <v>498</v>
      </c>
      <c r="F917" s="140" t="s">
        <v>883</v>
      </c>
      <c r="G917" s="142" t="s">
        <v>559</v>
      </c>
      <c r="H917" s="142" t="s">
        <v>38</v>
      </c>
      <c r="I917" s="142" t="s">
        <v>46</v>
      </c>
      <c r="J917" s="157">
        <v>200</v>
      </c>
      <c r="K917" s="143">
        <v>50</v>
      </c>
      <c r="L917" s="143">
        <f>K917*J917</f>
        <v>10000</v>
      </c>
      <c r="M917" s="143">
        <v>0</v>
      </c>
      <c r="N917" s="141">
        <v>45995</v>
      </c>
      <c r="O917" s="157">
        <f>WEEKNUM(N917)</f>
        <v>49</v>
      </c>
      <c r="P917" s="140"/>
      <c r="Q917" s="142" t="s">
        <v>29</v>
      </c>
      <c r="R917" s="156">
        <f>PRODUCT(0.25,J917)</f>
        <v>50</v>
      </c>
      <c r="S917" s="143">
        <f>PRODUCT(3,723)</f>
        <v>2169</v>
      </c>
      <c r="T917" s="156">
        <f>PRODUCT(1.5,723)</f>
        <v>1084.5</v>
      </c>
      <c r="U917" s="156">
        <f>PRODUCT(0.5,723)</f>
        <v>361.5</v>
      </c>
      <c r="V917" s="156">
        <f>SUM(R917:U917)</f>
        <v>3665</v>
      </c>
    </row>
    <row r="918" spans="1:22" s="128" customFormat="1" ht="15.6" hidden="1" x14ac:dyDescent="0.3">
      <c r="A918" s="142" t="s">
        <v>477</v>
      </c>
      <c r="B918" s="142">
        <v>331</v>
      </c>
      <c r="C918" s="141">
        <v>45954</v>
      </c>
      <c r="D918" s="140">
        <f>WEEKNUM(C918)</f>
        <v>43</v>
      </c>
      <c r="E918" s="140" t="s">
        <v>475</v>
      </c>
      <c r="F918" s="142" t="s">
        <v>698</v>
      </c>
      <c r="G918" s="142" t="s">
        <v>218</v>
      </c>
      <c r="H918" s="140" t="s">
        <v>74</v>
      </c>
      <c r="I918" s="142" t="s">
        <v>46</v>
      </c>
      <c r="J918" s="157">
        <v>50</v>
      </c>
      <c r="K918" s="143">
        <v>22.5</v>
      </c>
      <c r="L918" s="143">
        <f>K918*J918</f>
        <v>1125</v>
      </c>
      <c r="M918" s="143">
        <v>0</v>
      </c>
      <c r="N918" s="141">
        <v>45978</v>
      </c>
      <c r="O918" s="157">
        <f>WEEKNUM(N918)</f>
        <v>47</v>
      </c>
      <c r="P918" s="140"/>
      <c r="Q918" s="140" t="s">
        <v>29</v>
      </c>
      <c r="R918" s="156">
        <f>PRODUCT(0.25,J918)</f>
        <v>12.5</v>
      </c>
      <c r="S918" s="143">
        <f>PRODUCT(1.5,J918)</f>
        <v>75</v>
      </c>
      <c r="T918" s="156">
        <f>PRODUCT(1.5,J918)</f>
        <v>75</v>
      </c>
      <c r="U918" s="156">
        <f>PRODUCT(0.5,J918)</f>
        <v>25</v>
      </c>
      <c r="V918" s="156">
        <f>SUM(R918:U918)</f>
        <v>187.5</v>
      </c>
    </row>
    <row r="919" spans="1:22" s="128" customFormat="1" ht="15.6" hidden="1" x14ac:dyDescent="0.3">
      <c r="A919" s="142" t="s">
        <v>477</v>
      </c>
      <c r="B919" s="142">
        <v>331</v>
      </c>
      <c r="C919" s="141">
        <v>45954</v>
      </c>
      <c r="D919" s="140">
        <f>WEEKNUM(C919)</f>
        <v>43</v>
      </c>
      <c r="E919" s="140" t="s">
        <v>475</v>
      </c>
      <c r="F919" s="142" t="s">
        <v>698</v>
      </c>
      <c r="G919" s="142" t="s">
        <v>699</v>
      </c>
      <c r="H919" s="140" t="s">
        <v>494</v>
      </c>
      <c r="I919" s="142" t="s">
        <v>26</v>
      </c>
      <c r="J919" s="157">
        <v>50</v>
      </c>
      <c r="K919" s="143">
        <v>17</v>
      </c>
      <c r="L919" s="143">
        <f>K919*J919</f>
        <v>850</v>
      </c>
      <c r="M919" s="143">
        <v>0</v>
      </c>
      <c r="N919" s="141">
        <v>45978</v>
      </c>
      <c r="O919" s="157">
        <f>WEEKNUM(N919)</f>
        <v>47</v>
      </c>
      <c r="P919" s="140"/>
      <c r="Q919" s="140" t="s">
        <v>29</v>
      </c>
      <c r="R919" s="156">
        <f>PRODUCT(0.25,J919)</f>
        <v>12.5</v>
      </c>
      <c r="S919" s="143">
        <f>PRODUCT(1.5,J919)</f>
        <v>75</v>
      </c>
      <c r="T919" s="156">
        <f>PRODUCT(1.5,J919)</f>
        <v>75</v>
      </c>
      <c r="U919" s="156">
        <f>PRODUCT(0.5,J919)</f>
        <v>25</v>
      </c>
      <c r="V919" s="156">
        <f>SUM(R919:U919)</f>
        <v>187.5</v>
      </c>
    </row>
    <row r="920" spans="1:22" s="128" customFormat="1" ht="15.6" hidden="1" x14ac:dyDescent="0.3">
      <c r="A920" s="142" t="s">
        <v>477</v>
      </c>
      <c r="B920" s="142">
        <v>329</v>
      </c>
      <c r="C920" s="141">
        <v>45954</v>
      </c>
      <c r="D920" s="140">
        <f>WEEKNUM(C920)</f>
        <v>43</v>
      </c>
      <c r="E920" s="140" t="s">
        <v>478</v>
      </c>
      <c r="F920" s="142" t="s">
        <v>746</v>
      </c>
      <c r="G920" s="142" t="s">
        <v>301</v>
      </c>
      <c r="H920" s="140" t="s">
        <v>74</v>
      </c>
      <c r="I920" s="142" t="s">
        <v>26</v>
      </c>
      <c r="J920" s="157">
        <v>40</v>
      </c>
      <c r="K920" s="143">
        <v>45</v>
      </c>
      <c r="L920" s="143">
        <f>K920*J920</f>
        <v>1800</v>
      </c>
      <c r="M920" s="143">
        <v>0</v>
      </c>
      <c r="N920" s="141">
        <v>45979</v>
      </c>
      <c r="O920" s="157">
        <f>WEEKNUM(N920)</f>
        <v>47</v>
      </c>
      <c r="P920" s="140"/>
      <c r="Q920" s="140" t="s">
        <v>29</v>
      </c>
      <c r="R920" s="156">
        <f>PRODUCT(0.25,J920)</f>
        <v>10</v>
      </c>
      <c r="S920" s="143">
        <f>PRODUCT(1.5,J920)</f>
        <v>60</v>
      </c>
      <c r="T920" s="156">
        <f>PRODUCT(1.5,J920)</f>
        <v>60</v>
      </c>
      <c r="U920" s="156">
        <f>PRODUCT(0.5,J920)</f>
        <v>20</v>
      </c>
      <c r="V920" s="156">
        <f>SUM(R920:U920)</f>
        <v>150</v>
      </c>
    </row>
    <row r="921" spans="1:22" s="128" customFormat="1" ht="15.6" hidden="1" x14ac:dyDescent="0.3">
      <c r="A921" s="142" t="s">
        <v>477</v>
      </c>
      <c r="B921" s="142">
        <v>332</v>
      </c>
      <c r="C921" s="141">
        <v>45954</v>
      </c>
      <c r="D921" s="140">
        <f>WEEKNUM(C921)</f>
        <v>43</v>
      </c>
      <c r="E921" s="140" t="s">
        <v>475</v>
      </c>
      <c r="F921" s="142" t="s">
        <v>896</v>
      </c>
      <c r="G921" s="142" t="s">
        <v>311</v>
      </c>
      <c r="H921" s="140" t="s">
        <v>51</v>
      </c>
      <c r="I921" s="142" t="s">
        <v>46</v>
      </c>
      <c r="J921" s="157">
        <v>100</v>
      </c>
      <c r="K921" s="143">
        <v>18</v>
      </c>
      <c r="L921" s="143">
        <f>K921*J921</f>
        <v>1800</v>
      </c>
      <c r="M921" s="143">
        <v>0</v>
      </c>
      <c r="N921" s="141">
        <v>45986</v>
      </c>
      <c r="O921" s="157">
        <f>WEEKNUM(N921)</f>
        <v>48</v>
      </c>
      <c r="P921" s="140"/>
      <c r="Q921" s="140" t="s">
        <v>29</v>
      </c>
      <c r="R921" s="156">
        <f>PRODUCT(0.25,J921)</f>
        <v>25</v>
      </c>
      <c r="S921" s="143">
        <f>PRODUCT(0.7,J921)</f>
        <v>70</v>
      </c>
      <c r="T921" s="156">
        <f>PRODUCT(1.84,J921)</f>
        <v>184</v>
      </c>
      <c r="U921" s="156">
        <f>PRODUCT(0.5,J921)</f>
        <v>50</v>
      </c>
      <c r="V921" s="156">
        <f>SUM(R921:U921)</f>
        <v>329</v>
      </c>
    </row>
    <row r="922" spans="1:22" s="128" customFormat="1" ht="15.6" hidden="1" x14ac:dyDescent="0.3">
      <c r="A922" s="142" t="s">
        <v>481</v>
      </c>
      <c r="B922" s="142">
        <v>335</v>
      </c>
      <c r="C922" s="141">
        <v>45957</v>
      </c>
      <c r="D922" s="140">
        <f>WEEKNUM(C922)</f>
        <v>44</v>
      </c>
      <c r="E922" s="140" t="s">
        <v>475</v>
      </c>
      <c r="F922" s="142" t="s">
        <v>562</v>
      </c>
      <c r="G922" s="140" t="s">
        <v>480</v>
      </c>
      <c r="H922" s="140" t="s">
        <v>51</v>
      </c>
      <c r="I922" s="142" t="s">
        <v>46</v>
      </c>
      <c r="J922" s="157">
        <v>500</v>
      </c>
      <c r="K922" s="143">
        <v>14.99</v>
      </c>
      <c r="L922" s="143">
        <f>K922*J922</f>
        <v>7495</v>
      </c>
      <c r="M922" s="143">
        <v>0</v>
      </c>
      <c r="N922" s="141">
        <v>45989</v>
      </c>
      <c r="O922" s="157">
        <f>WEEKNUM(N922)</f>
        <v>48</v>
      </c>
      <c r="P922" s="140"/>
      <c r="Q922" s="140" t="s">
        <v>29</v>
      </c>
      <c r="R922" s="156">
        <f>PRODUCT(0.25,J922)</f>
        <v>125</v>
      </c>
      <c r="S922" s="143">
        <f>PRODUCT(1.5,J922)</f>
        <v>750</v>
      </c>
      <c r="T922" s="156">
        <f>PRODUCT(1.5,J922)</f>
        <v>750</v>
      </c>
      <c r="U922" s="156">
        <f>PRODUCT(0.5,J922)</f>
        <v>250</v>
      </c>
      <c r="V922" s="156">
        <f>SUM(R922:U922)</f>
        <v>1875</v>
      </c>
    </row>
    <row r="923" spans="1:22" s="128" customFormat="1" ht="15.6" hidden="1" x14ac:dyDescent="0.3">
      <c r="A923" s="142" t="s">
        <v>496</v>
      </c>
      <c r="B923" s="142">
        <v>333</v>
      </c>
      <c r="C923" s="141">
        <v>45957</v>
      </c>
      <c r="D923" s="140">
        <f>WEEKNUM(C923)</f>
        <v>44</v>
      </c>
      <c r="E923" s="142" t="s">
        <v>68</v>
      </c>
      <c r="F923" s="195" t="s">
        <v>319</v>
      </c>
      <c r="G923" s="142" t="s">
        <v>408</v>
      </c>
      <c r="H923" s="140" t="s">
        <v>80</v>
      </c>
      <c r="I923" s="142" t="s">
        <v>46</v>
      </c>
      <c r="J923" s="157">
        <v>6</v>
      </c>
      <c r="K923" s="143">
        <v>21</v>
      </c>
      <c r="L923" s="143">
        <f>K923*J923</f>
        <v>126</v>
      </c>
      <c r="M923" s="143">
        <v>0</v>
      </c>
      <c r="N923" s="141">
        <v>45989</v>
      </c>
      <c r="O923" s="157">
        <f>WEEKNUM(N923)</f>
        <v>48</v>
      </c>
      <c r="P923" s="140"/>
      <c r="Q923" s="140" t="s">
        <v>29</v>
      </c>
      <c r="R923" s="156">
        <f>J923*0.25</f>
        <v>1.5</v>
      </c>
      <c r="S923" s="156">
        <f>J923*1</f>
        <v>6</v>
      </c>
      <c r="T923" s="156">
        <f>J923*1.2</f>
        <v>7.1999999999999993</v>
      </c>
      <c r="U923" s="156">
        <f>J923*0.5</f>
        <v>3</v>
      </c>
      <c r="V923" s="156">
        <f>R923+S923+T923+U923</f>
        <v>17.7</v>
      </c>
    </row>
    <row r="924" spans="1:22" s="128" customFormat="1" ht="15.6" hidden="1" x14ac:dyDescent="0.3">
      <c r="A924" s="142" t="s">
        <v>496</v>
      </c>
      <c r="B924" s="142">
        <v>333</v>
      </c>
      <c r="C924" s="141">
        <v>45957</v>
      </c>
      <c r="D924" s="140">
        <f>WEEKNUM(C924)</f>
        <v>44</v>
      </c>
      <c r="E924" s="142" t="s">
        <v>68</v>
      </c>
      <c r="F924" s="195" t="s">
        <v>319</v>
      </c>
      <c r="G924" s="142" t="s">
        <v>311</v>
      </c>
      <c r="H924" s="140" t="s">
        <v>51</v>
      </c>
      <c r="I924" s="142" t="s">
        <v>46</v>
      </c>
      <c r="J924" s="157">
        <v>6</v>
      </c>
      <c r="K924" s="143">
        <v>25</v>
      </c>
      <c r="L924" s="143">
        <f>K924*J924</f>
        <v>150</v>
      </c>
      <c r="M924" s="143">
        <v>0</v>
      </c>
      <c r="N924" s="141">
        <v>45989</v>
      </c>
      <c r="O924" s="157">
        <f>WEEKNUM(N924)</f>
        <v>48</v>
      </c>
      <c r="P924" s="140"/>
      <c r="Q924" s="140" t="s">
        <v>29</v>
      </c>
      <c r="R924" s="156">
        <f>PRODUCT(0.25,J924)</f>
        <v>1.5</v>
      </c>
      <c r="S924" s="143">
        <f>PRODUCT(0.7,J924)</f>
        <v>4.1999999999999993</v>
      </c>
      <c r="T924" s="156">
        <f>PRODUCT(1.84,J924)</f>
        <v>11.040000000000001</v>
      </c>
      <c r="U924" s="156">
        <f>PRODUCT(0.5,J924)</f>
        <v>3</v>
      </c>
      <c r="V924" s="156">
        <f>SUM(R924:U924)</f>
        <v>19.740000000000002</v>
      </c>
    </row>
    <row r="925" spans="1:22" s="128" customFormat="1" ht="15.6" hidden="1" x14ac:dyDescent="0.3">
      <c r="A925" s="142" t="s">
        <v>496</v>
      </c>
      <c r="B925" s="142">
        <v>333</v>
      </c>
      <c r="C925" s="141">
        <v>45957</v>
      </c>
      <c r="D925" s="140">
        <f>WEEKNUM(C925)</f>
        <v>44</v>
      </c>
      <c r="E925" s="142" t="s">
        <v>68</v>
      </c>
      <c r="F925" s="195" t="s">
        <v>319</v>
      </c>
      <c r="G925" s="140" t="s">
        <v>503</v>
      </c>
      <c r="H925" s="142" t="s">
        <v>354</v>
      </c>
      <c r="I925" s="142" t="s">
        <v>46</v>
      </c>
      <c r="J925" s="157">
        <v>10</v>
      </c>
      <c r="K925" s="143">
        <v>36.75</v>
      </c>
      <c r="L925" s="143">
        <f>K925*J925</f>
        <v>367.5</v>
      </c>
      <c r="M925" s="143">
        <v>0</v>
      </c>
      <c r="N925" s="141">
        <v>45989</v>
      </c>
      <c r="O925" s="157">
        <f>WEEKNUM(N925)</f>
        <v>48</v>
      </c>
      <c r="P925" s="140"/>
      <c r="Q925" s="140" t="s">
        <v>29</v>
      </c>
      <c r="R925" s="156">
        <f>PRODUCT(0.25,J925)</f>
        <v>2.5</v>
      </c>
      <c r="S925" s="143">
        <f>PRODUCT(1.5,J925)</f>
        <v>15</v>
      </c>
      <c r="T925" s="156">
        <f>PRODUCT(1.5,J925)</f>
        <v>15</v>
      </c>
      <c r="U925" s="156">
        <f>PRODUCT(0.5,J925)</f>
        <v>5</v>
      </c>
      <c r="V925" s="156">
        <f>SUM(R925:U925)</f>
        <v>37.5</v>
      </c>
    </row>
    <row r="926" spans="1:22" s="128" customFormat="1" ht="15.6" hidden="1" x14ac:dyDescent="0.3">
      <c r="A926" s="142" t="s">
        <v>496</v>
      </c>
      <c r="B926" s="142">
        <v>333</v>
      </c>
      <c r="C926" s="141">
        <v>45957</v>
      </c>
      <c r="D926" s="140">
        <f>WEEKNUM(C926)</f>
        <v>44</v>
      </c>
      <c r="E926" s="142" t="s">
        <v>68</v>
      </c>
      <c r="F926" s="195" t="s">
        <v>319</v>
      </c>
      <c r="G926" s="142" t="s">
        <v>651</v>
      </c>
      <c r="H926" s="140" t="s">
        <v>74</v>
      </c>
      <c r="I926" s="142" t="s">
        <v>46</v>
      </c>
      <c r="J926" s="157">
        <v>4</v>
      </c>
      <c r="K926" s="143">
        <v>36.75</v>
      </c>
      <c r="L926" s="143">
        <f>K926*J926</f>
        <v>147</v>
      </c>
      <c r="M926" s="143">
        <v>0</v>
      </c>
      <c r="N926" s="141">
        <v>45989</v>
      </c>
      <c r="O926" s="157">
        <f>WEEKNUM(N926)</f>
        <v>48</v>
      </c>
      <c r="P926" s="140"/>
      <c r="Q926" s="140" t="s">
        <v>29</v>
      </c>
      <c r="R926" s="156">
        <f>PRODUCT(0.25,J926)</f>
        <v>1</v>
      </c>
      <c r="S926" s="143">
        <f>PRODUCT(1.5,J926)</f>
        <v>6</v>
      </c>
      <c r="T926" s="156">
        <f>PRODUCT(1.5,J926)</f>
        <v>6</v>
      </c>
      <c r="U926" s="156">
        <f>PRODUCT(0.5,J926)</f>
        <v>2</v>
      </c>
      <c r="V926" s="156">
        <f>SUM(R926:U926)</f>
        <v>15</v>
      </c>
    </row>
    <row r="927" spans="1:22" s="128" customFormat="1" ht="15.6" hidden="1" x14ac:dyDescent="0.3">
      <c r="A927" s="142" t="s">
        <v>496</v>
      </c>
      <c r="B927" s="142">
        <v>333</v>
      </c>
      <c r="C927" s="141">
        <v>45957</v>
      </c>
      <c r="D927" s="140">
        <f>WEEKNUM(C927)</f>
        <v>44</v>
      </c>
      <c r="E927" s="142" t="s">
        <v>68</v>
      </c>
      <c r="F927" s="195" t="s">
        <v>319</v>
      </c>
      <c r="G927" s="142" t="s">
        <v>339</v>
      </c>
      <c r="H927" s="142" t="s">
        <v>340</v>
      </c>
      <c r="I927" s="142" t="s">
        <v>46</v>
      </c>
      <c r="J927" s="157">
        <v>2</v>
      </c>
      <c r="K927" s="143">
        <v>65</v>
      </c>
      <c r="L927" s="143">
        <f>K927*J927</f>
        <v>130</v>
      </c>
      <c r="M927" s="143">
        <v>0</v>
      </c>
      <c r="N927" s="141">
        <v>45989</v>
      </c>
      <c r="O927" s="157">
        <f>WEEKNUM(N927)</f>
        <v>48</v>
      </c>
      <c r="P927" s="140"/>
      <c r="Q927" s="140" t="s">
        <v>29</v>
      </c>
      <c r="R927" s="156">
        <f>PRODUCT(0.25,J927)</f>
        <v>0.5</v>
      </c>
      <c r="S927" s="143">
        <f>PRODUCT(1.5,J927)</f>
        <v>3</v>
      </c>
      <c r="T927" s="156">
        <f>PRODUCT(1.5,J927)</f>
        <v>3</v>
      </c>
      <c r="U927" s="156">
        <f>PRODUCT(0.5,J927)</f>
        <v>1</v>
      </c>
      <c r="V927" s="156">
        <f>SUM(R927:U927)</f>
        <v>7.5</v>
      </c>
    </row>
    <row r="928" spans="1:22" s="128" customFormat="1" ht="15.6" hidden="1" x14ac:dyDescent="0.3">
      <c r="A928" s="142" t="s">
        <v>496</v>
      </c>
      <c r="B928" s="142">
        <v>334</v>
      </c>
      <c r="C928" s="141">
        <v>45957</v>
      </c>
      <c r="D928" s="140">
        <f>WEEKNUM(C928)</f>
        <v>44</v>
      </c>
      <c r="E928" s="142" t="s">
        <v>68</v>
      </c>
      <c r="F928" s="195" t="s">
        <v>319</v>
      </c>
      <c r="G928" s="142" t="s">
        <v>408</v>
      </c>
      <c r="H928" s="142" t="s">
        <v>80</v>
      </c>
      <c r="I928" s="142" t="s">
        <v>46</v>
      </c>
      <c r="J928" s="157">
        <v>4</v>
      </c>
      <c r="K928" s="143">
        <v>21</v>
      </c>
      <c r="L928" s="143">
        <f>K928*J928</f>
        <v>84</v>
      </c>
      <c r="M928" s="143">
        <v>0</v>
      </c>
      <c r="N928" s="141">
        <v>45989</v>
      </c>
      <c r="O928" s="157">
        <f>WEEKNUM(N928)</f>
        <v>48</v>
      </c>
      <c r="P928" s="140"/>
      <c r="Q928" s="140" t="s">
        <v>29</v>
      </c>
      <c r="R928" s="156">
        <f>J928*0.25</f>
        <v>1</v>
      </c>
      <c r="S928" s="156">
        <f>J928*1</f>
        <v>4</v>
      </c>
      <c r="T928" s="156">
        <f>J928*1.2</f>
        <v>4.8</v>
      </c>
      <c r="U928" s="156">
        <f>J928*0.5</f>
        <v>2</v>
      </c>
      <c r="V928" s="156">
        <f>R928+S928+T928+U928</f>
        <v>11.8</v>
      </c>
    </row>
    <row r="929" spans="1:22" s="128" customFormat="1" ht="15.6" hidden="1" x14ac:dyDescent="0.3">
      <c r="A929" s="142" t="s">
        <v>496</v>
      </c>
      <c r="B929" s="142">
        <v>334</v>
      </c>
      <c r="C929" s="141">
        <v>45957</v>
      </c>
      <c r="D929" s="140">
        <f>WEEKNUM(C929)</f>
        <v>44</v>
      </c>
      <c r="E929" s="142" t="s">
        <v>68</v>
      </c>
      <c r="F929" s="195" t="s">
        <v>319</v>
      </c>
      <c r="G929" s="142" t="s">
        <v>311</v>
      </c>
      <c r="H929" s="140" t="s">
        <v>51</v>
      </c>
      <c r="I929" s="142" t="s">
        <v>46</v>
      </c>
      <c r="J929" s="157">
        <v>8</v>
      </c>
      <c r="K929" s="143">
        <v>25</v>
      </c>
      <c r="L929" s="143">
        <f>K929*J929</f>
        <v>200</v>
      </c>
      <c r="M929" s="143">
        <v>0</v>
      </c>
      <c r="N929" s="141">
        <v>45989</v>
      </c>
      <c r="O929" s="157">
        <f>WEEKNUM(N929)</f>
        <v>48</v>
      </c>
      <c r="P929" s="140"/>
      <c r="Q929" s="140" t="s">
        <v>29</v>
      </c>
      <c r="R929" s="156">
        <f>PRODUCT(0.25,J929)</f>
        <v>2</v>
      </c>
      <c r="S929" s="143">
        <f>PRODUCT(1,J929)</f>
        <v>8</v>
      </c>
      <c r="T929" s="156">
        <f>PRODUCT(1.84,J929)</f>
        <v>14.72</v>
      </c>
      <c r="U929" s="156">
        <f>PRODUCT(0.5,J929)</f>
        <v>4</v>
      </c>
      <c r="V929" s="156">
        <f>SUM(R929:U929)</f>
        <v>28.72</v>
      </c>
    </row>
    <row r="930" spans="1:22" s="128" customFormat="1" ht="15.6" hidden="1" x14ac:dyDescent="0.3">
      <c r="A930" s="142" t="s">
        <v>496</v>
      </c>
      <c r="B930" s="142">
        <v>334</v>
      </c>
      <c r="C930" s="141">
        <v>45957</v>
      </c>
      <c r="D930" s="140">
        <f>WEEKNUM(C930)</f>
        <v>44</v>
      </c>
      <c r="E930" s="142" t="s">
        <v>68</v>
      </c>
      <c r="F930" s="195" t="s">
        <v>319</v>
      </c>
      <c r="G930" s="142" t="s">
        <v>651</v>
      </c>
      <c r="H930" s="140" t="s">
        <v>74</v>
      </c>
      <c r="I930" s="142" t="s">
        <v>46</v>
      </c>
      <c r="J930" s="157">
        <v>8</v>
      </c>
      <c r="K930" s="143">
        <v>36.75</v>
      </c>
      <c r="L930" s="143">
        <f>K930*J930</f>
        <v>294</v>
      </c>
      <c r="M930" s="143">
        <v>0</v>
      </c>
      <c r="N930" s="141">
        <v>45989</v>
      </c>
      <c r="O930" s="157">
        <f>WEEKNUM(N930)</f>
        <v>48</v>
      </c>
      <c r="P930" s="140"/>
      <c r="Q930" s="140" t="s">
        <v>29</v>
      </c>
      <c r="R930" s="156">
        <f>PRODUCT(0.25,J930)</f>
        <v>2</v>
      </c>
      <c r="S930" s="143">
        <f>PRODUCT(1.5,J930)</f>
        <v>12</v>
      </c>
      <c r="T930" s="156">
        <f>PRODUCT(1.5,J930)</f>
        <v>12</v>
      </c>
      <c r="U930" s="156">
        <f>PRODUCT(0.5,J930)</f>
        <v>4</v>
      </c>
      <c r="V930" s="156">
        <f>SUM(R930:U930)</f>
        <v>30</v>
      </c>
    </row>
    <row r="931" spans="1:22" s="128" customFormat="1" ht="15.6" hidden="1" x14ac:dyDescent="0.3">
      <c r="A931" s="142" t="s">
        <v>496</v>
      </c>
      <c r="B931" s="142">
        <v>334</v>
      </c>
      <c r="C931" s="141">
        <v>45957</v>
      </c>
      <c r="D931" s="140">
        <f>WEEKNUM(C931)</f>
        <v>44</v>
      </c>
      <c r="E931" s="142" t="s">
        <v>68</v>
      </c>
      <c r="F931" s="195" t="s">
        <v>319</v>
      </c>
      <c r="G931" s="140" t="s">
        <v>503</v>
      </c>
      <c r="H931" s="142" t="s">
        <v>354</v>
      </c>
      <c r="I931" s="142" t="s">
        <v>46</v>
      </c>
      <c r="J931" s="157">
        <v>6</v>
      </c>
      <c r="K931" s="143">
        <v>36.75</v>
      </c>
      <c r="L931" s="143">
        <f>K931*J931</f>
        <v>220.5</v>
      </c>
      <c r="M931" s="143">
        <v>0</v>
      </c>
      <c r="N931" s="141">
        <v>45989</v>
      </c>
      <c r="O931" s="157">
        <f>WEEKNUM(N931)</f>
        <v>48</v>
      </c>
      <c r="P931" s="140"/>
      <c r="Q931" s="140" t="s">
        <v>29</v>
      </c>
      <c r="R931" s="156">
        <f>PRODUCT(0.25,J931)</f>
        <v>1.5</v>
      </c>
      <c r="S931" s="143">
        <f>PRODUCT(1.5,J931)</f>
        <v>9</v>
      </c>
      <c r="T931" s="156">
        <f>PRODUCT(1.5,J931)</f>
        <v>9</v>
      </c>
      <c r="U931" s="156">
        <f>PRODUCT(0.5,J931)</f>
        <v>3</v>
      </c>
      <c r="V931" s="156">
        <f>SUM(R931:U931)</f>
        <v>22.5</v>
      </c>
    </row>
    <row r="932" spans="1:22" s="128" customFormat="1" ht="15.6" hidden="1" x14ac:dyDescent="0.3">
      <c r="A932" s="142" t="s">
        <v>496</v>
      </c>
      <c r="B932" s="142">
        <v>334</v>
      </c>
      <c r="C932" s="141">
        <v>45957</v>
      </c>
      <c r="D932" s="140">
        <f>WEEKNUM(C932)</f>
        <v>44</v>
      </c>
      <c r="E932" s="142" t="s">
        <v>68</v>
      </c>
      <c r="F932" s="195" t="s">
        <v>319</v>
      </c>
      <c r="G932" s="142" t="s">
        <v>339</v>
      </c>
      <c r="H932" s="142" t="s">
        <v>340</v>
      </c>
      <c r="I932" s="142" t="s">
        <v>46</v>
      </c>
      <c r="J932" s="157">
        <v>2</v>
      </c>
      <c r="K932" s="143">
        <v>65</v>
      </c>
      <c r="L932" s="143">
        <f>K932*J932</f>
        <v>130</v>
      </c>
      <c r="M932" s="143">
        <v>0</v>
      </c>
      <c r="N932" s="141">
        <v>45989</v>
      </c>
      <c r="O932" s="157">
        <f>WEEKNUM(N932)</f>
        <v>48</v>
      </c>
      <c r="P932" s="140"/>
      <c r="Q932" s="140" t="s">
        <v>29</v>
      </c>
      <c r="R932" s="156">
        <f>PRODUCT(0.25,J932)</f>
        <v>0.5</v>
      </c>
      <c r="S932" s="143">
        <f>PRODUCT(1.5,J932)</f>
        <v>3</v>
      </c>
      <c r="T932" s="156">
        <f>PRODUCT(1.5,J932)</f>
        <v>3</v>
      </c>
      <c r="U932" s="156">
        <f>PRODUCT(0.5,J932)</f>
        <v>1</v>
      </c>
      <c r="V932" s="156">
        <f>SUM(R932:U932)</f>
        <v>7.5</v>
      </c>
    </row>
    <row r="933" spans="1:22" s="128" customFormat="1" ht="15.6" hidden="1" x14ac:dyDescent="0.3">
      <c r="A933" s="142" t="s">
        <v>496</v>
      </c>
      <c r="B933" s="142">
        <v>336</v>
      </c>
      <c r="C933" s="141">
        <v>45957</v>
      </c>
      <c r="D933" s="140">
        <f>WEEKNUM(C933)</f>
        <v>44</v>
      </c>
      <c r="E933" s="140" t="s">
        <v>475</v>
      </c>
      <c r="F933" s="142" t="s">
        <v>635</v>
      </c>
      <c r="G933" s="142" t="s">
        <v>489</v>
      </c>
      <c r="H933" s="140" t="s">
        <v>51</v>
      </c>
      <c r="I933" s="142" t="s">
        <v>61</v>
      </c>
      <c r="J933" s="157">
        <v>100</v>
      </c>
      <c r="K933" s="143">
        <v>67</v>
      </c>
      <c r="L933" s="143">
        <f>K933*J933</f>
        <v>6700</v>
      </c>
      <c r="M933" s="143">
        <v>0</v>
      </c>
      <c r="N933" s="141">
        <v>45989</v>
      </c>
      <c r="O933" s="157">
        <f>WEEKNUM(N933)</f>
        <v>48</v>
      </c>
      <c r="P933" s="140"/>
      <c r="Q933" s="140" t="s">
        <v>29</v>
      </c>
      <c r="R933" s="143">
        <f>J933*0.25</f>
        <v>25</v>
      </c>
      <c r="S933" s="143">
        <f>PRODUCT(1,J933)</f>
        <v>100</v>
      </c>
      <c r="T933" s="143">
        <f>PRODUCT(3,J933)</f>
        <v>300</v>
      </c>
      <c r="U933" s="143">
        <f>PRODUCT(1,J933)</f>
        <v>100</v>
      </c>
      <c r="V933" s="143">
        <f>SUM(R933:U933)</f>
        <v>525</v>
      </c>
    </row>
    <row r="934" spans="1:22" s="128" customFormat="1" ht="15.6" hidden="1" x14ac:dyDescent="0.3">
      <c r="A934" s="142" t="s">
        <v>481</v>
      </c>
      <c r="B934" s="142">
        <v>337</v>
      </c>
      <c r="C934" s="141">
        <v>45958</v>
      </c>
      <c r="D934" s="140">
        <f>WEEKNUM(C934)</f>
        <v>44</v>
      </c>
      <c r="E934" s="140" t="s">
        <v>475</v>
      </c>
      <c r="F934" s="142" t="s">
        <v>993</v>
      </c>
      <c r="G934" s="142" t="s">
        <v>515</v>
      </c>
      <c r="H934" s="140" t="s">
        <v>60</v>
      </c>
      <c r="I934" s="142" t="s">
        <v>61</v>
      </c>
      <c r="J934" s="157">
        <v>2000</v>
      </c>
      <c r="K934" s="143">
        <v>15</v>
      </c>
      <c r="L934" s="143">
        <f>K934*J934</f>
        <v>30000</v>
      </c>
      <c r="M934" s="143">
        <v>0</v>
      </c>
      <c r="N934" s="141">
        <v>45976</v>
      </c>
      <c r="O934" s="157">
        <f>WEEKNUM(N934)</f>
        <v>46</v>
      </c>
      <c r="P934" s="140"/>
      <c r="Q934" s="161" t="s">
        <v>29</v>
      </c>
      <c r="R934" s="143">
        <f>PRODUCT(0.25,J934)</f>
        <v>500</v>
      </c>
      <c r="S934" s="143">
        <f>PRODUCT(1.5,335)</f>
        <v>502.5</v>
      </c>
      <c r="T934" s="143">
        <f>PRODUCT(1.5,J934)</f>
        <v>3000</v>
      </c>
      <c r="U934" s="143">
        <f>PRODUCT(0.5,J934)</f>
        <v>1000</v>
      </c>
      <c r="V934" s="143">
        <f>SUM(R934:U934)</f>
        <v>5002.5</v>
      </c>
    </row>
    <row r="935" spans="1:22" s="128" customFormat="1" ht="15.6" hidden="1" x14ac:dyDescent="0.3">
      <c r="A935" s="142" t="s">
        <v>477</v>
      </c>
      <c r="B935" s="142">
        <v>340</v>
      </c>
      <c r="C935" s="141">
        <v>45958</v>
      </c>
      <c r="D935" s="140">
        <f>WEEKNUM(C935)</f>
        <v>44</v>
      </c>
      <c r="E935" s="140" t="s">
        <v>475</v>
      </c>
      <c r="F935" s="142" t="s">
        <v>843</v>
      </c>
      <c r="G935" s="142" t="s">
        <v>571</v>
      </c>
      <c r="H935" s="142" t="s">
        <v>354</v>
      </c>
      <c r="I935" s="142" t="s">
        <v>46</v>
      </c>
      <c r="J935" s="157">
        <v>9</v>
      </c>
      <c r="K935" s="143">
        <v>45</v>
      </c>
      <c r="L935" s="143">
        <f>K935*J935</f>
        <v>405</v>
      </c>
      <c r="M935" s="143">
        <v>0</v>
      </c>
      <c r="N935" s="141">
        <v>45961</v>
      </c>
      <c r="O935" s="157">
        <f>WEEKNUM(N935)</f>
        <v>44</v>
      </c>
      <c r="P935" s="140"/>
      <c r="Q935" s="140" t="s">
        <v>29</v>
      </c>
      <c r="R935" s="143">
        <f>PRODUCT(0.25,J935)</f>
        <v>2.25</v>
      </c>
      <c r="S935" s="143">
        <f>PRODUCT(1.5,J935)</f>
        <v>13.5</v>
      </c>
      <c r="T935" s="143">
        <f>PRODUCT(1.5,J935)</f>
        <v>13.5</v>
      </c>
      <c r="U935" s="143">
        <f>PRODUCT(0.5,J935)</f>
        <v>4.5</v>
      </c>
      <c r="V935" s="143">
        <f>SUM(R935:U935)</f>
        <v>33.75</v>
      </c>
    </row>
    <row r="936" spans="1:22" s="128" customFormat="1" ht="15.6" hidden="1" x14ac:dyDescent="0.3">
      <c r="A936" s="142" t="s">
        <v>477</v>
      </c>
      <c r="B936" s="142">
        <v>340</v>
      </c>
      <c r="C936" s="141">
        <v>45958</v>
      </c>
      <c r="D936" s="140">
        <f>WEEKNUM(C936)</f>
        <v>44</v>
      </c>
      <c r="E936" s="140" t="s">
        <v>475</v>
      </c>
      <c r="F936" s="142" t="s">
        <v>843</v>
      </c>
      <c r="G936" s="142" t="s">
        <v>218</v>
      </c>
      <c r="H936" s="140" t="s">
        <v>74</v>
      </c>
      <c r="I936" s="142" t="s">
        <v>46</v>
      </c>
      <c r="J936" s="157">
        <v>5</v>
      </c>
      <c r="K936" s="143">
        <v>45</v>
      </c>
      <c r="L936" s="143">
        <f>K936*J936</f>
        <v>225</v>
      </c>
      <c r="M936" s="143">
        <v>0</v>
      </c>
      <c r="N936" s="141">
        <v>45961</v>
      </c>
      <c r="O936" s="157">
        <f>WEEKNUM(N936)</f>
        <v>44</v>
      </c>
      <c r="P936" s="140"/>
      <c r="Q936" s="140" t="s">
        <v>29</v>
      </c>
      <c r="R936" s="156">
        <f>PRODUCT(0.25,J936)</f>
        <v>1.25</v>
      </c>
      <c r="S936" s="143">
        <f>PRODUCT(1.5,J936)</f>
        <v>7.5</v>
      </c>
      <c r="T936" s="156">
        <f>PRODUCT(1.5,J936)</f>
        <v>7.5</v>
      </c>
      <c r="U936" s="156">
        <f>PRODUCT(0.5,J936)</f>
        <v>2.5</v>
      </c>
      <c r="V936" s="156">
        <f>SUM(R936:U936)</f>
        <v>18.75</v>
      </c>
    </row>
    <row r="937" spans="1:22" s="128" customFormat="1" ht="15.6" hidden="1" x14ac:dyDescent="0.3">
      <c r="A937" s="142" t="s">
        <v>477</v>
      </c>
      <c r="B937" s="142">
        <v>965</v>
      </c>
      <c r="C937" s="141">
        <v>45959</v>
      </c>
      <c r="D937" s="140">
        <f>WEEKNUM(C937)</f>
        <v>44</v>
      </c>
      <c r="E937" s="142" t="s">
        <v>498</v>
      </c>
      <c r="F937" s="140" t="s">
        <v>637</v>
      </c>
      <c r="G937" s="142" t="s">
        <v>559</v>
      </c>
      <c r="H937" s="142" t="s">
        <v>38</v>
      </c>
      <c r="I937" s="142" t="s">
        <v>46</v>
      </c>
      <c r="J937" s="157">
        <v>40</v>
      </c>
      <c r="K937" s="143">
        <v>52</v>
      </c>
      <c r="L937" s="143">
        <f>K937*J937</f>
        <v>2080</v>
      </c>
      <c r="M937" s="143">
        <v>0</v>
      </c>
      <c r="N937" s="141">
        <v>46028</v>
      </c>
      <c r="O937" s="157">
        <f>WEEKNUM(N937)</f>
        <v>2</v>
      </c>
      <c r="P937" s="140"/>
      <c r="Q937" s="142" t="s">
        <v>29</v>
      </c>
      <c r="R937" s="156">
        <f>PRODUCT(0.25,J937)</f>
        <v>10</v>
      </c>
      <c r="S937" s="143">
        <f>PRODUCT(1.5,J937)</f>
        <v>60</v>
      </c>
      <c r="T937" s="156">
        <f>PRODUCT(3,J937)</f>
        <v>120</v>
      </c>
      <c r="U937" s="156">
        <f>PRODUCT(0.5,J937)</f>
        <v>20</v>
      </c>
      <c r="V937" s="156">
        <f>SUM(R937:U937)</f>
        <v>210</v>
      </c>
    </row>
    <row r="938" spans="1:22" s="128" customFormat="1" ht="15.6" hidden="1" x14ac:dyDescent="0.3">
      <c r="A938" s="142" t="s">
        <v>477</v>
      </c>
      <c r="B938" s="142">
        <v>966</v>
      </c>
      <c r="C938" s="141">
        <v>45959</v>
      </c>
      <c r="D938" s="140">
        <f>WEEKNUM(C938)</f>
        <v>44</v>
      </c>
      <c r="E938" s="142" t="s">
        <v>498</v>
      </c>
      <c r="F938" s="140" t="s">
        <v>637</v>
      </c>
      <c r="G938" s="142" t="s">
        <v>559</v>
      </c>
      <c r="H938" s="142" t="s">
        <v>38</v>
      </c>
      <c r="I938" s="142" t="s">
        <v>46</v>
      </c>
      <c r="J938" s="157">
        <v>50</v>
      </c>
      <c r="K938" s="143">
        <v>50</v>
      </c>
      <c r="L938" s="143">
        <f>K938*J938</f>
        <v>2500</v>
      </c>
      <c r="M938" s="143">
        <v>0</v>
      </c>
      <c r="N938" s="141">
        <v>46028</v>
      </c>
      <c r="O938" s="157">
        <f>WEEKNUM(N938)</f>
        <v>2</v>
      </c>
      <c r="P938" s="140"/>
      <c r="Q938" s="142" t="s">
        <v>29</v>
      </c>
      <c r="R938" s="156">
        <f>PRODUCT(0.25,J938)</f>
        <v>12.5</v>
      </c>
      <c r="S938" s="143">
        <f>PRODUCT(1.5,J938)</f>
        <v>75</v>
      </c>
      <c r="T938" s="156">
        <f>PRODUCT(3,J938)</f>
        <v>150</v>
      </c>
      <c r="U938" s="156">
        <f>PRODUCT(0.5,J938)</f>
        <v>25</v>
      </c>
      <c r="V938" s="156">
        <f>SUM(R938:U938)</f>
        <v>262.5</v>
      </c>
    </row>
    <row r="939" spans="1:22" s="128" customFormat="1" ht="15.6" hidden="1" x14ac:dyDescent="0.3">
      <c r="A939" s="142" t="s">
        <v>481</v>
      </c>
      <c r="B939" s="142">
        <v>347</v>
      </c>
      <c r="C939" s="141">
        <v>45960</v>
      </c>
      <c r="D939" s="140">
        <f>WEEKNUM(C939)</f>
        <v>44</v>
      </c>
      <c r="E939" s="140" t="s">
        <v>475</v>
      </c>
      <c r="F939" s="142" t="s">
        <v>719</v>
      </c>
      <c r="G939" s="142" t="s">
        <v>695</v>
      </c>
      <c r="H939" s="142" t="s">
        <v>304</v>
      </c>
      <c r="I939" s="142" t="s">
        <v>46</v>
      </c>
      <c r="J939" s="157">
        <v>400</v>
      </c>
      <c r="K939" s="143">
        <v>9.1999999999999993</v>
      </c>
      <c r="L939" s="143">
        <f>K939*J939</f>
        <v>3679.9999999999995</v>
      </c>
      <c r="M939" s="143">
        <v>0</v>
      </c>
      <c r="N939" s="141">
        <v>45978</v>
      </c>
      <c r="O939" s="157">
        <f>WEEKNUM(N939)</f>
        <v>47</v>
      </c>
      <c r="P939" s="140"/>
      <c r="Q939" s="140" t="s">
        <v>29</v>
      </c>
      <c r="R939" s="143">
        <f>PRODUCT(0.25,J939)</f>
        <v>100</v>
      </c>
      <c r="S939" s="143">
        <f>PRODUCT(1.5,J939)</f>
        <v>600</v>
      </c>
      <c r="T939" s="143">
        <f>PRODUCT(1.5,J939)</f>
        <v>600</v>
      </c>
      <c r="U939" s="143">
        <f>PRODUCT(0.5,J939)</f>
        <v>200</v>
      </c>
      <c r="V939" s="143">
        <f>SUM(R939:U939)</f>
        <v>1500</v>
      </c>
    </row>
    <row r="940" spans="1:22" s="128" customFormat="1" ht="15.6" hidden="1" x14ac:dyDescent="0.3">
      <c r="A940" s="142" t="s">
        <v>481</v>
      </c>
      <c r="B940" s="142">
        <v>339</v>
      </c>
      <c r="C940" s="141">
        <v>45960</v>
      </c>
      <c r="D940" s="140">
        <f>WEEKNUM(C940)</f>
        <v>44</v>
      </c>
      <c r="E940" s="140" t="s">
        <v>475</v>
      </c>
      <c r="F940" s="142" t="s">
        <v>588</v>
      </c>
      <c r="G940" s="142" t="s">
        <v>311</v>
      </c>
      <c r="H940" s="140" t="s">
        <v>51</v>
      </c>
      <c r="I940" s="142" t="s">
        <v>46</v>
      </c>
      <c r="J940" s="157">
        <v>100</v>
      </c>
      <c r="K940" s="143">
        <v>12.99</v>
      </c>
      <c r="L940" s="143">
        <f>K940*J940</f>
        <v>1299</v>
      </c>
      <c r="M940" s="143">
        <v>0</v>
      </c>
      <c r="N940" s="141">
        <v>45996</v>
      </c>
      <c r="O940" s="157">
        <f>WEEKNUM(N940)</f>
        <v>49</v>
      </c>
      <c r="P940" s="140"/>
      <c r="Q940" s="140" t="s">
        <v>29</v>
      </c>
      <c r="R940" s="156">
        <f>PRODUCT(0.25,J940)</f>
        <v>25</v>
      </c>
      <c r="S940" s="143">
        <f>PRODUCT(0.7,J940)</f>
        <v>70</v>
      </c>
      <c r="T940" s="156">
        <f>PRODUCT(1.5,J940)</f>
        <v>150</v>
      </c>
      <c r="U940" s="156">
        <f>PRODUCT(0.5,J940)</f>
        <v>50</v>
      </c>
      <c r="V940" s="156">
        <f>SUM(R940:U940)</f>
        <v>295</v>
      </c>
    </row>
    <row r="941" spans="1:22" s="128" customFormat="1" ht="15.6" hidden="1" x14ac:dyDescent="0.3">
      <c r="A941" s="142" t="s">
        <v>481</v>
      </c>
      <c r="B941" s="142">
        <v>339</v>
      </c>
      <c r="C941" s="141">
        <v>45960</v>
      </c>
      <c r="D941" s="140">
        <f>WEEKNUM(C941)</f>
        <v>44</v>
      </c>
      <c r="E941" s="140" t="s">
        <v>475</v>
      </c>
      <c r="F941" s="142" t="s">
        <v>588</v>
      </c>
      <c r="G941" s="142" t="s">
        <v>729</v>
      </c>
      <c r="H941" s="140" t="s">
        <v>494</v>
      </c>
      <c r="I941" s="142" t="s">
        <v>46</v>
      </c>
      <c r="J941" s="157">
        <v>100</v>
      </c>
      <c r="K941" s="143">
        <v>17.5</v>
      </c>
      <c r="L941" s="143">
        <f>K941*J941</f>
        <v>1750</v>
      </c>
      <c r="M941" s="143">
        <v>0</v>
      </c>
      <c r="N941" s="141">
        <v>45996</v>
      </c>
      <c r="O941" s="157">
        <f>WEEKNUM(N941)</f>
        <v>49</v>
      </c>
      <c r="P941" s="140"/>
      <c r="Q941" s="140" t="s">
        <v>29</v>
      </c>
      <c r="R941" s="156">
        <f>PRODUCT(0.25,J941)</f>
        <v>25</v>
      </c>
      <c r="S941" s="143">
        <f>PRODUCT(1.5,J941)</f>
        <v>150</v>
      </c>
      <c r="T941" s="156">
        <f>PRODUCT(1.5,J941)</f>
        <v>150</v>
      </c>
      <c r="U941" s="156">
        <f>PRODUCT(0.5,J941)</f>
        <v>50</v>
      </c>
      <c r="V941" s="156">
        <f>SUM(R941:U941)</f>
        <v>375</v>
      </c>
    </row>
    <row r="942" spans="1:22" s="128" customFormat="1" ht="15.6" hidden="1" x14ac:dyDescent="0.3">
      <c r="A942" s="142" t="s">
        <v>481</v>
      </c>
      <c r="B942" s="142">
        <v>351</v>
      </c>
      <c r="C942" s="141">
        <v>45960</v>
      </c>
      <c r="D942" s="140">
        <f>WEEKNUM(C942)</f>
        <v>44</v>
      </c>
      <c r="E942" s="140" t="s">
        <v>475</v>
      </c>
      <c r="F942" s="142" t="s">
        <v>976</v>
      </c>
      <c r="G942" s="142" t="s">
        <v>858</v>
      </c>
      <c r="H942" s="140" t="s">
        <v>51</v>
      </c>
      <c r="I942" s="142" t="s">
        <v>61</v>
      </c>
      <c r="J942" s="157">
        <v>50</v>
      </c>
      <c r="K942" s="143">
        <v>57</v>
      </c>
      <c r="L942" s="143">
        <f>K942*J942</f>
        <v>2850</v>
      </c>
      <c r="M942" s="143">
        <v>0</v>
      </c>
      <c r="N942" s="141">
        <v>45996</v>
      </c>
      <c r="O942" s="157">
        <f>WEEKNUM(N942)</f>
        <v>49</v>
      </c>
      <c r="P942" s="140"/>
      <c r="Q942" s="140" t="s">
        <v>29</v>
      </c>
      <c r="R942" s="143">
        <f>J942*0.25</f>
        <v>12.5</v>
      </c>
      <c r="S942" s="143">
        <f>PRODUCT(1,J942)</f>
        <v>50</v>
      </c>
      <c r="T942" s="143">
        <f>PRODUCT(3,J942)</f>
        <v>150</v>
      </c>
      <c r="U942" s="143">
        <f>PRODUCT(1,J942)</f>
        <v>50</v>
      </c>
      <c r="V942" s="143">
        <f>SUM(R942:U942)</f>
        <v>262.5</v>
      </c>
    </row>
    <row r="943" spans="1:22" s="128" customFormat="1" ht="15.6" hidden="1" x14ac:dyDescent="0.3">
      <c r="A943" s="142" t="s">
        <v>481</v>
      </c>
      <c r="B943" s="142">
        <v>351</v>
      </c>
      <c r="C943" s="141">
        <v>45960</v>
      </c>
      <c r="D943" s="140">
        <f>WEEKNUM(C943)</f>
        <v>44</v>
      </c>
      <c r="E943" s="140" t="s">
        <v>475</v>
      </c>
      <c r="F943" s="142" t="s">
        <v>976</v>
      </c>
      <c r="G943" s="142" t="s">
        <v>929</v>
      </c>
      <c r="H943" s="140" t="s">
        <v>51</v>
      </c>
      <c r="I943" s="142" t="s">
        <v>46</v>
      </c>
      <c r="J943" s="157">
        <v>100</v>
      </c>
      <c r="K943" s="143">
        <v>17</v>
      </c>
      <c r="L943" s="143">
        <f>K943*J943</f>
        <v>1700</v>
      </c>
      <c r="M943" s="143">
        <v>0</v>
      </c>
      <c r="N943" s="141">
        <v>45996</v>
      </c>
      <c r="O943" s="157">
        <f>WEEKNUM(N943)</f>
        <v>49</v>
      </c>
      <c r="P943" s="140"/>
      <c r="Q943" s="140" t="s">
        <v>29</v>
      </c>
      <c r="R943" s="156">
        <f>PRODUCT(0.25,J943)</f>
        <v>25</v>
      </c>
      <c r="S943" s="143">
        <f>PRODUCT(0.7,J943)</f>
        <v>70</v>
      </c>
      <c r="T943" s="156">
        <f>PRODUCT(1.84,J943)</f>
        <v>184</v>
      </c>
      <c r="U943" s="156">
        <f>PRODUCT(0.5,J943)</f>
        <v>50</v>
      </c>
      <c r="V943" s="156">
        <f>SUM(R943:U943)</f>
        <v>329</v>
      </c>
    </row>
    <row r="944" spans="1:22" s="128" customFormat="1" ht="15.6" hidden="1" x14ac:dyDescent="0.3">
      <c r="A944" s="142" t="s">
        <v>481</v>
      </c>
      <c r="B944" s="142">
        <v>348</v>
      </c>
      <c r="C944" s="141">
        <v>45960</v>
      </c>
      <c r="D944" s="140">
        <f>WEEKNUM(C944)</f>
        <v>44</v>
      </c>
      <c r="E944" s="140" t="s">
        <v>475</v>
      </c>
      <c r="F944" s="142" t="s">
        <v>973</v>
      </c>
      <c r="G944" s="142" t="s">
        <v>311</v>
      </c>
      <c r="H944" s="140" t="s">
        <v>51</v>
      </c>
      <c r="I944" s="142" t="s">
        <v>46</v>
      </c>
      <c r="J944" s="157">
        <v>200</v>
      </c>
      <c r="K944" s="143">
        <v>15</v>
      </c>
      <c r="L944" s="143">
        <f>K944*J944</f>
        <v>3000</v>
      </c>
      <c r="M944" s="143">
        <v>0</v>
      </c>
      <c r="N944" s="141">
        <v>45996</v>
      </c>
      <c r="O944" s="157">
        <f>WEEKNUM(N944)</f>
        <v>49</v>
      </c>
      <c r="P944" s="140"/>
      <c r="Q944" s="140" t="s">
        <v>29</v>
      </c>
      <c r="R944" s="156">
        <f>PRODUCT(0.25,J944)</f>
        <v>50</v>
      </c>
      <c r="S944" s="143">
        <f>PRODUCT(0.7,J944)</f>
        <v>140</v>
      </c>
      <c r="T944" s="156">
        <f>PRODUCT(1.5,J944)</f>
        <v>300</v>
      </c>
      <c r="U944" s="156">
        <f>PRODUCT(0.5,J944)</f>
        <v>100</v>
      </c>
      <c r="V944" s="156">
        <f>SUM(R944:U944)</f>
        <v>590</v>
      </c>
    </row>
    <row r="945" spans="1:22" s="128" customFormat="1" ht="15.6" hidden="1" x14ac:dyDescent="0.3">
      <c r="A945" s="142" t="s">
        <v>481</v>
      </c>
      <c r="B945" s="142">
        <v>348</v>
      </c>
      <c r="C945" s="141">
        <v>45960</v>
      </c>
      <c r="D945" s="140">
        <f>WEEKNUM(C945)</f>
        <v>44</v>
      </c>
      <c r="E945" s="140" t="s">
        <v>475</v>
      </c>
      <c r="F945" s="142" t="s">
        <v>973</v>
      </c>
      <c r="G945" s="142" t="s">
        <v>354</v>
      </c>
      <c r="H945" s="142" t="s">
        <v>354</v>
      </c>
      <c r="I945" s="142" t="s">
        <v>46</v>
      </c>
      <c r="J945" s="157">
        <v>150</v>
      </c>
      <c r="K945" s="143">
        <v>23.5</v>
      </c>
      <c r="L945" s="143">
        <f>K945*J945</f>
        <v>3525</v>
      </c>
      <c r="M945" s="143">
        <v>0</v>
      </c>
      <c r="N945" s="141">
        <v>45996</v>
      </c>
      <c r="O945" s="157">
        <f>WEEKNUM(N945)</f>
        <v>49</v>
      </c>
      <c r="P945" s="140"/>
      <c r="Q945" s="140" t="s">
        <v>29</v>
      </c>
      <c r="R945" s="143">
        <f>PRODUCT(0.25,J945)</f>
        <v>37.5</v>
      </c>
      <c r="S945" s="143">
        <f>PRODUCT(1.5,J945)</f>
        <v>225</v>
      </c>
      <c r="T945" s="143">
        <f>PRODUCT(1.5,J945)</f>
        <v>225</v>
      </c>
      <c r="U945" s="143">
        <f>PRODUCT(0.5,J945)</f>
        <v>75</v>
      </c>
      <c r="V945" s="143">
        <f>SUM(R945:U945)</f>
        <v>562.5</v>
      </c>
    </row>
    <row r="946" spans="1:22" s="128" customFormat="1" ht="15.6" hidden="1" x14ac:dyDescent="0.3">
      <c r="A946" s="142" t="s">
        <v>481</v>
      </c>
      <c r="B946" s="142">
        <v>348</v>
      </c>
      <c r="C946" s="141">
        <v>45960</v>
      </c>
      <c r="D946" s="140">
        <f>WEEKNUM(C946)</f>
        <v>44</v>
      </c>
      <c r="E946" s="140" t="s">
        <v>475</v>
      </c>
      <c r="F946" s="142" t="s">
        <v>973</v>
      </c>
      <c r="G946" s="142" t="s">
        <v>513</v>
      </c>
      <c r="H946" s="140" t="s">
        <v>74</v>
      </c>
      <c r="I946" s="142" t="s">
        <v>46</v>
      </c>
      <c r="J946" s="157">
        <v>150</v>
      </c>
      <c r="K946" s="143">
        <v>23.5</v>
      </c>
      <c r="L946" s="143">
        <f>K946*J946</f>
        <v>3525</v>
      </c>
      <c r="M946" s="143">
        <v>0</v>
      </c>
      <c r="N946" s="141">
        <v>45996</v>
      </c>
      <c r="O946" s="157">
        <f>WEEKNUM(N946)</f>
        <v>49</v>
      </c>
      <c r="P946" s="140"/>
      <c r="Q946" s="140" t="s">
        <v>29</v>
      </c>
      <c r="R946" s="156">
        <f>PRODUCT(0.25,J946)</f>
        <v>37.5</v>
      </c>
      <c r="S946" s="143">
        <f>PRODUCT(1.5,J946)</f>
        <v>225</v>
      </c>
      <c r="T946" s="156">
        <f>PRODUCT(1.5,J946)</f>
        <v>225</v>
      </c>
      <c r="U946" s="156">
        <f>PRODUCT(0.5,J946)</f>
        <v>75</v>
      </c>
      <c r="V946" s="156">
        <f>SUM(R946:U946)</f>
        <v>562.5</v>
      </c>
    </row>
    <row r="947" spans="1:22" s="128" customFormat="1" ht="15.6" hidden="1" x14ac:dyDescent="0.3">
      <c r="A947" s="142" t="s">
        <v>477</v>
      </c>
      <c r="B947" s="142">
        <v>345</v>
      </c>
      <c r="C947" s="141">
        <v>45960</v>
      </c>
      <c r="D947" s="140">
        <f>WEEKNUM(C947)</f>
        <v>44</v>
      </c>
      <c r="E947" s="140" t="s">
        <v>475</v>
      </c>
      <c r="F947" s="142" t="s">
        <v>667</v>
      </c>
      <c r="G947" s="142" t="s">
        <v>489</v>
      </c>
      <c r="H947" s="140" t="s">
        <v>51</v>
      </c>
      <c r="I947" s="142" t="s">
        <v>61</v>
      </c>
      <c r="J947" s="157">
        <v>10</v>
      </c>
      <c r="K947" s="143">
        <v>98</v>
      </c>
      <c r="L947" s="143">
        <f>K947*J947</f>
        <v>980</v>
      </c>
      <c r="M947" s="143">
        <v>0</v>
      </c>
      <c r="N947" s="141">
        <v>45989</v>
      </c>
      <c r="O947" s="157">
        <f>WEEKNUM(N947)</f>
        <v>48</v>
      </c>
      <c r="P947" s="140"/>
      <c r="Q947" s="142" t="s">
        <v>29</v>
      </c>
      <c r="R947" s="143">
        <f>J947*0.25</f>
        <v>2.5</v>
      </c>
      <c r="S947" s="143">
        <f>PRODUCT(1,J947)</f>
        <v>10</v>
      </c>
      <c r="T947" s="143">
        <f>PRODUCT(3,J947)</f>
        <v>30</v>
      </c>
      <c r="U947" s="143">
        <f>PRODUCT(1,J947)</f>
        <v>10</v>
      </c>
      <c r="V947" s="143">
        <f>SUM(R947:U947)</f>
        <v>52.5</v>
      </c>
    </row>
    <row r="948" spans="1:22" s="128" customFormat="1" ht="15.6" hidden="1" x14ac:dyDescent="0.3">
      <c r="A948" s="142" t="s">
        <v>481</v>
      </c>
      <c r="B948" s="142">
        <v>350</v>
      </c>
      <c r="C948" s="141">
        <v>45961</v>
      </c>
      <c r="D948" s="140">
        <f>WEEKNUM(C948)</f>
        <v>44</v>
      </c>
      <c r="E948" s="140" t="s">
        <v>475</v>
      </c>
      <c r="F948" s="142" t="s">
        <v>826</v>
      </c>
      <c r="G948" s="142" t="s">
        <v>646</v>
      </c>
      <c r="H948" s="140" t="s">
        <v>494</v>
      </c>
      <c r="I948" s="142" t="s">
        <v>46</v>
      </c>
      <c r="J948" s="157">
        <v>10</v>
      </c>
      <c r="K948" s="143">
        <v>85</v>
      </c>
      <c r="L948" s="143">
        <f>K948*J948</f>
        <v>850</v>
      </c>
      <c r="M948" s="143">
        <v>0</v>
      </c>
      <c r="N948" s="141">
        <v>45996</v>
      </c>
      <c r="O948" s="157">
        <f>WEEKNUM(N948)</f>
        <v>49</v>
      </c>
      <c r="P948" s="140"/>
      <c r="Q948" s="140" t="s">
        <v>29</v>
      </c>
      <c r="R948" s="156">
        <f>PRODUCT(0.25,J948)</f>
        <v>2.5</v>
      </c>
      <c r="S948" s="143">
        <f>PRODUCT(1.5,J948)</f>
        <v>15</v>
      </c>
      <c r="T948" s="156">
        <f>PRODUCT(1.5,J948)</f>
        <v>15</v>
      </c>
      <c r="U948" s="156">
        <f>PRODUCT(0.5,J948)</f>
        <v>5</v>
      </c>
      <c r="V948" s="156">
        <f>SUM(R948:U948)</f>
        <v>37.5</v>
      </c>
    </row>
    <row r="949" spans="1:22" s="128" customFormat="1" ht="15.6" hidden="1" x14ac:dyDescent="0.3">
      <c r="A949" s="142" t="s">
        <v>481</v>
      </c>
      <c r="B949" s="142">
        <v>352</v>
      </c>
      <c r="C949" s="141">
        <v>45961</v>
      </c>
      <c r="D949" s="140">
        <f>WEEKNUM(C949)</f>
        <v>44</v>
      </c>
      <c r="E949" s="142" t="s">
        <v>68</v>
      </c>
      <c r="F949" s="195" t="s">
        <v>300</v>
      </c>
      <c r="G949" s="142" t="s">
        <v>339</v>
      </c>
      <c r="H949" s="142" t="s">
        <v>340</v>
      </c>
      <c r="I949" s="142" t="s">
        <v>46</v>
      </c>
      <c r="J949" s="157">
        <v>1</v>
      </c>
      <c r="K949" s="143">
        <v>65</v>
      </c>
      <c r="L949" s="143">
        <f>K949*J949</f>
        <v>65</v>
      </c>
      <c r="M949" s="143">
        <v>0</v>
      </c>
      <c r="N949" s="141">
        <v>45989</v>
      </c>
      <c r="O949" s="157">
        <f>WEEKNUM(N949)</f>
        <v>48</v>
      </c>
      <c r="P949" s="140"/>
      <c r="Q949" s="140" t="s">
        <v>29</v>
      </c>
      <c r="R949" s="143">
        <f>PRODUCT(0.25,J949)</f>
        <v>0.25</v>
      </c>
      <c r="S949" s="143">
        <f>PRODUCT(1.5,J949)</f>
        <v>1.5</v>
      </c>
      <c r="T949" s="143">
        <f>PRODUCT(1.5,J949)</f>
        <v>1.5</v>
      </c>
      <c r="U949" s="143">
        <f>PRODUCT(0.5,J949)</f>
        <v>0.5</v>
      </c>
      <c r="V949" s="143">
        <f>SUM(R949:U949)</f>
        <v>3.75</v>
      </c>
    </row>
    <row r="950" spans="1:22" s="128" customFormat="1" ht="15.6" hidden="1" x14ac:dyDescent="0.3">
      <c r="A950" s="142" t="s">
        <v>481</v>
      </c>
      <c r="B950" s="142">
        <v>352</v>
      </c>
      <c r="C950" s="141">
        <v>45961</v>
      </c>
      <c r="D950" s="140">
        <f>WEEKNUM(C950)</f>
        <v>44</v>
      </c>
      <c r="E950" s="142" t="s">
        <v>68</v>
      </c>
      <c r="F950" s="195" t="s">
        <v>300</v>
      </c>
      <c r="G950" s="142" t="s">
        <v>301</v>
      </c>
      <c r="H950" s="140" t="s">
        <v>74</v>
      </c>
      <c r="I950" s="142" t="s">
        <v>46</v>
      </c>
      <c r="J950" s="157">
        <v>2</v>
      </c>
      <c r="K950" s="143">
        <v>36.75</v>
      </c>
      <c r="L950" s="143">
        <f>K950*J950</f>
        <v>73.5</v>
      </c>
      <c r="M950" s="143">
        <v>0</v>
      </c>
      <c r="N950" s="141">
        <v>45989</v>
      </c>
      <c r="O950" s="157">
        <f>WEEKNUM(N950)</f>
        <v>48</v>
      </c>
      <c r="P950" s="140"/>
      <c r="Q950" s="140" t="s">
        <v>29</v>
      </c>
      <c r="R950" s="156">
        <f>PRODUCT(0.25,J950)</f>
        <v>0.5</v>
      </c>
      <c r="S950" s="143">
        <f>PRODUCT(1.5,J950)</f>
        <v>3</v>
      </c>
      <c r="T950" s="156">
        <f>PRODUCT(1.5,J950)</f>
        <v>3</v>
      </c>
      <c r="U950" s="156">
        <f>PRODUCT(0.5,J950)</f>
        <v>1</v>
      </c>
      <c r="V950" s="156">
        <f>SUM(R950:U950)</f>
        <v>7.5</v>
      </c>
    </row>
    <row r="951" spans="1:22" s="128" customFormat="1" ht="15.6" hidden="1" x14ac:dyDescent="0.3">
      <c r="A951" s="142" t="s">
        <v>481</v>
      </c>
      <c r="B951" s="142">
        <v>352</v>
      </c>
      <c r="C951" s="141">
        <v>45961</v>
      </c>
      <c r="D951" s="140">
        <f>WEEKNUM(C951)</f>
        <v>44</v>
      </c>
      <c r="E951" s="142" t="s">
        <v>68</v>
      </c>
      <c r="F951" s="195" t="s">
        <v>300</v>
      </c>
      <c r="G951" s="142" t="s">
        <v>311</v>
      </c>
      <c r="H951" s="140" t="s">
        <v>51</v>
      </c>
      <c r="I951" s="142" t="s">
        <v>46</v>
      </c>
      <c r="J951" s="157">
        <v>2</v>
      </c>
      <c r="K951" s="143">
        <v>25</v>
      </c>
      <c r="L951" s="143">
        <f>K951*J951</f>
        <v>50</v>
      </c>
      <c r="M951" s="143">
        <v>0</v>
      </c>
      <c r="N951" s="141">
        <v>45989</v>
      </c>
      <c r="O951" s="157">
        <f>WEEKNUM(N951)</f>
        <v>48</v>
      </c>
      <c r="P951" s="140"/>
      <c r="Q951" s="140" t="s">
        <v>29</v>
      </c>
      <c r="R951" s="156">
        <f>PRODUCT(0.25,J951)</f>
        <v>0.5</v>
      </c>
      <c r="S951" s="143">
        <f>PRODUCT(0.7,J951)</f>
        <v>1.4</v>
      </c>
      <c r="T951" s="156">
        <f>PRODUCT(1.5,J951)</f>
        <v>3</v>
      </c>
      <c r="U951" s="156">
        <f>PRODUCT(0.5,J951)</f>
        <v>1</v>
      </c>
      <c r="V951" s="156">
        <f>SUM(R951:U951)</f>
        <v>5.9</v>
      </c>
    </row>
    <row r="952" spans="1:22" s="128" customFormat="1" ht="15.6" hidden="1" x14ac:dyDescent="0.3">
      <c r="A952" s="142" t="s">
        <v>481</v>
      </c>
      <c r="B952" s="142">
        <v>349</v>
      </c>
      <c r="C952" s="141">
        <v>45964</v>
      </c>
      <c r="D952" s="140">
        <f>WEEKNUM(C952)</f>
        <v>45</v>
      </c>
      <c r="E952" s="142" t="s">
        <v>498</v>
      </c>
      <c r="F952" s="142" t="s">
        <v>690</v>
      </c>
      <c r="G952" s="142" t="s">
        <v>487</v>
      </c>
      <c r="H952" s="140" t="s">
        <v>51</v>
      </c>
      <c r="I952" s="142" t="s">
        <v>46</v>
      </c>
      <c r="J952" s="157">
        <v>100</v>
      </c>
      <c r="K952" s="143">
        <v>25</v>
      </c>
      <c r="L952" s="143">
        <f>K952*J952</f>
        <v>2500</v>
      </c>
      <c r="M952" s="143">
        <v>0</v>
      </c>
      <c r="N952" s="141">
        <v>45982</v>
      </c>
      <c r="O952" s="157">
        <f>WEEKNUM(N952)</f>
        <v>47</v>
      </c>
      <c r="P952" s="140"/>
      <c r="Q952" s="140" t="s">
        <v>29</v>
      </c>
      <c r="R952" s="156">
        <f>PRODUCT(0.25,J952)</f>
        <v>25</v>
      </c>
      <c r="S952" s="143">
        <f>PRODUCT(1,J952)</f>
        <v>100</v>
      </c>
      <c r="T952" s="156">
        <f>PRODUCT(1.84,J952)</f>
        <v>184</v>
      </c>
      <c r="U952" s="156">
        <f>PRODUCT(0.5,J952)</f>
        <v>50</v>
      </c>
      <c r="V952" s="156">
        <f>SUM(R952:U952)</f>
        <v>359</v>
      </c>
    </row>
    <row r="953" spans="1:22" s="128" customFormat="1" ht="15.6" hidden="1" x14ac:dyDescent="0.3">
      <c r="A953" s="142" t="s">
        <v>481</v>
      </c>
      <c r="B953" s="142">
        <v>346</v>
      </c>
      <c r="C953" s="141">
        <v>45964</v>
      </c>
      <c r="D953" s="140">
        <f>WEEKNUM(C953)</f>
        <v>45</v>
      </c>
      <c r="E953" s="140" t="s">
        <v>475</v>
      </c>
      <c r="F953" s="142" t="s">
        <v>696</v>
      </c>
      <c r="G953" s="140" t="s">
        <v>480</v>
      </c>
      <c r="H953" s="140" t="s">
        <v>51</v>
      </c>
      <c r="I953" s="142" t="s">
        <v>46</v>
      </c>
      <c r="J953" s="157">
        <v>100</v>
      </c>
      <c r="K953" s="143">
        <v>17.5</v>
      </c>
      <c r="L953" s="143">
        <f>K953*J953</f>
        <v>1750</v>
      </c>
      <c r="M953" s="143">
        <v>0</v>
      </c>
      <c r="N953" s="141">
        <v>45999</v>
      </c>
      <c r="O953" s="157">
        <f>WEEKNUM(N953)</f>
        <v>50</v>
      </c>
      <c r="P953" s="140"/>
      <c r="Q953" s="140" t="s">
        <v>29</v>
      </c>
      <c r="R953" s="156">
        <f>PRODUCT(0.25,J953)</f>
        <v>25</v>
      </c>
      <c r="S953" s="143">
        <f>PRODUCT(1.5,J953)</f>
        <v>150</v>
      </c>
      <c r="T953" s="156">
        <f>PRODUCT(1.5,J953)</f>
        <v>150</v>
      </c>
      <c r="U953" s="156">
        <f>PRODUCT(0.5,J953)</f>
        <v>50</v>
      </c>
      <c r="V953" s="156">
        <f>SUM(R953:U953)</f>
        <v>375</v>
      </c>
    </row>
    <row r="954" spans="1:22" s="128" customFormat="1" ht="15.6" hidden="1" x14ac:dyDescent="0.3">
      <c r="A954" s="142" t="s">
        <v>477</v>
      </c>
      <c r="B954" s="142">
        <v>353</v>
      </c>
      <c r="C954" s="141">
        <v>45964</v>
      </c>
      <c r="D954" s="140">
        <f>WEEKNUM(C954)</f>
        <v>45</v>
      </c>
      <c r="E954" s="140" t="s">
        <v>478</v>
      </c>
      <c r="F954" s="142" t="s">
        <v>936</v>
      </c>
      <c r="G954" s="142" t="s">
        <v>301</v>
      </c>
      <c r="H954" s="140" t="s">
        <v>74</v>
      </c>
      <c r="I954" s="142" t="s">
        <v>46</v>
      </c>
      <c r="J954" s="157">
        <v>120</v>
      </c>
      <c r="K954" s="143">
        <v>32</v>
      </c>
      <c r="L954" s="143">
        <f>K954*J954</f>
        <v>3840</v>
      </c>
      <c r="M954" s="143">
        <v>0</v>
      </c>
      <c r="N954" s="141">
        <v>45975</v>
      </c>
      <c r="O954" s="157">
        <f>WEEKNUM(N954)</f>
        <v>46</v>
      </c>
      <c r="P954" s="140"/>
      <c r="Q954" s="140" t="s">
        <v>29</v>
      </c>
      <c r="R954" s="156">
        <f>PRODUCT(0.25,J954)</f>
        <v>30</v>
      </c>
      <c r="S954" s="143">
        <f>PRODUCT(1.5,J954)</f>
        <v>180</v>
      </c>
      <c r="T954" s="156">
        <f>PRODUCT(1.5,J954)</f>
        <v>180</v>
      </c>
      <c r="U954" s="156">
        <f>PRODUCT(0.5,J954)</f>
        <v>60</v>
      </c>
      <c r="V954" s="156">
        <f>SUM(R954:U954)</f>
        <v>450</v>
      </c>
    </row>
    <row r="955" spans="1:22" s="128" customFormat="1" ht="15.6" hidden="1" x14ac:dyDescent="0.3">
      <c r="A955" s="142" t="s">
        <v>477</v>
      </c>
      <c r="B955" s="142">
        <v>986</v>
      </c>
      <c r="C955" s="141">
        <v>45965</v>
      </c>
      <c r="D955" s="140">
        <f>WEEKNUM(C955)</f>
        <v>45</v>
      </c>
      <c r="E955" s="142" t="s">
        <v>498</v>
      </c>
      <c r="F955" s="142" t="s">
        <v>647</v>
      </c>
      <c r="G955" s="142" t="s">
        <v>487</v>
      </c>
      <c r="H955" s="140" t="s">
        <v>51</v>
      </c>
      <c r="I955" s="142" t="s">
        <v>46</v>
      </c>
      <c r="J955" s="157">
        <v>150</v>
      </c>
      <c r="K955" s="143">
        <v>23</v>
      </c>
      <c r="L955" s="143">
        <f>K955*J955-315</f>
        <v>3135</v>
      </c>
      <c r="M955" s="143">
        <v>0</v>
      </c>
      <c r="N955" s="141">
        <v>45999</v>
      </c>
      <c r="O955" s="157">
        <f>WEEKNUM(N955)</f>
        <v>50</v>
      </c>
      <c r="P955" s="140"/>
      <c r="Q955" s="140" t="s">
        <v>29</v>
      </c>
      <c r="R955" s="156">
        <f>PRODUCT(0.25,J955)</f>
        <v>37.5</v>
      </c>
      <c r="S955" s="143">
        <f>PRODUCT(1,J955)</f>
        <v>150</v>
      </c>
      <c r="T955" s="156">
        <f>PRODUCT(1.84,J955)</f>
        <v>276</v>
      </c>
      <c r="U955" s="156">
        <f>PRODUCT(0.5,J955)</f>
        <v>75</v>
      </c>
      <c r="V955" s="156">
        <f>SUM(R955:U955)</f>
        <v>538.5</v>
      </c>
    </row>
    <row r="956" spans="1:22" s="128" customFormat="1" ht="15.6" hidden="1" x14ac:dyDescent="0.3">
      <c r="A956" s="142" t="s">
        <v>477</v>
      </c>
      <c r="B956" s="142">
        <v>985</v>
      </c>
      <c r="C956" s="141">
        <v>45965</v>
      </c>
      <c r="D956" s="140">
        <f>WEEKNUM(C956)</f>
        <v>45</v>
      </c>
      <c r="E956" s="140" t="s">
        <v>475</v>
      </c>
      <c r="F956" s="140" t="s">
        <v>761</v>
      </c>
      <c r="G956" s="142" t="s">
        <v>515</v>
      </c>
      <c r="H956" s="140" t="s">
        <v>60</v>
      </c>
      <c r="I956" s="142" t="s">
        <v>61</v>
      </c>
      <c r="J956" s="157">
        <v>750</v>
      </c>
      <c r="K956" s="143">
        <v>14</v>
      </c>
      <c r="L956" s="143">
        <f>K956*J956</f>
        <v>10500</v>
      </c>
      <c r="M956" s="143">
        <v>0</v>
      </c>
      <c r="N956" s="141">
        <v>45999</v>
      </c>
      <c r="O956" s="157">
        <f>WEEKNUM(N956)</f>
        <v>50</v>
      </c>
      <c r="P956" s="142"/>
      <c r="Q956" s="140" t="s">
        <v>29</v>
      </c>
      <c r="R956" s="143">
        <f>PRODUCT(0.25,J956)</f>
        <v>187.5</v>
      </c>
      <c r="S956" s="143">
        <f>PRODUCT(1.5,335)</f>
        <v>502.5</v>
      </c>
      <c r="T956" s="143">
        <f>PRODUCT(1.5,J956)</f>
        <v>1125</v>
      </c>
      <c r="U956" s="143">
        <f>PRODUCT(0.5,J956)</f>
        <v>375</v>
      </c>
      <c r="V956" s="143">
        <f>SUM(R956:U956)</f>
        <v>2190</v>
      </c>
    </row>
    <row r="957" spans="1:22" s="128" customFormat="1" ht="15.6" hidden="1" x14ac:dyDescent="0.3">
      <c r="A957" s="142" t="s">
        <v>477</v>
      </c>
      <c r="B957" s="142">
        <v>985</v>
      </c>
      <c r="C957" s="141">
        <v>45965</v>
      </c>
      <c r="D957" s="140">
        <f>WEEKNUM(C957)</f>
        <v>45</v>
      </c>
      <c r="E957" s="140" t="s">
        <v>475</v>
      </c>
      <c r="F957" s="140" t="s">
        <v>761</v>
      </c>
      <c r="G957" s="142" t="s">
        <v>515</v>
      </c>
      <c r="H957" s="140" t="s">
        <v>60</v>
      </c>
      <c r="I957" s="142" t="s">
        <v>61</v>
      </c>
      <c r="J957" s="157">
        <v>250</v>
      </c>
      <c r="K957" s="143">
        <v>14</v>
      </c>
      <c r="L957" s="143">
        <f>K957*J957</f>
        <v>3500</v>
      </c>
      <c r="M957" s="143">
        <v>0</v>
      </c>
      <c r="N957" s="141">
        <v>45999</v>
      </c>
      <c r="O957" s="157">
        <f>WEEKNUM(N957)</f>
        <v>50</v>
      </c>
      <c r="P957" s="140"/>
      <c r="Q957" s="140" t="s">
        <v>29</v>
      </c>
      <c r="R957" s="143">
        <f>PRODUCT(0.25,J957)</f>
        <v>62.5</v>
      </c>
      <c r="S957" s="143">
        <f>PRODUCT(1.5,335)</f>
        <v>502.5</v>
      </c>
      <c r="T957" s="143">
        <f>PRODUCT(1.5,J957)</f>
        <v>375</v>
      </c>
      <c r="U957" s="143">
        <f>PRODUCT(0.5,J957)</f>
        <v>125</v>
      </c>
      <c r="V957" s="143">
        <f>SUM(R957:U957)</f>
        <v>1065</v>
      </c>
    </row>
    <row r="958" spans="1:22" s="128" customFormat="1" ht="15.6" hidden="1" x14ac:dyDescent="0.3">
      <c r="A958" s="142" t="s">
        <v>477</v>
      </c>
      <c r="B958" s="142">
        <v>381</v>
      </c>
      <c r="C958" s="141">
        <v>45965</v>
      </c>
      <c r="D958" s="140">
        <f>WEEKNUM(C958)</f>
        <v>45</v>
      </c>
      <c r="E958" s="140" t="s">
        <v>478</v>
      </c>
      <c r="F958" s="142" t="s">
        <v>786</v>
      </c>
      <c r="G958" s="142" t="s">
        <v>787</v>
      </c>
      <c r="H958" s="140" t="s">
        <v>60</v>
      </c>
      <c r="I958" s="142" t="s">
        <v>61</v>
      </c>
      <c r="J958" s="157">
        <v>20</v>
      </c>
      <c r="K958" s="143">
        <v>8</v>
      </c>
      <c r="L958" s="143">
        <f>K958*J958</f>
        <v>160</v>
      </c>
      <c r="M958" s="143">
        <v>0</v>
      </c>
      <c r="N958" s="141">
        <v>45996</v>
      </c>
      <c r="O958" s="157">
        <f>WEEKNUM(N958)</f>
        <v>49</v>
      </c>
      <c r="P958" s="140"/>
      <c r="Q958" s="140" t="s">
        <v>29</v>
      </c>
      <c r="R958" s="143">
        <f>PRODUCT(0.25,J958)</f>
        <v>5</v>
      </c>
      <c r="S958" s="143">
        <f>PRODUCT(1.5,335)</f>
        <v>502.5</v>
      </c>
      <c r="T958" s="143">
        <f>PRODUCT(1.5,J958)</f>
        <v>30</v>
      </c>
      <c r="U958" s="143">
        <f>PRODUCT(0.5,J958)</f>
        <v>10</v>
      </c>
      <c r="V958" s="143">
        <f>SUM(R958:U958)</f>
        <v>547.5</v>
      </c>
    </row>
    <row r="959" spans="1:22" s="128" customFormat="1" ht="15.6" hidden="1" x14ac:dyDescent="0.3">
      <c r="A959" s="142" t="s">
        <v>477</v>
      </c>
      <c r="B959" s="142">
        <v>381</v>
      </c>
      <c r="C959" s="141">
        <v>45965</v>
      </c>
      <c r="D959" s="140">
        <f>WEEKNUM(C959)</f>
        <v>45</v>
      </c>
      <c r="E959" s="140" t="s">
        <v>478</v>
      </c>
      <c r="F959" s="142" t="s">
        <v>786</v>
      </c>
      <c r="G959" s="140" t="s">
        <v>658</v>
      </c>
      <c r="H959" s="142" t="s">
        <v>304</v>
      </c>
      <c r="I959" s="142" t="s">
        <v>46</v>
      </c>
      <c r="J959" s="157">
        <v>20</v>
      </c>
      <c r="K959" s="143">
        <v>8</v>
      </c>
      <c r="L959" s="143">
        <f>K959*J959</f>
        <v>160</v>
      </c>
      <c r="M959" s="143">
        <v>0</v>
      </c>
      <c r="N959" s="141">
        <v>45996</v>
      </c>
      <c r="O959" s="157">
        <f>WEEKNUM(N959)</f>
        <v>49</v>
      </c>
      <c r="P959" s="140"/>
      <c r="Q959" s="140" t="s">
        <v>29</v>
      </c>
      <c r="R959" s="143">
        <f>PRODUCT(0.25,J959)</f>
        <v>5</v>
      </c>
      <c r="S959" s="143">
        <f>PRODUCT(1.5,J959)</f>
        <v>30</v>
      </c>
      <c r="T959" s="143">
        <f>PRODUCT(1.5,J959)</f>
        <v>30</v>
      </c>
      <c r="U959" s="143">
        <f>PRODUCT(0.5,J959)</f>
        <v>10</v>
      </c>
      <c r="V959" s="143">
        <f>SUM(R959:U959)</f>
        <v>75</v>
      </c>
    </row>
    <row r="960" spans="1:22" s="128" customFormat="1" ht="15.6" hidden="1" x14ac:dyDescent="0.3">
      <c r="A960" s="142" t="s">
        <v>477</v>
      </c>
      <c r="B960" s="142">
        <v>984</v>
      </c>
      <c r="C960" s="141">
        <v>45965</v>
      </c>
      <c r="D960" s="140">
        <f>WEEKNUM(C960)</f>
        <v>45</v>
      </c>
      <c r="E960" s="142" t="s">
        <v>498</v>
      </c>
      <c r="F960" s="140" t="s">
        <v>459</v>
      </c>
      <c r="G960" s="142" t="s">
        <v>898</v>
      </c>
      <c r="H960" s="140" t="s">
        <v>494</v>
      </c>
      <c r="I960" s="142" t="s">
        <v>46</v>
      </c>
      <c r="J960" s="157">
        <v>300</v>
      </c>
      <c r="K960" s="143">
        <v>16</v>
      </c>
      <c r="L960" s="143">
        <f>K960*J960</f>
        <v>4800</v>
      </c>
      <c r="M960" s="143">
        <v>0</v>
      </c>
      <c r="N960" s="141">
        <v>45982</v>
      </c>
      <c r="O960" s="157">
        <f>WEEKNUM(N960)</f>
        <v>47</v>
      </c>
      <c r="P960" s="140"/>
      <c r="Q960" s="140" t="s">
        <v>29</v>
      </c>
      <c r="R960" s="156">
        <f>PRODUCT(0.25,J960)</f>
        <v>75</v>
      </c>
      <c r="S960" s="143">
        <f>PRODUCT(1.5,J960)</f>
        <v>450</v>
      </c>
      <c r="T960" s="156">
        <f>PRODUCT(1.5,J960)</f>
        <v>450</v>
      </c>
      <c r="U960" s="156">
        <f>PRODUCT(0.5,J960)</f>
        <v>150</v>
      </c>
      <c r="V960" s="156">
        <f>SUM(R960:U960)</f>
        <v>1125</v>
      </c>
    </row>
    <row r="961" spans="1:22" s="128" customFormat="1" ht="15.6" hidden="1" x14ac:dyDescent="0.3">
      <c r="A961" s="142" t="s">
        <v>477</v>
      </c>
      <c r="B961" s="142">
        <v>357</v>
      </c>
      <c r="C961" s="141">
        <v>45966</v>
      </c>
      <c r="D961" s="140">
        <f>WEEKNUM(C961)</f>
        <v>45</v>
      </c>
      <c r="E961" s="140" t="s">
        <v>475</v>
      </c>
      <c r="F961" s="142" t="s">
        <v>551</v>
      </c>
      <c r="G961" s="142" t="s">
        <v>311</v>
      </c>
      <c r="H961" s="140" t="s">
        <v>51</v>
      </c>
      <c r="I961" s="142" t="s">
        <v>46</v>
      </c>
      <c r="J961" s="157">
        <v>200</v>
      </c>
      <c r="K961" s="143">
        <v>18</v>
      </c>
      <c r="L961" s="143">
        <f>J961*K961</f>
        <v>3600</v>
      </c>
      <c r="M961" s="143">
        <v>0</v>
      </c>
      <c r="N961" s="141">
        <v>45999</v>
      </c>
      <c r="O961" s="157">
        <v>49</v>
      </c>
      <c r="P961" s="140"/>
      <c r="Q961" s="140" t="s">
        <v>29</v>
      </c>
      <c r="R961" s="156">
        <f>PRODUCT(0.25,J961)</f>
        <v>50</v>
      </c>
      <c r="S961" s="143">
        <f>PRODUCT(0.7,J961)</f>
        <v>140</v>
      </c>
      <c r="T961" s="156">
        <f>PRODUCT(1.5,J961)</f>
        <v>300</v>
      </c>
      <c r="U961" s="156">
        <f>PRODUCT(0.5,J961)</f>
        <v>100</v>
      </c>
      <c r="V961" s="156">
        <f>SUM(R961:U961)</f>
        <v>590</v>
      </c>
    </row>
    <row r="962" spans="1:22" s="128" customFormat="1" ht="15.6" hidden="1" x14ac:dyDescent="0.3">
      <c r="A962" s="142" t="s">
        <v>477</v>
      </c>
      <c r="B962" s="142">
        <v>987</v>
      </c>
      <c r="C962" s="141">
        <v>45966</v>
      </c>
      <c r="D962" s="140">
        <f>WEEKNUM(C962)</f>
        <v>45</v>
      </c>
      <c r="E962" s="142" t="s">
        <v>498</v>
      </c>
      <c r="F962" s="142" t="s">
        <v>752</v>
      </c>
      <c r="G962" s="142" t="s">
        <v>487</v>
      </c>
      <c r="H962" s="140" t="s">
        <v>51</v>
      </c>
      <c r="I962" s="142" t="s">
        <v>46</v>
      </c>
      <c r="J962" s="157">
        <v>500</v>
      </c>
      <c r="K962" s="143">
        <v>21</v>
      </c>
      <c r="L962" s="143">
        <f>K962*J962</f>
        <v>10500</v>
      </c>
      <c r="M962" s="143">
        <v>0</v>
      </c>
      <c r="N962" s="141">
        <v>45999</v>
      </c>
      <c r="O962" s="157">
        <f>WEEKNUM(N962)</f>
        <v>50</v>
      </c>
      <c r="P962" s="140"/>
      <c r="Q962" s="140" t="s">
        <v>29</v>
      </c>
      <c r="R962" s="156">
        <f>PRODUCT(0.25,J962)</f>
        <v>125</v>
      </c>
      <c r="S962" s="143">
        <f>PRODUCT(1,J962)</f>
        <v>500</v>
      </c>
      <c r="T962" s="156">
        <f>PRODUCT(1.84,J962)</f>
        <v>920</v>
      </c>
      <c r="U962" s="156">
        <f>PRODUCT(0.5,J962)</f>
        <v>250</v>
      </c>
      <c r="V962" s="156">
        <f>SUM(R962:U962)</f>
        <v>1795</v>
      </c>
    </row>
    <row r="963" spans="1:22" s="128" customFormat="1" ht="15.6" hidden="1" x14ac:dyDescent="0.3">
      <c r="A963" s="142" t="s">
        <v>477</v>
      </c>
      <c r="B963" s="142">
        <v>988</v>
      </c>
      <c r="C963" s="141">
        <v>45966</v>
      </c>
      <c r="D963" s="140">
        <f>WEEKNUM(C963)</f>
        <v>45</v>
      </c>
      <c r="E963" s="140" t="s">
        <v>475</v>
      </c>
      <c r="F963" s="140" t="s">
        <v>761</v>
      </c>
      <c r="G963" s="142" t="s">
        <v>766</v>
      </c>
      <c r="H963" s="140" t="s">
        <v>51</v>
      </c>
      <c r="I963" s="142" t="s">
        <v>46</v>
      </c>
      <c r="J963" s="157">
        <v>500</v>
      </c>
      <c r="K963" s="143">
        <v>19.5</v>
      </c>
      <c r="L963" s="143">
        <f>J963*K963</f>
        <v>9750</v>
      </c>
      <c r="M963" s="143">
        <v>0</v>
      </c>
      <c r="N963" s="141">
        <v>45995</v>
      </c>
      <c r="O963" s="157">
        <f>WEEKNUM(N963)</f>
        <v>49</v>
      </c>
      <c r="P963" s="140"/>
      <c r="Q963" s="140" t="s">
        <v>29</v>
      </c>
      <c r="R963" s="156">
        <f>PRODUCT(0.25,J963)</f>
        <v>125</v>
      </c>
      <c r="S963" s="143">
        <f>PRODUCT(1,J963)</f>
        <v>500</v>
      </c>
      <c r="T963" s="156">
        <f>PRODUCT(1.84,J963)</f>
        <v>920</v>
      </c>
      <c r="U963" s="156">
        <f>PRODUCT(0.5,J963)</f>
        <v>250</v>
      </c>
      <c r="V963" s="156">
        <f>SUM(R963:U963)</f>
        <v>1795</v>
      </c>
    </row>
    <row r="964" spans="1:22" s="128" customFormat="1" ht="15.6" hidden="1" x14ac:dyDescent="0.3">
      <c r="A964" s="142" t="s">
        <v>477</v>
      </c>
      <c r="B964" s="142">
        <v>358</v>
      </c>
      <c r="C964" s="141">
        <v>45966</v>
      </c>
      <c r="D964" s="140">
        <f>WEEKNUM(C964)</f>
        <v>45</v>
      </c>
      <c r="E964" s="142" t="s">
        <v>68</v>
      </c>
      <c r="F964" s="142" t="s">
        <v>345</v>
      </c>
      <c r="G964" s="142" t="s">
        <v>651</v>
      </c>
      <c r="H964" s="140" t="s">
        <v>74</v>
      </c>
      <c r="I964" s="142" t="s">
        <v>46</v>
      </c>
      <c r="J964" s="157">
        <v>12</v>
      </c>
      <c r="K964" s="143">
        <v>36.75</v>
      </c>
      <c r="L964" s="143">
        <f>J964*K964</f>
        <v>441</v>
      </c>
      <c r="M964" s="143">
        <v>0</v>
      </c>
      <c r="N964" s="141">
        <v>45999</v>
      </c>
      <c r="O964" s="157">
        <f>WEEKNUM(N964)</f>
        <v>50</v>
      </c>
      <c r="P964" s="140"/>
      <c r="Q964" s="140" t="s">
        <v>29</v>
      </c>
      <c r="R964" s="156">
        <f>PRODUCT(0.25,J964)</f>
        <v>3</v>
      </c>
      <c r="S964" s="143">
        <f>PRODUCT(1.5,J964)</f>
        <v>18</v>
      </c>
      <c r="T964" s="156">
        <f>PRODUCT(1.5,J964)</f>
        <v>18</v>
      </c>
      <c r="U964" s="156">
        <f>PRODUCT(0.5,J964)</f>
        <v>6</v>
      </c>
      <c r="V964" s="156">
        <f>SUM(R964:U964)</f>
        <v>45</v>
      </c>
    </row>
    <row r="965" spans="1:22" s="128" customFormat="1" ht="15.6" hidden="1" x14ac:dyDescent="0.3">
      <c r="A965" s="142" t="s">
        <v>477</v>
      </c>
      <c r="B965" s="142">
        <v>993</v>
      </c>
      <c r="C965" s="141">
        <v>45967</v>
      </c>
      <c r="D965" s="140">
        <f>WEEKNUM(C965)</f>
        <v>45</v>
      </c>
      <c r="E965" s="142" t="s">
        <v>498</v>
      </c>
      <c r="F965" s="140" t="s">
        <v>563</v>
      </c>
      <c r="G965" s="142" t="s">
        <v>487</v>
      </c>
      <c r="H965" s="140" t="s">
        <v>51</v>
      </c>
      <c r="I965" s="142" t="s">
        <v>46</v>
      </c>
      <c r="J965" s="157">
        <v>10</v>
      </c>
      <c r="K965" s="143">
        <v>45</v>
      </c>
      <c r="L965" s="143">
        <f>J965*K965</f>
        <v>450</v>
      </c>
      <c r="M965" s="143">
        <v>0</v>
      </c>
      <c r="N965" s="141">
        <v>45983</v>
      </c>
      <c r="O965" s="157">
        <f>WEEKNUM(N965)</f>
        <v>47</v>
      </c>
      <c r="P965" s="140"/>
      <c r="Q965" s="140" t="s">
        <v>29</v>
      </c>
      <c r="R965" s="156">
        <f>PRODUCT(0.25,J965)</f>
        <v>2.5</v>
      </c>
      <c r="S965" s="143">
        <f>PRODUCT(1,J965)</f>
        <v>10</v>
      </c>
      <c r="T965" s="156">
        <f>PRODUCT(1.84,J965)</f>
        <v>18.400000000000002</v>
      </c>
      <c r="U965" s="156">
        <f>PRODUCT(0.5,J965)</f>
        <v>5</v>
      </c>
      <c r="V965" s="156">
        <f>SUM(R965:U965)</f>
        <v>35.900000000000006</v>
      </c>
    </row>
    <row r="966" spans="1:22" s="128" customFormat="1" ht="15.6" hidden="1" x14ac:dyDescent="0.3">
      <c r="A966" s="142" t="s">
        <v>477</v>
      </c>
      <c r="B966" s="142">
        <v>992</v>
      </c>
      <c r="C966" s="141">
        <v>45967</v>
      </c>
      <c r="D966" s="140">
        <f>WEEKNUM(C966)</f>
        <v>45</v>
      </c>
      <c r="E966" s="140" t="s">
        <v>475</v>
      </c>
      <c r="F966" s="142" t="s">
        <v>829</v>
      </c>
      <c r="G966" s="142" t="s">
        <v>830</v>
      </c>
      <c r="H966" s="142" t="s">
        <v>304</v>
      </c>
      <c r="I966" s="142" t="s">
        <v>46</v>
      </c>
      <c r="J966" s="157">
        <v>1500</v>
      </c>
      <c r="K966" s="143">
        <v>9</v>
      </c>
      <c r="L966" s="143">
        <f>J966*K966</f>
        <v>13500</v>
      </c>
      <c r="M966" s="143">
        <v>0</v>
      </c>
      <c r="N966" s="141">
        <v>46028</v>
      </c>
      <c r="O966" s="157">
        <f>WEEKNUM(N966)</f>
        <v>2</v>
      </c>
      <c r="P966" s="140"/>
      <c r="Q966" s="142" t="s">
        <v>29</v>
      </c>
      <c r="R966" s="143">
        <f>PRODUCT(0.25,J966)</f>
        <v>375</v>
      </c>
      <c r="S966" s="143">
        <f>PRODUCT(1.5,J966)</f>
        <v>2250</v>
      </c>
      <c r="T966" s="143">
        <f>PRODUCT(1.5,J966)</f>
        <v>2250</v>
      </c>
      <c r="U966" s="143">
        <f>PRODUCT(0.5,J966)</f>
        <v>750</v>
      </c>
      <c r="V966" s="143">
        <f>SUM(R966:U966)</f>
        <v>5625</v>
      </c>
    </row>
    <row r="967" spans="1:22" s="128" customFormat="1" ht="15.6" hidden="1" x14ac:dyDescent="0.3">
      <c r="A967" s="142" t="s">
        <v>477</v>
      </c>
      <c r="B967" s="142">
        <v>989</v>
      </c>
      <c r="C967" s="141">
        <v>45968</v>
      </c>
      <c r="D967" s="140">
        <f>WEEKNUM(C967)</f>
        <v>45</v>
      </c>
      <c r="E967" s="140" t="s">
        <v>475</v>
      </c>
      <c r="F967" s="142" t="s">
        <v>947</v>
      </c>
      <c r="G967" s="140" t="s">
        <v>480</v>
      </c>
      <c r="H967" s="140" t="s">
        <v>51</v>
      </c>
      <c r="I967" s="142" t="s">
        <v>46</v>
      </c>
      <c r="J967" s="157">
        <v>100</v>
      </c>
      <c r="K967" s="143">
        <v>19.899999999999999</v>
      </c>
      <c r="L967" s="143">
        <f>J967*K967</f>
        <v>1989.9999999999998</v>
      </c>
      <c r="M967" s="143">
        <v>0</v>
      </c>
      <c r="N967" s="141">
        <v>46003</v>
      </c>
      <c r="O967" s="157">
        <f>WEEKNUM(N967)</f>
        <v>50</v>
      </c>
      <c r="P967" s="140"/>
      <c r="Q967" s="140" t="s">
        <v>29</v>
      </c>
      <c r="R967" s="156">
        <f>PRODUCT(0.25,J967)</f>
        <v>25</v>
      </c>
      <c r="S967" s="143">
        <f>PRODUCT(1,J967)</f>
        <v>100</v>
      </c>
      <c r="T967" s="156">
        <f>PRODUCT(1.84,J967)</f>
        <v>184</v>
      </c>
      <c r="U967" s="156">
        <f>PRODUCT(0.5,J967)</f>
        <v>50</v>
      </c>
      <c r="V967" s="156">
        <f>SUM(R967:U967)</f>
        <v>359</v>
      </c>
    </row>
    <row r="968" spans="1:22" s="128" customFormat="1" ht="15.6" hidden="1" x14ac:dyDescent="0.3">
      <c r="A968" s="142" t="s">
        <v>477</v>
      </c>
      <c r="B968" s="142">
        <v>989</v>
      </c>
      <c r="C968" s="141">
        <v>45968</v>
      </c>
      <c r="D968" s="140">
        <f>WEEKNUM(C968)</f>
        <v>45</v>
      </c>
      <c r="E968" s="140" t="s">
        <v>475</v>
      </c>
      <c r="F968" s="142" t="s">
        <v>947</v>
      </c>
      <c r="G968" s="142" t="s">
        <v>70</v>
      </c>
      <c r="H968" s="140" t="s">
        <v>74</v>
      </c>
      <c r="I968" s="142" t="s">
        <v>46</v>
      </c>
      <c r="J968" s="157">
        <v>150</v>
      </c>
      <c r="K968" s="143">
        <v>31</v>
      </c>
      <c r="L968" s="143">
        <f>J968*K968</f>
        <v>4650</v>
      </c>
      <c r="M968" s="143">
        <v>0</v>
      </c>
      <c r="N968" s="141">
        <v>46003</v>
      </c>
      <c r="O968" s="157">
        <f>WEEKNUM(N968)</f>
        <v>50</v>
      </c>
      <c r="P968" s="140"/>
      <c r="Q968" s="140" t="s">
        <v>29</v>
      </c>
      <c r="R968" s="156">
        <f>PRODUCT(0.25,J968)</f>
        <v>37.5</v>
      </c>
      <c r="S968" s="143">
        <f>PRODUCT(1.5,J968)</f>
        <v>225</v>
      </c>
      <c r="T968" s="156">
        <f>PRODUCT(1.5,J968)</f>
        <v>225</v>
      </c>
      <c r="U968" s="156">
        <f>PRODUCT(0.5,J968)</f>
        <v>75</v>
      </c>
      <c r="V968" s="156">
        <f>SUM(R968:U968)</f>
        <v>562.5</v>
      </c>
    </row>
    <row r="969" spans="1:22" s="128" customFormat="1" ht="15.6" hidden="1" x14ac:dyDescent="0.3">
      <c r="A969" s="142" t="s">
        <v>477</v>
      </c>
      <c r="B969" s="142">
        <v>989</v>
      </c>
      <c r="C969" s="141">
        <v>45968</v>
      </c>
      <c r="D969" s="140">
        <f>WEEKNUM(C969)</f>
        <v>45</v>
      </c>
      <c r="E969" s="140" t="s">
        <v>475</v>
      </c>
      <c r="F969" s="142" t="s">
        <v>947</v>
      </c>
      <c r="G969" s="142" t="s">
        <v>489</v>
      </c>
      <c r="H969" s="140" t="s">
        <v>51</v>
      </c>
      <c r="I969" s="142" t="s">
        <v>61</v>
      </c>
      <c r="J969" s="157">
        <v>10</v>
      </c>
      <c r="K969" s="143">
        <v>85</v>
      </c>
      <c r="L969" s="143">
        <f>J969*K969</f>
        <v>850</v>
      </c>
      <c r="M969" s="143">
        <v>0</v>
      </c>
      <c r="N969" s="141">
        <v>46003</v>
      </c>
      <c r="O969" s="157">
        <f>WEEKNUM(N969)</f>
        <v>50</v>
      </c>
      <c r="P969" s="140"/>
      <c r="Q969" s="140" t="s">
        <v>29</v>
      </c>
      <c r="R969" s="143">
        <f>J969*0.25</f>
        <v>2.5</v>
      </c>
      <c r="S969" s="143">
        <f>PRODUCT(1,J969)</f>
        <v>10</v>
      </c>
      <c r="T969" s="143">
        <f>PRODUCT(3,J969)</f>
        <v>30</v>
      </c>
      <c r="U969" s="143">
        <f>PRODUCT(1,J969)</f>
        <v>10</v>
      </c>
      <c r="V969" s="143">
        <f>SUM(R969:U969)</f>
        <v>52.5</v>
      </c>
    </row>
    <row r="970" spans="1:22" s="128" customFormat="1" ht="15.6" hidden="1" x14ac:dyDescent="0.3">
      <c r="A970" s="142" t="s">
        <v>481</v>
      </c>
      <c r="B970" s="142">
        <v>360</v>
      </c>
      <c r="C970" s="141">
        <v>45971</v>
      </c>
      <c r="D970" s="140">
        <f>WEEKNUM(C970)</f>
        <v>46</v>
      </c>
      <c r="E970" s="142" t="s">
        <v>68</v>
      </c>
      <c r="F970" s="142" t="s">
        <v>359</v>
      </c>
      <c r="G970" s="142" t="s">
        <v>311</v>
      </c>
      <c r="H970" s="140" t="s">
        <v>51</v>
      </c>
      <c r="I970" s="142" t="s">
        <v>46</v>
      </c>
      <c r="J970" s="157">
        <v>2</v>
      </c>
      <c r="K970" s="143">
        <v>25</v>
      </c>
      <c r="L970" s="143">
        <f>J970*K970</f>
        <v>50</v>
      </c>
      <c r="M970" s="143">
        <v>0</v>
      </c>
      <c r="N970" s="141">
        <v>46001</v>
      </c>
      <c r="O970" s="157">
        <f>WEEKNUM(N970)</f>
        <v>50</v>
      </c>
      <c r="P970" s="140"/>
      <c r="Q970" s="140" t="s">
        <v>29</v>
      </c>
      <c r="R970" s="156">
        <f>PRODUCT(0.25,J970)</f>
        <v>0.5</v>
      </c>
      <c r="S970" s="143">
        <f>PRODUCT(0.7,J970)</f>
        <v>1.4</v>
      </c>
      <c r="T970" s="156">
        <f>PRODUCT(1.5,J970)</f>
        <v>3</v>
      </c>
      <c r="U970" s="156">
        <f>PRODUCT(0.5,J970)</f>
        <v>1</v>
      </c>
      <c r="V970" s="156">
        <f>SUM(R970:U970)</f>
        <v>5.9</v>
      </c>
    </row>
    <row r="971" spans="1:22" s="128" customFormat="1" ht="15.6" hidden="1" x14ac:dyDescent="0.3">
      <c r="A971" s="142" t="s">
        <v>481</v>
      </c>
      <c r="B971" s="142">
        <v>360</v>
      </c>
      <c r="C971" s="141">
        <v>45971</v>
      </c>
      <c r="D971" s="140">
        <f>WEEKNUM(C971)</f>
        <v>46</v>
      </c>
      <c r="E971" s="142" t="s">
        <v>68</v>
      </c>
      <c r="F971" s="142" t="s">
        <v>359</v>
      </c>
      <c r="G971" s="140" t="s">
        <v>356</v>
      </c>
      <c r="H971" s="140" t="s">
        <v>321</v>
      </c>
      <c r="I971" s="142" t="s">
        <v>46</v>
      </c>
      <c r="J971" s="157">
        <v>3</v>
      </c>
      <c r="K971" s="143">
        <v>85</v>
      </c>
      <c r="L971" s="143">
        <f>J971*K971</f>
        <v>255</v>
      </c>
      <c r="M971" s="143">
        <v>0</v>
      </c>
      <c r="N971" s="141">
        <v>46001</v>
      </c>
      <c r="O971" s="157">
        <f>WEEKNUM(N971)</f>
        <v>50</v>
      </c>
      <c r="P971" s="140"/>
      <c r="Q971" s="140" t="s">
        <v>29</v>
      </c>
      <c r="R971" s="156">
        <f>J971*0.25</f>
        <v>0.75</v>
      </c>
      <c r="S971" s="156">
        <f>PRODUCT(1.5,J971)</f>
        <v>4.5</v>
      </c>
      <c r="T971" s="156">
        <f>PRODUCT(1.5,J971)</f>
        <v>4.5</v>
      </c>
      <c r="U971" s="156">
        <f>J971*0.5</f>
        <v>1.5</v>
      </c>
      <c r="V971" s="156">
        <f>R971+S971+T971+U971</f>
        <v>11.25</v>
      </c>
    </row>
    <row r="972" spans="1:22" s="128" customFormat="1" ht="15.6" hidden="1" x14ac:dyDescent="0.3">
      <c r="A972" s="142" t="s">
        <v>477</v>
      </c>
      <c r="B972" s="142">
        <v>996</v>
      </c>
      <c r="C972" s="141">
        <v>45971</v>
      </c>
      <c r="D972" s="140">
        <f>WEEKNUM(C972)</f>
        <v>46</v>
      </c>
      <c r="E972" s="140" t="s">
        <v>475</v>
      </c>
      <c r="F972" s="142" t="s">
        <v>794</v>
      </c>
      <c r="G972" s="142" t="s">
        <v>796</v>
      </c>
      <c r="H972" s="140" t="s">
        <v>51</v>
      </c>
      <c r="I972" s="142" t="s">
        <v>61</v>
      </c>
      <c r="J972" s="157">
        <v>100</v>
      </c>
      <c r="K972" s="143">
        <v>34</v>
      </c>
      <c r="L972" s="143">
        <f>J972*K972</f>
        <v>3400</v>
      </c>
      <c r="M972" s="143">
        <v>0</v>
      </c>
      <c r="N972" s="141">
        <v>46006</v>
      </c>
      <c r="O972" s="157">
        <f>WEEKNUM(N972)</f>
        <v>51</v>
      </c>
      <c r="P972" s="140"/>
      <c r="Q972" s="142" t="s">
        <v>29</v>
      </c>
      <c r="R972" s="156">
        <f>PRODUCT(0.25,J972)</f>
        <v>25</v>
      </c>
      <c r="S972" s="143">
        <f>PRODUCT(1,J972)</f>
        <v>100</v>
      </c>
      <c r="T972" s="156">
        <f>PRODUCT(1.84,J972)</f>
        <v>184</v>
      </c>
      <c r="U972" s="156">
        <f>PRODUCT(0.5,J972)</f>
        <v>50</v>
      </c>
      <c r="V972" s="156">
        <f>SUM(R972:U972)</f>
        <v>359</v>
      </c>
    </row>
    <row r="973" spans="1:22" s="128" customFormat="1" ht="15.6" hidden="1" x14ac:dyDescent="0.3">
      <c r="A973" s="142" t="s">
        <v>477</v>
      </c>
      <c r="B973" s="142">
        <v>359</v>
      </c>
      <c r="C973" s="141">
        <v>45971</v>
      </c>
      <c r="D973" s="140">
        <f>WEEKNUM(C973)</f>
        <v>46</v>
      </c>
      <c r="E973" s="140" t="s">
        <v>478</v>
      </c>
      <c r="F973" s="142" t="s">
        <v>873</v>
      </c>
      <c r="G973" s="142" t="s">
        <v>874</v>
      </c>
      <c r="H973" s="140" t="s">
        <v>60</v>
      </c>
      <c r="I973" s="142" t="s">
        <v>61</v>
      </c>
      <c r="J973" s="157">
        <v>50</v>
      </c>
      <c r="K973" s="143">
        <v>9.9</v>
      </c>
      <c r="L973" s="143">
        <f>J973*K973</f>
        <v>495</v>
      </c>
      <c r="M973" s="143">
        <v>0</v>
      </c>
      <c r="N973" s="141">
        <v>45997</v>
      </c>
      <c r="O973" s="157">
        <f>WEEKNUM(N973)</f>
        <v>49</v>
      </c>
      <c r="P973" s="140"/>
      <c r="Q973" s="140" t="s">
        <v>29</v>
      </c>
      <c r="R973" s="143">
        <f>PRODUCT(0.25,J973)</f>
        <v>12.5</v>
      </c>
      <c r="S973" s="143">
        <f>PRODUCT(1.5,335)</f>
        <v>502.5</v>
      </c>
      <c r="T973" s="143">
        <f>PRODUCT(1.5,J973)</f>
        <v>75</v>
      </c>
      <c r="U973" s="143">
        <f>PRODUCT(0.5,J973)</f>
        <v>25</v>
      </c>
      <c r="V973" s="143">
        <f>SUM(R973:U973)</f>
        <v>615</v>
      </c>
    </row>
    <row r="974" spans="1:22" s="128" customFormat="1" ht="15.6" hidden="1" x14ac:dyDescent="0.3">
      <c r="A974" s="142" t="s">
        <v>477</v>
      </c>
      <c r="B974" s="142">
        <v>359</v>
      </c>
      <c r="C974" s="141">
        <v>45971</v>
      </c>
      <c r="D974" s="140">
        <f>WEEKNUM(C974)</f>
        <v>46</v>
      </c>
      <c r="E974" s="140" t="s">
        <v>478</v>
      </c>
      <c r="F974" s="142" t="s">
        <v>873</v>
      </c>
      <c r="G974" s="142" t="s">
        <v>875</v>
      </c>
      <c r="H974" s="142" t="s">
        <v>304</v>
      </c>
      <c r="I974" s="142" t="s">
        <v>46</v>
      </c>
      <c r="J974" s="157">
        <v>100</v>
      </c>
      <c r="K974" s="143">
        <v>18.5</v>
      </c>
      <c r="L974" s="143">
        <f>J974*K974</f>
        <v>1850</v>
      </c>
      <c r="M974" s="143">
        <v>0</v>
      </c>
      <c r="N974" s="141">
        <v>45997</v>
      </c>
      <c r="O974" s="157">
        <f>WEEKNUM(N974)</f>
        <v>49</v>
      </c>
      <c r="P974" s="140"/>
      <c r="Q974" s="140" t="s">
        <v>29</v>
      </c>
      <c r="R974" s="143">
        <f>PRODUCT(0.25,J974)</f>
        <v>25</v>
      </c>
      <c r="S974" s="143">
        <f>PRODUCT(1.5,J974)</f>
        <v>150</v>
      </c>
      <c r="T974" s="143">
        <f>PRODUCT(1.5,J974)</f>
        <v>150</v>
      </c>
      <c r="U974" s="143">
        <f>PRODUCT(0.5,J974)</f>
        <v>50</v>
      </c>
      <c r="V974" s="143">
        <f>SUM(R974:U974)</f>
        <v>375</v>
      </c>
    </row>
    <row r="975" spans="1:22" s="128" customFormat="1" ht="15.6" hidden="1" x14ac:dyDescent="0.3">
      <c r="A975" s="142" t="s">
        <v>477</v>
      </c>
      <c r="B975" s="142">
        <v>365</v>
      </c>
      <c r="C975" s="141">
        <v>45972</v>
      </c>
      <c r="D975" s="140">
        <f>WEEKNUM(C975)</f>
        <v>46</v>
      </c>
      <c r="E975" s="140" t="s">
        <v>478</v>
      </c>
      <c r="F975" s="142" t="s">
        <v>604</v>
      </c>
      <c r="G975" s="142" t="s">
        <v>70</v>
      </c>
      <c r="H975" s="140" t="s">
        <v>74</v>
      </c>
      <c r="I975" s="142" t="s">
        <v>46</v>
      </c>
      <c r="J975" s="157">
        <v>10</v>
      </c>
      <c r="K975" s="143">
        <v>33.5</v>
      </c>
      <c r="L975" s="143">
        <f>J975*K975</f>
        <v>335</v>
      </c>
      <c r="M975" s="143">
        <v>0</v>
      </c>
      <c r="N975" s="141">
        <v>46006</v>
      </c>
      <c r="O975" s="157">
        <f>WEEKNUM(N975)</f>
        <v>51</v>
      </c>
      <c r="P975" s="140"/>
      <c r="Q975" s="140" t="s">
        <v>29</v>
      </c>
      <c r="R975" s="156">
        <f>PRODUCT(0.25,J975)</f>
        <v>2.5</v>
      </c>
      <c r="S975" s="143">
        <f>PRODUCT(1.5,J975)</f>
        <v>15</v>
      </c>
      <c r="T975" s="156">
        <f>PRODUCT(1.5,J975)</f>
        <v>15</v>
      </c>
      <c r="U975" s="156">
        <f>PRODUCT(0.5,J975)</f>
        <v>5</v>
      </c>
      <c r="V975" s="156">
        <f>SUM(R975:U975)</f>
        <v>37.5</v>
      </c>
    </row>
    <row r="976" spans="1:22" s="128" customFormat="1" ht="15.6" hidden="1" x14ac:dyDescent="0.3">
      <c r="A976" s="142" t="s">
        <v>477</v>
      </c>
      <c r="B976" s="142">
        <v>363</v>
      </c>
      <c r="C976" s="141">
        <v>45972</v>
      </c>
      <c r="D976" s="140">
        <f>WEEKNUM(C976)</f>
        <v>46</v>
      </c>
      <c r="E976" s="142" t="s">
        <v>55</v>
      </c>
      <c r="F976" s="142" t="s">
        <v>652</v>
      </c>
      <c r="G976" s="142" t="s">
        <v>580</v>
      </c>
      <c r="H976" s="142" t="s">
        <v>304</v>
      </c>
      <c r="I976" s="142" t="s">
        <v>46</v>
      </c>
      <c r="J976" s="157">
        <v>3000</v>
      </c>
      <c r="K976" s="143">
        <v>8.5</v>
      </c>
      <c r="L976" s="143">
        <f>J976*K976</f>
        <v>25500</v>
      </c>
      <c r="M976" s="143">
        <v>0</v>
      </c>
      <c r="N976" s="141">
        <v>45999</v>
      </c>
      <c r="O976" s="157">
        <f>WEEKNUM(N976)</f>
        <v>50</v>
      </c>
      <c r="P976" s="140"/>
      <c r="Q976" s="140" t="s">
        <v>29</v>
      </c>
      <c r="R976" s="143">
        <f>PRODUCT(0.25,J976)</f>
        <v>750</v>
      </c>
      <c r="S976" s="143">
        <f>PRODUCT(1.5,J976)</f>
        <v>4500</v>
      </c>
      <c r="T976" s="143">
        <f>PRODUCT(1.5,J976)</f>
        <v>4500</v>
      </c>
      <c r="U976" s="143">
        <f>PRODUCT(0.5,J976)</f>
        <v>1500</v>
      </c>
      <c r="V976" s="143">
        <f>SUM(R976:U976)</f>
        <v>11250</v>
      </c>
    </row>
    <row r="977" spans="1:22" s="128" customFormat="1" ht="15.6" hidden="1" x14ac:dyDescent="0.3">
      <c r="A977" s="142" t="s">
        <v>477</v>
      </c>
      <c r="B977" s="142">
        <v>364</v>
      </c>
      <c r="C977" s="141">
        <v>45972</v>
      </c>
      <c r="D977" s="140">
        <f>WEEKNUM(C977)</f>
        <v>46</v>
      </c>
      <c r="E977" s="140" t="s">
        <v>475</v>
      </c>
      <c r="F977" s="142" t="s">
        <v>794</v>
      </c>
      <c r="G977" s="142" t="s">
        <v>666</v>
      </c>
      <c r="H977" s="140" t="s">
        <v>494</v>
      </c>
      <c r="I977" s="142" t="s">
        <v>46</v>
      </c>
      <c r="J977" s="157">
        <v>100</v>
      </c>
      <c r="K977" s="143">
        <v>26.5</v>
      </c>
      <c r="L977" s="143">
        <f>J977*K977</f>
        <v>2650</v>
      </c>
      <c r="M977" s="143">
        <v>0</v>
      </c>
      <c r="N977" s="141">
        <v>45972</v>
      </c>
      <c r="O977" s="157">
        <f>WEEKNUM(N977)</f>
        <v>46</v>
      </c>
      <c r="P977" s="140"/>
      <c r="Q977" s="140" t="s">
        <v>29</v>
      </c>
      <c r="R977" s="156">
        <f>PRODUCT(0.25,J977)</f>
        <v>25</v>
      </c>
      <c r="S977" s="143">
        <f>PRODUCT(1.5,J977)</f>
        <v>150</v>
      </c>
      <c r="T977" s="156">
        <f>PRODUCT(1.5,J977)</f>
        <v>150</v>
      </c>
      <c r="U977" s="156">
        <f>PRODUCT(0.5,J977)</f>
        <v>50</v>
      </c>
      <c r="V977" s="156">
        <f>SUM(R977:U977)</f>
        <v>375</v>
      </c>
    </row>
    <row r="978" spans="1:22" s="128" customFormat="1" ht="15.6" hidden="1" x14ac:dyDescent="0.3">
      <c r="A978" s="142" t="s">
        <v>481</v>
      </c>
      <c r="B978" s="142">
        <v>367</v>
      </c>
      <c r="C978" s="141">
        <v>45973</v>
      </c>
      <c r="D978" s="140">
        <f>WEEKNUM(C978)</f>
        <v>46</v>
      </c>
      <c r="E978" s="140" t="s">
        <v>475</v>
      </c>
      <c r="F978" s="142" t="s">
        <v>801</v>
      </c>
      <c r="G978" s="142" t="s">
        <v>515</v>
      </c>
      <c r="H978" s="140" t="s">
        <v>60</v>
      </c>
      <c r="I978" s="142" t="s">
        <v>61</v>
      </c>
      <c r="J978" s="157">
        <v>500</v>
      </c>
      <c r="K978" s="143">
        <v>13.5</v>
      </c>
      <c r="L978" s="143">
        <f>J978*K978</f>
        <v>6750</v>
      </c>
      <c r="M978" s="143">
        <v>0</v>
      </c>
      <c r="N978" s="141">
        <v>45999</v>
      </c>
      <c r="O978" s="157">
        <f>WEEKNUM(N978)</f>
        <v>50</v>
      </c>
      <c r="P978" s="140"/>
      <c r="Q978" s="140" t="s">
        <v>29</v>
      </c>
      <c r="R978" s="143">
        <f>PRODUCT(0.25,J978)</f>
        <v>125</v>
      </c>
      <c r="S978" s="143">
        <f>PRODUCT(1.5,335)</f>
        <v>502.5</v>
      </c>
      <c r="T978" s="143">
        <f>PRODUCT(1.5,J978)</f>
        <v>750</v>
      </c>
      <c r="U978" s="143">
        <f>PRODUCT(0.5,J978)</f>
        <v>250</v>
      </c>
      <c r="V978" s="143">
        <f>SUM(R978:U978)</f>
        <v>1627.5</v>
      </c>
    </row>
    <row r="979" spans="1:22" s="128" customFormat="1" ht="15.6" hidden="1" x14ac:dyDescent="0.3">
      <c r="A979" s="142" t="s">
        <v>477</v>
      </c>
      <c r="B979" s="142">
        <v>990</v>
      </c>
      <c r="C979" s="141">
        <v>45973</v>
      </c>
      <c r="D979" s="140">
        <f>WEEKNUM(C979)</f>
        <v>46</v>
      </c>
      <c r="E979" s="140" t="s">
        <v>475</v>
      </c>
      <c r="F979" s="142" t="s">
        <v>794</v>
      </c>
      <c r="G979" s="142" t="s">
        <v>536</v>
      </c>
      <c r="H979" s="140" t="s">
        <v>494</v>
      </c>
      <c r="I979" s="142" t="s">
        <v>46</v>
      </c>
      <c r="J979" s="157">
        <v>150</v>
      </c>
      <c r="K979" s="143">
        <v>26.5</v>
      </c>
      <c r="L979" s="143">
        <f>J979*K979</f>
        <v>3975</v>
      </c>
      <c r="M979" s="143">
        <v>0</v>
      </c>
      <c r="N979" s="141">
        <v>45975</v>
      </c>
      <c r="O979" s="157">
        <f>WEEKNUM(N979)</f>
        <v>46</v>
      </c>
      <c r="P979" s="140"/>
      <c r="Q979" s="140" t="s">
        <v>29</v>
      </c>
      <c r="R979" s="156">
        <f>PRODUCT(0.25,J979)</f>
        <v>37.5</v>
      </c>
      <c r="S979" s="143">
        <f>PRODUCT(1.5,J979)</f>
        <v>225</v>
      </c>
      <c r="T979" s="156">
        <f>PRODUCT(1.5,J979)</f>
        <v>225</v>
      </c>
      <c r="U979" s="156">
        <f>PRODUCT(0.5,J979)</f>
        <v>75</v>
      </c>
      <c r="V979" s="156">
        <f>SUM(R979:U979)</f>
        <v>562.5</v>
      </c>
    </row>
    <row r="980" spans="1:22" s="128" customFormat="1" ht="15.6" hidden="1" x14ac:dyDescent="0.3">
      <c r="A980" s="142" t="s">
        <v>477</v>
      </c>
      <c r="B980" s="142">
        <v>991</v>
      </c>
      <c r="C980" s="141">
        <v>45973</v>
      </c>
      <c r="D980" s="140">
        <f>WEEKNUM(C980)</f>
        <v>46</v>
      </c>
      <c r="E980" s="140" t="s">
        <v>475</v>
      </c>
      <c r="F980" s="142" t="s">
        <v>794</v>
      </c>
      <c r="G980" s="142" t="s">
        <v>536</v>
      </c>
      <c r="H980" s="140" t="s">
        <v>494</v>
      </c>
      <c r="I980" s="142" t="s">
        <v>46</v>
      </c>
      <c r="J980" s="157">
        <v>50</v>
      </c>
      <c r="K980" s="143">
        <v>26.5</v>
      </c>
      <c r="L980" s="143">
        <f>J980*K980</f>
        <v>1325</v>
      </c>
      <c r="M980" s="143">
        <v>0</v>
      </c>
      <c r="N980" s="141">
        <v>45975</v>
      </c>
      <c r="O980" s="157">
        <f>WEEKNUM(N980)</f>
        <v>46</v>
      </c>
      <c r="P980" s="140"/>
      <c r="Q980" s="140" t="s">
        <v>29</v>
      </c>
      <c r="R980" s="156">
        <f>PRODUCT(0.25,J980)</f>
        <v>12.5</v>
      </c>
      <c r="S980" s="143">
        <f>PRODUCT(1.5,J980)</f>
        <v>75</v>
      </c>
      <c r="T980" s="156">
        <f>PRODUCT(1.5,J980)</f>
        <v>75</v>
      </c>
      <c r="U980" s="156">
        <f>PRODUCT(0.5,J980)</f>
        <v>25</v>
      </c>
      <c r="V980" s="156">
        <f>SUM(R980:U980)</f>
        <v>187.5</v>
      </c>
    </row>
    <row r="981" spans="1:22" s="128" customFormat="1" ht="15.6" hidden="1" x14ac:dyDescent="0.3">
      <c r="A981" s="142" t="s">
        <v>477</v>
      </c>
      <c r="B981" s="142">
        <v>994</v>
      </c>
      <c r="C981" s="141">
        <v>45974</v>
      </c>
      <c r="D981" s="140">
        <f>WEEKNUM(C981)</f>
        <v>46</v>
      </c>
      <c r="E981" s="140" t="s">
        <v>475</v>
      </c>
      <c r="F981" s="140" t="s">
        <v>563</v>
      </c>
      <c r="G981" s="142" t="s">
        <v>487</v>
      </c>
      <c r="H981" s="140" t="s">
        <v>51</v>
      </c>
      <c r="I981" s="142" t="s">
        <v>46</v>
      </c>
      <c r="J981" s="157">
        <v>300</v>
      </c>
      <c r="K981" s="143">
        <v>24.5</v>
      </c>
      <c r="L981" s="143">
        <f>J981*K981</f>
        <v>7350</v>
      </c>
      <c r="M981" s="143">
        <v>0</v>
      </c>
      <c r="N981" s="141">
        <v>46003</v>
      </c>
      <c r="O981" s="157">
        <f>WEEKNUM(N981)</f>
        <v>50</v>
      </c>
      <c r="P981" s="140"/>
      <c r="Q981" s="140" t="s">
        <v>29</v>
      </c>
      <c r="R981" s="156">
        <f>PRODUCT(0.25,J981)</f>
        <v>75</v>
      </c>
      <c r="S981" s="143">
        <f>PRODUCT(1,J981)</f>
        <v>300</v>
      </c>
      <c r="T981" s="156">
        <f>PRODUCT(1.84,J981)</f>
        <v>552</v>
      </c>
      <c r="U981" s="156">
        <f>PRODUCT(0.5,J981)</f>
        <v>150</v>
      </c>
      <c r="V981" s="156">
        <f>SUM(R981:U981)</f>
        <v>1077</v>
      </c>
    </row>
    <row r="982" spans="1:22" s="128" customFormat="1" ht="15.6" hidden="1" x14ac:dyDescent="0.3">
      <c r="A982" s="142" t="s">
        <v>602</v>
      </c>
      <c r="B982" s="142">
        <v>368</v>
      </c>
      <c r="C982" s="141">
        <v>45974</v>
      </c>
      <c r="D982" s="140">
        <f>WEEKNUM(C982)</f>
        <v>46</v>
      </c>
      <c r="E982" s="142" t="s">
        <v>55</v>
      </c>
      <c r="F982" s="142" t="s">
        <v>650</v>
      </c>
      <c r="G982" s="142" t="s">
        <v>651</v>
      </c>
      <c r="H982" s="140" t="s">
        <v>74</v>
      </c>
      <c r="I982" s="142" t="s">
        <v>46</v>
      </c>
      <c r="J982" s="157">
        <v>11</v>
      </c>
      <c r="K982" s="143">
        <v>55</v>
      </c>
      <c r="L982" s="143">
        <f>J982*K982</f>
        <v>605</v>
      </c>
      <c r="M982" s="143">
        <v>0</v>
      </c>
      <c r="N982" s="141">
        <v>45995</v>
      </c>
      <c r="O982" s="157">
        <f>WEEKNUM(N982)</f>
        <v>49</v>
      </c>
      <c r="P982" s="140"/>
      <c r="Q982" s="140" t="s">
        <v>29</v>
      </c>
      <c r="R982" s="156">
        <f>PRODUCT(0.25,J982)</f>
        <v>2.75</v>
      </c>
      <c r="S982" s="143">
        <f>PRODUCT(1.5,J982)</f>
        <v>16.5</v>
      </c>
      <c r="T982" s="156">
        <f>PRODUCT(1.5,J982)</f>
        <v>16.5</v>
      </c>
      <c r="U982" s="156">
        <f>PRODUCT(0.5,J982)</f>
        <v>5.5</v>
      </c>
      <c r="V982" s="156">
        <f>SUM(R982:U982)</f>
        <v>41.25</v>
      </c>
    </row>
    <row r="983" spans="1:22" s="128" customFormat="1" ht="15.6" hidden="1" x14ac:dyDescent="0.3">
      <c r="A983" s="142" t="s">
        <v>481</v>
      </c>
      <c r="B983" s="142">
        <v>369</v>
      </c>
      <c r="C983" s="141">
        <v>45974</v>
      </c>
      <c r="D983" s="140">
        <f>WEEKNUM(C983)</f>
        <v>46</v>
      </c>
      <c r="E983" s="142" t="s">
        <v>498</v>
      </c>
      <c r="F983" s="142" t="s">
        <v>640</v>
      </c>
      <c r="G983" s="142" t="s">
        <v>641</v>
      </c>
      <c r="H983" s="142" t="s">
        <v>642</v>
      </c>
      <c r="I983" s="142" t="s">
        <v>46</v>
      </c>
      <c r="J983" s="157">
        <v>1000</v>
      </c>
      <c r="K983" s="143">
        <v>6.9</v>
      </c>
      <c r="L983" s="143">
        <f>J983*K983</f>
        <v>6900</v>
      </c>
      <c r="M983" s="143">
        <v>0</v>
      </c>
      <c r="N983" s="141">
        <v>46009</v>
      </c>
      <c r="O983" s="157">
        <f>WEEKNUM(N983)</f>
        <v>51</v>
      </c>
      <c r="P983" s="140"/>
      <c r="Q983" s="142" t="s">
        <v>29</v>
      </c>
      <c r="R983" s="143">
        <f>PRODUCT(0.25,J983)</f>
        <v>250</v>
      </c>
      <c r="S983" s="143">
        <f>PRODUCT(1.5,J983)</f>
        <v>1500</v>
      </c>
      <c r="T983" s="143">
        <f>PRODUCT(1.5,J983)</f>
        <v>1500</v>
      </c>
      <c r="U983" s="143">
        <f>PRODUCT(0.5,J983)</f>
        <v>500</v>
      </c>
      <c r="V983" s="143">
        <f>SUM(R983:U983)</f>
        <v>3750</v>
      </c>
    </row>
    <row r="984" spans="1:22" s="128" customFormat="1" ht="15.6" hidden="1" x14ac:dyDescent="0.3">
      <c r="A984" s="142" t="s">
        <v>477</v>
      </c>
      <c r="B984" s="142">
        <v>999</v>
      </c>
      <c r="C984" s="141">
        <v>45975</v>
      </c>
      <c r="D984" s="140">
        <f>WEEKNUM(C984)</f>
        <v>46</v>
      </c>
      <c r="E984" s="140" t="s">
        <v>475</v>
      </c>
      <c r="F984" s="140" t="s">
        <v>568</v>
      </c>
      <c r="G984" s="142" t="s">
        <v>70</v>
      </c>
      <c r="H984" s="140" t="s">
        <v>74</v>
      </c>
      <c r="I984" s="142" t="s">
        <v>46</v>
      </c>
      <c r="J984" s="157">
        <v>600</v>
      </c>
      <c r="K984" s="143">
        <v>25.5</v>
      </c>
      <c r="L984" s="143">
        <f>J984*K984</f>
        <v>15300</v>
      </c>
      <c r="M984" s="143">
        <v>0</v>
      </c>
      <c r="N984" s="141">
        <v>46009</v>
      </c>
      <c r="O984" s="157">
        <f>WEEKNUM(N984)</f>
        <v>51</v>
      </c>
      <c r="P984" s="140"/>
      <c r="Q984" s="142" t="s">
        <v>29</v>
      </c>
      <c r="R984" s="156">
        <f>PRODUCT(0.25,J984)</f>
        <v>150</v>
      </c>
      <c r="S984" s="143">
        <f>PRODUCT(1.5,J984)</f>
        <v>900</v>
      </c>
      <c r="T984" s="156">
        <f>PRODUCT(1.5,J984)</f>
        <v>900</v>
      </c>
      <c r="U984" s="156">
        <f>PRODUCT(0.5,J984)</f>
        <v>300</v>
      </c>
      <c r="V984" s="156">
        <f>SUM(R984:U984)</f>
        <v>2250</v>
      </c>
    </row>
    <row r="985" spans="1:22" s="128" customFormat="1" ht="15.6" hidden="1" x14ac:dyDescent="0.3">
      <c r="A985" s="142" t="s">
        <v>477</v>
      </c>
      <c r="B985" s="142">
        <v>982</v>
      </c>
      <c r="C985" s="141">
        <v>45975</v>
      </c>
      <c r="D985" s="140">
        <f>WEEKNUM(C985)</f>
        <v>46</v>
      </c>
      <c r="E985" s="140" t="s">
        <v>475</v>
      </c>
      <c r="F985" s="140" t="s">
        <v>568</v>
      </c>
      <c r="G985" s="142" t="s">
        <v>576</v>
      </c>
      <c r="H985" s="142" t="s">
        <v>577</v>
      </c>
      <c r="I985" s="142" t="s">
        <v>46</v>
      </c>
      <c r="J985" s="157">
        <v>12</v>
      </c>
      <c r="K985" s="143">
        <v>199</v>
      </c>
      <c r="L985" s="143">
        <f>J985*K985</f>
        <v>2388</v>
      </c>
      <c r="M985" s="143">
        <v>0</v>
      </c>
      <c r="N985" s="141">
        <v>46009</v>
      </c>
      <c r="O985" s="157">
        <f>WEEKNUM(N985)</f>
        <v>51</v>
      </c>
      <c r="P985" s="140"/>
      <c r="Q985" s="140" t="s">
        <v>29</v>
      </c>
      <c r="R985" s="156"/>
      <c r="S985" s="143"/>
      <c r="T985" s="156"/>
      <c r="U985" s="156"/>
      <c r="V985" s="156"/>
    </row>
    <row r="986" spans="1:22" s="128" customFormat="1" ht="15.6" hidden="1" x14ac:dyDescent="0.3">
      <c r="A986" s="142" t="s">
        <v>477</v>
      </c>
      <c r="B986" s="142">
        <v>371</v>
      </c>
      <c r="C986" s="141">
        <v>45975</v>
      </c>
      <c r="D986" s="140">
        <f>WEEKNUM(C986)</f>
        <v>46</v>
      </c>
      <c r="E986" s="140" t="s">
        <v>475</v>
      </c>
      <c r="F986" s="142" t="s">
        <v>746</v>
      </c>
      <c r="G986" s="142" t="s">
        <v>506</v>
      </c>
      <c r="H986" s="140" t="s">
        <v>74</v>
      </c>
      <c r="I986" s="142" t="s">
        <v>46</v>
      </c>
      <c r="J986" s="157">
        <v>130</v>
      </c>
      <c r="K986" s="143">
        <v>28</v>
      </c>
      <c r="L986" s="143">
        <f>J986*K986</f>
        <v>3640</v>
      </c>
      <c r="M986" s="143">
        <v>0</v>
      </c>
      <c r="N986" s="141">
        <v>45988</v>
      </c>
      <c r="O986" s="157">
        <f>WEEKNUM(N986)</f>
        <v>48</v>
      </c>
      <c r="P986" s="140"/>
      <c r="Q986" s="140" t="s">
        <v>29</v>
      </c>
      <c r="R986" s="156">
        <f>PRODUCT(0.25,J986)</f>
        <v>32.5</v>
      </c>
      <c r="S986" s="143">
        <f>PRODUCT(1.5,J986)</f>
        <v>195</v>
      </c>
      <c r="T986" s="156">
        <f>PRODUCT(1.5,J986)</f>
        <v>195</v>
      </c>
      <c r="U986" s="156">
        <f>PRODUCT(0.5,J986)</f>
        <v>65</v>
      </c>
      <c r="V986" s="156">
        <f>SUM(R986:U986)</f>
        <v>487.5</v>
      </c>
    </row>
    <row r="987" spans="1:22" s="128" customFormat="1" ht="15.6" hidden="1" x14ac:dyDescent="0.3">
      <c r="A987" s="142" t="s">
        <v>481</v>
      </c>
      <c r="B987" s="142">
        <v>370</v>
      </c>
      <c r="C987" s="141">
        <v>45975</v>
      </c>
      <c r="D987" s="140">
        <f>WEEKNUM(C987)</f>
        <v>46</v>
      </c>
      <c r="E987" s="140" t="s">
        <v>475</v>
      </c>
      <c r="F987" s="142" t="s">
        <v>607</v>
      </c>
      <c r="G987" s="142" t="s">
        <v>608</v>
      </c>
      <c r="H987" s="140" t="s">
        <v>74</v>
      </c>
      <c r="I987" s="142" t="s">
        <v>46</v>
      </c>
      <c r="J987" s="157">
        <v>46</v>
      </c>
      <c r="K987" s="143">
        <v>37.6</v>
      </c>
      <c r="L987" s="143">
        <f>J987*K987</f>
        <v>1729.6000000000001</v>
      </c>
      <c r="M987" s="143">
        <v>0</v>
      </c>
      <c r="N987" s="141">
        <v>46006</v>
      </c>
      <c r="O987" s="157">
        <f>WEEKNUM(N987)</f>
        <v>51</v>
      </c>
      <c r="P987" s="140"/>
      <c r="Q987" s="142" t="s">
        <v>29</v>
      </c>
      <c r="R987" s="156">
        <f>PRODUCT(0.25,J987)</f>
        <v>11.5</v>
      </c>
      <c r="S987" s="143">
        <f>PRODUCT(1.5,J987)</f>
        <v>69</v>
      </c>
      <c r="T987" s="156">
        <f>PRODUCT(1.5,J987)</f>
        <v>69</v>
      </c>
      <c r="U987" s="156">
        <f>PRODUCT(0.5,J987)</f>
        <v>23</v>
      </c>
      <c r="V987" s="156">
        <f>SUM(R987:U987)</f>
        <v>172.5</v>
      </c>
    </row>
    <row r="988" spans="1:22" s="128" customFormat="1" ht="15.6" hidden="1" x14ac:dyDescent="0.3">
      <c r="A988" s="142" t="s">
        <v>481</v>
      </c>
      <c r="B988" s="142">
        <v>370</v>
      </c>
      <c r="C988" s="141">
        <v>45975</v>
      </c>
      <c r="D988" s="140">
        <f>WEEKNUM(C988)</f>
        <v>46</v>
      </c>
      <c r="E988" s="140" t="s">
        <v>475</v>
      </c>
      <c r="F988" s="142" t="s">
        <v>607</v>
      </c>
      <c r="G988" s="142" t="s">
        <v>609</v>
      </c>
      <c r="H988" s="140" t="s">
        <v>74</v>
      </c>
      <c r="I988" s="142" t="s">
        <v>46</v>
      </c>
      <c r="J988" s="157">
        <v>4</v>
      </c>
      <c r="K988" s="143">
        <v>47.6</v>
      </c>
      <c r="L988" s="143">
        <f>J988*K988</f>
        <v>190.4</v>
      </c>
      <c r="M988" s="143">
        <v>0</v>
      </c>
      <c r="N988" s="141">
        <v>46006</v>
      </c>
      <c r="O988" s="157">
        <f>WEEKNUM(N988)</f>
        <v>51</v>
      </c>
      <c r="P988" s="140"/>
      <c r="Q988" s="142" t="s">
        <v>29</v>
      </c>
      <c r="R988" s="156">
        <f>PRODUCT(0.25,J988)</f>
        <v>1</v>
      </c>
      <c r="S988" s="143">
        <f>PRODUCT(1.5,J988)</f>
        <v>6</v>
      </c>
      <c r="T988" s="156">
        <f>PRODUCT(1.5,J988)</f>
        <v>6</v>
      </c>
      <c r="U988" s="156">
        <f>PRODUCT(0.5,J988)</f>
        <v>2</v>
      </c>
      <c r="V988" s="156">
        <f>SUM(R988:U988)</f>
        <v>15</v>
      </c>
    </row>
    <row r="989" spans="1:22" s="128" customFormat="1" ht="15.6" hidden="1" x14ac:dyDescent="0.3">
      <c r="A989" s="142" t="s">
        <v>602</v>
      </c>
      <c r="B989" s="142">
        <v>374</v>
      </c>
      <c r="C989" s="141">
        <v>45978</v>
      </c>
      <c r="D989" s="140">
        <f>WEEKNUM(C989)</f>
        <v>47</v>
      </c>
      <c r="E989" s="140" t="s">
        <v>475</v>
      </c>
      <c r="F989" s="142" t="s">
        <v>728</v>
      </c>
      <c r="G989" s="142" t="s">
        <v>695</v>
      </c>
      <c r="H989" s="142" t="s">
        <v>304</v>
      </c>
      <c r="I989" s="142" t="s">
        <v>46</v>
      </c>
      <c r="J989" s="157">
        <v>300</v>
      </c>
      <c r="K989" s="143">
        <v>13</v>
      </c>
      <c r="L989" s="143">
        <v>3900</v>
      </c>
      <c r="M989" s="143">
        <v>0</v>
      </c>
      <c r="N989" s="141">
        <v>46001</v>
      </c>
      <c r="O989" s="157">
        <f>WEEKNUM(N989)</f>
        <v>50</v>
      </c>
      <c r="P989" s="140"/>
      <c r="Q989" s="140" t="s">
        <v>29</v>
      </c>
      <c r="R989" s="143">
        <f>PRODUCT(0.25,J989)</f>
        <v>75</v>
      </c>
      <c r="S989" s="143">
        <f>PRODUCT(1.5,J989)</f>
        <v>450</v>
      </c>
      <c r="T989" s="143">
        <f>PRODUCT(1.5,J989)</f>
        <v>450</v>
      </c>
      <c r="U989" s="143">
        <f>PRODUCT(0.5,J989)</f>
        <v>150</v>
      </c>
      <c r="V989" s="143">
        <f>SUM(R989:U989)</f>
        <v>1125</v>
      </c>
    </row>
    <row r="990" spans="1:22" s="128" customFormat="1" ht="15.6" hidden="1" x14ac:dyDescent="0.3">
      <c r="A990" s="142" t="s">
        <v>602</v>
      </c>
      <c r="B990" s="142">
        <v>373</v>
      </c>
      <c r="C990" s="141">
        <v>45978</v>
      </c>
      <c r="D990" s="140">
        <f>WEEKNUM(C990)</f>
        <v>47</v>
      </c>
      <c r="E990" s="140" t="s">
        <v>475</v>
      </c>
      <c r="F990" s="142" t="s">
        <v>798</v>
      </c>
      <c r="G990" s="142" t="s">
        <v>311</v>
      </c>
      <c r="H990" s="140" t="s">
        <v>51</v>
      </c>
      <c r="I990" s="142" t="s">
        <v>46</v>
      </c>
      <c r="J990" s="157">
        <v>50</v>
      </c>
      <c r="K990" s="143">
        <v>20</v>
      </c>
      <c r="L990" s="143">
        <f>J990*K990</f>
        <v>1000</v>
      </c>
      <c r="M990" s="143">
        <v>0</v>
      </c>
      <c r="N990" s="141">
        <v>46006</v>
      </c>
      <c r="O990" s="157">
        <f>WEEKNUM(N990)</f>
        <v>51</v>
      </c>
      <c r="P990" s="140"/>
      <c r="Q990" s="142" t="s">
        <v>29</v>
      </c>
      <c r="R990" s="156">
        <f>PRODUCT(0.25,J990)</f>
        <v>12.5</v>
      </c>
      <c r="S990" s="143">
        <f>PRODUCT(0.7,J990)</f>
        <v>35</v>
      </c>
      <c r="T990" s="156">
        <f>PRODUCT(1.5,J990)</f>
        <v>75</v>
      </c>
      <c r="U990" s="156">
        <f>PRODUCT(0.5,J990)</f>
        <v>25</v>
      </c>
      <c r="V990" s="156">
        <f>SUM(R990:U990)</f>
        <v>147.5</v>
      </c>
    </row>
    <row r="991" spans="1:22" s="128" customFormat="1" ht="15.6" hidden="1" x14ac:dyDescent="0.3">
      <c r="A991" s="142" t="s">
        <v>602</v>
      </c>
      <c r="B991" s="142">
        <v>373</v>
      </c>
      <c r="C991" s="141">
        <v>45978</v>
      </c>
      <c r="D991" s="140">
        <f>WEEKNUM(C991)</f>
        <v>47</v>
      </c>
      <c r="E991" s="140" t="s">
        <v>475</v>
      </c>
      <c r="F991" s="142" t="s">
        <v>798</v>
      </c>
      <c r="G991" s="142" t="s">
        <v>800</v>
      </c>
      <c r="H991" s="140" t="s">
        <v>494</v>
      </c>
      <c r="I991" s="142" t="s">
        <v>46</v>
      </c>
      <c r="J991" s="157">
        <v>100</v>
      </c>
      <c r="K991" s="143">
        <v>18</v>
      </c>
      <c r="L991" s="143">
        <f>J991*K991</f>
        <v>1800</v>
      </c>
      <c r="M991" s="143">
        <v>0</v>
      </c>
      <c r="N991" s="141">
        <v>46006</v>
      </c>
      <c r="O991" s="157">
        <f>WEEKNUM(N991)</f>
        <v>51</v>
      </c>
      <c r="P991" s="140"/>
      <c r="Q991" s="142" t="s">
        <v>29</v>
      </c>
      <c r="R991" s="156">
        <f>PRODUCT(0.25,J991)</f>
        <v>25</v>
      </c>
      <c r="S991" s="143">
        <f>PRODUCT(1.5,J991)</f>
        <v>150</v>
      </c>
      <c r="T991" s="156">
        <f>PRODUCT(1.5,J991)</f>
        <v>150</v>
      </c>
      <c r="U991" s="156">
        <f>PRODUCT(0.5,J991)</f>
        <v>50</v>
      </c>
      <c r="V991" s="156">
        <f>SUM(R991:U991)</f>
        <v>375</v>
      </c>
    </row>
    <row r="992" spans="1:22" s="128" customFormat="1" ht="15.6" hidden="1" x14ac:dyDescent="0.3">
      <c r="A992" s="142" t="s">
        <v>491</v>
      </c>
      <c r="B992" s="142">
        <v>998</v>
      </c>
      <c r="C992" s="141">
        <v>45978</v>
      </c>
      <c r="D992" s="140">
        <f>WEEKNUM(C992)</f>
        <v>47</v>
      </c>
      <c r="E992" s="142" t="s">
        <v>498</v>
      </c>
      <c r="F992" s="140" t="s">
        <v>459</v>
      </c>
      <c r="G992" s="142" t="s">
        <v>215</v>
      </c>
      <c r="H992" s="140" t="s">
        <v>74</v>
      </c>
      <c r="I992" s="142" t="s">
        <v>46</v>
      </c>
      <c r="J992" s="157">
        <v>300</v>
      </c>
      <c r="K992" s="143">
        <v>24.5</v>
      </c>
      <c r="L992" s="143">
        <f>J992*K992</f>
        <v>7350</v>
      </c>
      <c r="M992" s="143">
        <v>0</v>
      </c>
      <c r="N992" s="141">
        <v>46009</v>
      </c>
      <c r="O992" s="157">
        <f>WEEKNUM(N992)</f>
        <v>51</v>
      </c>
      <c r="P992" s="140"/>
      <c r="Q992" s="142" t="s">
        <v>29</v>
      </c>
      <c r="R992" s="156">
        <f>PRODUCT(0.25,J992)</f>
        <v>75</v>
      </c>
      <c r="S992" s="143">
        <f>PRODUCT(1.5,J992)</f>
        <v>450</v>
      </c>
      <c r="T992" s="156">
        <f>PRODUCT(1.5,J992)</f>
        <v>450</v>
      </c>
      <c r="U992" s="156">
        <f>PRODUCT(0.5,J992)</f>
        <v>150</v>
      </c>
      <c r="V992" s="156">
        <f>SUM(R992:U992)</f>
        <v>1125</v>
      </c>
    </row>
    <row r="993" spans="1:22" s="128" customFormat="1" ht="15.6" hidden="1" x14ac:dyDescent="0.3">
      <c r="A993" s="142" t="s">
        <v>477</v>
      </c>
      <c r="B993" s="142">
        <v>372</v>
      </c>
      <c r="C993" s="141">
        <v>45978</v>
      </c>
      <c r="D993" s="140">
        <f>WEEKNUM(C993)</f>
        <v>47</v>
      </c>
      <c r="E993" s="140" t="s">
        <v>475</v>
      </c>
      <c r="F993" s="142" t="s">
        <v>927</v>
      </c>
      <c r="G993" s="142" t="s">
        <v>633</v>
      </c>
      <c r="H993" s="142" t="s">
        <v>304</v>
      </c>
      <c r="I993" s="142" t="s">
        <v>61</v>
      </c>
      <c r="J993" s="157">
        <v>100</v>
      </c>
      <c r="K993" s="143">
        <v>14</v>
      </c>
      <c r="L993" s="143">
        <f>J993*K993</f>
        <v>1400</v>
      </c>
      <c r="M993" s="143">
        <v>0</v>
      </c>
      <c r="N993" s="141">
        <v>46006</v>
      </c>
      <c r="O993" s="157">
        <f>WEEKNUM(N993)</f>
        <v>51</v>
      </c>
      <c r="P993" s="140"/>
      <c r="Q993" s="140" t="s">
        <v>29</v>
      </c>
      <c r="R993" s="143">
        <f>PRODUCT(0.25,J993)</f>
        <v>25</v>
      </c>
      <c r="S993" s="143">
        <f>PRODUCT(1.5,J993)</f>
        <v>150</v>
      </c>
      <c r="T993" s="143">
        <f>PRODUCT(1.5,J993)</f>
        <v>150</v>
      </c>
      <c r="U993" s="143">
        <f>PRODUCT(0.5,J993)</f>
        <v>50</v>
      </c>
      <c r="V993" s="143">
        <f>SUM(R993:U993)</f>
        <v>375</v>
      </c>
    </row>
    <row r="994" spans="1:22" s="128" customFormat="1" ht="15.6" hidden="1" x14ac:dyDescent="0.3">
      <c r="A994" s="142" t="s">
        <v>477</v>
      </c>
      <c r="B994" s="142">
        <v>1002</v>
      </c>
      <c r="C994" s="141">
        <v>45979</v>
      </c>
      <c r="D994" s="140">
        <f>WEEKNUM(C994)</f>
        <v>47</v>
      </c>
      <c r="E994" s="140" t="s">
        <v>475</v>
      </c>
      <c r="F994" s="142" t="s">
        <v>782</v>
      </c>
      <c r="G994" s="142" t="s">
        <v>784</v>
      </c>
      <c r="H994" s="142" t="s">
        <v>304</v>
      </c>
      <c r="I994" s="142" t="s">
        <v>46</v>
      </c>
      <c r="J994" s="157">
        <v>150</v>
      </c>
      <c r="K994" s="143">
        <v>26.5</v>
      </c>
      <c r="L994" s="143">
        <f>J994*K994</f>
        <v>3975</v>
      </c>
      <c r="M994" s="143">
        <v>0</v>
      </c>
      <c r="N994" s="141">
        <v>46028</v>
      </c>
      <c r="O994" s="157">
        <v>50</v>
      </c>
      <c r="P994" s="140"/>
      <c r="Q994" s="142" t="s">
        <v>29</v>
      </c>
      <c r="R994" s="156">
        <f>PRODUCT(0.25,J994)</f>
        <v>37.5</v>
      </c>
      <c r="S994" s="143">
        <f>PRODUCT(1.5,J994)</f>
        <v>225</v>
      </c>
      <c r="T994" s="143">
        <f>PRODUCT(1.5,J994)</f>
        <v>225</v>
      </c>
      <c r="U994" s="156">
        <f>PRODUCT(0.5,J994)</f>
        <v>75</v>
      </c>
      <c r="V994" s="156">
        <f>SUM(R994:U994)</f>
        <v>562.5</v>
      </c>
    </row>
    <row r="995" spans="1:22" s="128" customFormat="1" ht="15.6" hidden="1" x14ac:dyDescent="0.3">
      <c r="A995" s="142" t="s">
        <v>481</v>
      </c>
      <c r="B995" s="142">
        <v>1001</v>
      </c>
      <c r="C995" s="141">
        <v>45979</v>
      </c>
      <c r="D995" s="140">
        <f>WEEKNUM(C995)</f>
        <v>47</v>
      </c>
      <c r="E995" s="140" t="s">
        <v>475</v>
      </c>
      <c r="F995" s="142" t="s">
        <v>209</v>
      </c>
      <c r="G995" s="140" t="s">
        <v>480</v>
      </c>
      <c r="H995" s="140" t="s">
        <v>51</v>
      </c>
      <c r="I995" s="142" t="s">
        <v>46</v>
      </c>
      <c r="J995" s="157">
        <v>100</v>
      </c>
      <c r="K995" s="143">
        <v>15.5</v>
      </c>
      <c r="L995" s="143">
        <f>J995*K995</f>
        <v>1550</v>
      </c>
      <c r="M995" s="143">
        <v>0</v>
      </c>
      <c r="N995" s="141">
        <v>46013</v>
      </c>
      <c r="O995" s="157">
        <f>WEEKNUM(N995)</f>
        <v>52</v>
      </c>
      <c r="P995" s="140"/>
      <c r="Q995" s="142" t="s">
        <v>29</v>
      </c>
      <c r="R995" s="156">
        <f>PRODUCT(0.25,J995)</f>
        <v>25</v>
      </c>
      <c r="S995" s="143">
        <f>PRODUCT(1.5,J995)</f>
        <v>150</v>
      </c>
      <c r="T995" s="143">
        <f>PRODUCT(1.5,J995)</f>
        <v>150</v>
      </c>
      <c r="U995" s="156">
        <f>PRODUCT(0.5,J995)</f>
        <v>50</v>
      </c>
      <c r="V995" s="156">
        <f>SUM(R995:U995)</f>
        <v>375</v>
      </c>
    </row>
    <row r="996" spans="1:22" s="128" customFormat="1" ht="15.6" hidden="1" x14ac:dyDescent="0.3">
      <c r="A996" s="142" t="s">
        <v>481</v>
      </c>
      <c r="B996" s="142">
        <v>1001</v>
      </c>
      <c r="C996" s="141">
        <v>45979</v>
      </c>
      <c r="D996" s="140">
        <f>WEEKNUM(C996)</f>
        <v>47</v>
      </c>
      <c r="E996" s="140" t="s">
        <v>475</v>
      </c>
      <c r="F996" s="142" t="s">
        <v>209</v>
      </c>
      <c r="G996" s="140" t="s">
        <v>658</v>
      </c>
      <c r="H996" s="142" t="s">
        <v>304</v>
      </c>
      <c r="I996" s="142" t="s">
        <v>46</v>
      </c>
      <c r="J996" s="157">
        <v>100</v>
      </c>
      <c r="K996" s="143">
        <v>11.9</v>
      </c>
      <c r="L996" s="143">
        <f>J996*K996</f>
        <v>1190</v>
      </c>
      <c r="M996" s="143">
        <v>0</v>
      </c>
      <c r="N996" s="141">
        <v>46013</v>
      </c>
      <c r="O996" s="157">
        <f>WEEKNUM(N996)</f>
        <v>52</v>
      </c>
      <c r="P996" s="140"/>
      <c r="Q996" s="142" t="s">
        <v>29</v>
      </c>
      <c r="R996" s="156">
        <f>PRODUCT(0.25,J996)</f>
        <v>25</v>
      </c>
      <c r="S996" s="143">
        <f>PRODUCT(1.5,J996)</f>
        <v>150</v>
      </c>
      <c r="T996" s="143">
        <f>PRODUCT(1.5,J996)</f>
        <v>150</v>
      </c>
      <c r="U996" s="156">
        <f>PRODUCT(0.5,J996)</f>
        <v>50</v>
      </c>
      <c r="V996" s="156">
        <f>SUM(R996:U996)</f>
        <v>375</v>
      </c>
    </row>
    <row r="997" spans="1:22" s="128" customFormat="1" ht="15.6" hidden="1" x14ac:dyDescent="0.3">
      <c r="A997" s="142" t="s">
        <v>477</v>
      </c>
      <c r="B997" s="142">
        <v>1003</v>
      </c>
      <c r="C997" s="141">
        <v>45979</v>
      </c>
      <c r="D997" s="140">
        <f>WEEKNUM(C997)</f>
        <v>47</v>
      </c>
      <c r="E997" s="140" t="s">
        <v>475</v>
      </c>
      <c r="F997" s="140" t="s">
        <v>940</v>
      </c>
      <c r="G997" s="142" t="s">
        <v>946</v>
      </c>
      <c r="H997" s="140" t="s">
        <v>51</v>
      </c>
      <c r="I997" s="142" t="s">
        <v>61</v>
      </c>
      <c r="J997" s="157">
        <v>100</v>
      </c>
      <c r="K997" s="143">
        <v>40</v>
      </c>
      <c r="L997" s="143">
        <f>J997*K997</f>
        <v>4000</v>
      </c>
      <c r="M997" s="143">
        <v>0</v>
      </c>
      <c r="N997" s="141">
        <v>46008</v>
      </c>
      <c r="O997" s="157">
        <f>WEEKNUM(N997)</f>
        <v>51</v>
      </c>
      <c r="P997" s="140"/>
      <c r="Q997" s="142" t="s">
        <v>29</v>
      </c>
      <c r="R997" s="156">
        <f>PRODUCT(0.25,J997)</f>
        <v>25</v>
      </c>
      <c r="S997" s="143">
        <f>PRODUCT(1.5,J997)</f>
        <v>150</v>
      </c>
      <c r="T997" s="156">
        <f>PRODUCT(1.5,J997)</f>
        <v>150</v>
      </c>
      <c r="U997" s="156">
        <f>PRODUCT(0.5,J997)</f>
        <v>50</v>
      </c>
      <c r="V997" s="156">
        <f>SUM(R997:U997)</f>
        <v>375</v>
      </c>
    </row>
    <row r="998" spans="1:22" s="128" customFormat="1" ht="15.6" hidden="1" x14ac:dyDescent="0.3">
      <c r="A998" s="142" t="s">
        <v>477</v>
      </c>
      <c r="B998" s="142">
        <v>1003</v>
      </c>
      <c r="C998" s="141">
        <v>45979</v>
      </c>
      <c r="D998" s="140">
        <f>WEEKNUM(C998)</f>
        <v>47</v>
      </c>
      <c r="E998" s="140" t="s">
        <v>475</v>
      </c>
      <c r="F998" s="140" t="s">
        <v>940</v>
      </c>
      <c r="G998" s="140" t="s">
        <v>480</v>
      </c>
      <c r="H998" s="140" t="s">
        <v>51</v>
      </c>
      <c r="I998" s="142" t="s">
        <v>46</v>
      </c>
      <c r="J998" s="157">
        <v>400</v>
      </c>
      <c r="K998" s="143">
        <v>19.5</v>
      </c>
      <c r="L998" s="143">
        <f>J998*K998</f>
        <v>7800</v>
      </c>
      <c r="M998" s="143">
        <v>0</v>
      </c>
      <c r="N998" s="141">
        <v>46008</v>
      </c>
      <c r="O998" s="157">
        <f>WEEKNUM(N998)</f>
        <v>51</v>
      </c>
      <c r="P998" s="140"/>
      <c r="Q998" s="142" t="s">
        <v>29</v>
      </c>
      <c r="R998" s="156">
        <f>PRODUCT(0.25,J998)</f>
        <v>100</v>
      </c>
      <c r="S998" s="143">
        <f>PRODUCT(1.5,J998)</f>
        <v>600</v>
      </c>
      <c r="T998" s="143">
        <f>PRODUCT(1.5,J998)</f>
        <v>600</v>
      </c>
      <c r="U998" s="156">
        <f>PRODUCT(0.5,J998)</f>
        <v>200</v>
      </c>
      <c r="V998" s="156">
        <f>SUM(R998:U998)</f>
        <v>1500</v>
      </c>
    </row>
    <row r="999" spans="1:22" s="128" customFormat="1" ht="15.6" hidden="1" x14ac:dyDescent="0.3">
      <c r="A999" s="142" t="s">
        <v>477</v>
      </c>
      <c r="B999" s="142">
        <v>1003</v>
      </c>
      <c r="C999" s="141">
        <v>45979</v>
      </c>
      <c r="D999" s="140">
        <f>WEEKNUM(C999)</f>
        <v>47</v>
      </c>
      <c r="E999" s="140" t="s">
        <v>475</v>
      </c>
      <c r="F999" s="140" t="s">
        <v>940</v>
      </c>
      <c r="G999" s="142" t="s">
        <v>546</v>
      </c>
      <c r="H999" s="140" t="s">
        <v>494</v>
      </c>
      <c r="I999" s="142" t="s">
        <v>46</v>
      </c>
      <c r="J999" s="157">
        <v>100</v>
      </c>
      <c r="K999" s="143">
        <v>17</v>
      </c>
      <c r="L999" s="143">
        <f>J999*K999</f>
        <v>1700</v>
      </c>
      <c r="M999" s="143">
        <v>0</v>
      </c>
      <c r="N999" s="141">
        <v>46008</v>
      </c>
      <c r="O999" s="157">
        <f>WEEKNUM(N999)</f>
        <v>51</v>
      </c>
      <c r="P999" s="140"/>
      <c r="Q999" s="142" t="s">
        <v>29</v>
      </c>
      <c r="R999" s="156">
        <f>PRODUCT(0.25,J999)</f>
        <v>25</v>
      </c>
      <c r="S999" s="143">
        <f>PRODUCT(1.5,J999)</f>
        <v>150</v>
      </c>
      <c r="T999" s="156">
        <f>PRODUCT(1.5,J999)</f>
        <v>150</v>
      </c>
      <c r="U999" s="156">
        <f>PRODUCT(0.5,J999)</f>
        <v>50</v>
      </c>
      <c r="V999" s="156">
        <f>SUM(R999:U999)</f>
        <v>375</v>
      </c>
    </row>
    <row r="1000" spans="1:22" s="128" customFormat="1" ht="15.6" hidden="1" x14ac:dyDescent="0.3">
      <c r="A1000" s="142" t="s">
        <v>481</v>
      </c>
      <c r="B1000" s="142">
        <v>377</v>
      </c>
      <c r="C1000" s="141">
        <v>45980</v>
      </c>
      <c r="D1000" s="140">
        <f>WEEKNUM(C1000)</f>
        <v>47</v>
      </c>
      <c r="E1000" s="140" t="s">
        <v>475</v>
      </c>
      <c r="F1000" s="142" t="s">
        <v>632</v>
      </c>
      <c r="G1000" s="142" t="s">
        <v>633</v>
      </c>
      <c r="H1000" s="142" t="s">
        <v>42</v>
      </c>
      <c r="I1000" s="142" t="s">
        <v>61</v>
      </c>
      <c r="J1000" s="157">
        <v>100</v>
      </c>
      <c r="K1000" s="143">
        <v>14.5</v>
      </c>
      <c r="L1000" s="143">
        <f>J1000*K1000</f>
        <v>1450</v>
      </c>
      <c r="M1000" s="143">
        <v>0</v>
      </c>
      <c r="N1000" s="141">
        <v>45995</v>
      </c>
      <c r="O1000" s="157">
        <f>WEEKNUM(N1000)</f>
        <v>49</v>
      </c>
      <c r="P1000" s="140"/>
      <c r="Q1000" s="140" t="s">
        <v>29</v>
      </c>
      <c r="R1000" s="143">
        <f>PRODUCT(0.25,J1000)</f>
        <v>25</v>
      </c>
      <c r="S1000" s="143">
        <f>PRODUCT(1.5,J1000)</f>
        <v>150</v>
      </c>
      <c r="T1000" s="143">
        <f>PRODUCT(1.5,J1000)</f>
        <v>150</v>
      </c>
      <c r="U1000" s="143">
        <f>PRODUCT(0.5,J1000)</f>
        <v>50</v>
      </c>
      <c r="V1000" s="143">
        <f>SUM(R1000:U1000)</f>
        <v>375</v>
      </c>
    </row>
    <row r="1001" spans="1:22" s="128" customFormat="1" ht="15.6" hidden="1" x14ac:dyDescent="0.3">
      <c r="A1001" s="142" t="s">
        <v>477</v>
      </c>
      <c r="B1001" s="142">
        <v>1005</v>
      </c>
      <c r="C1001" s="141">
        <v>45980</v>
      </c>
      <c r="D1001" s="140">
        <f>WEEKNUM(C1001)</f>
        <v>47</v>
      </c>
      <c r="E1001" s="140" t="s">
        <v>475</v>
      </c>
      <c r="F1001" s="142" t="s">
        <v>888</v>
      </c>
      <c r="G1001" s="142" t="s">
        <v>784</v>
      </c>
      <c r="H1001" s="142" t="s">
        <v>42</v>
      </c>
      <c r="I1001" s="142" t="s">
        <v>46</v>
      </c>
      <c r="J1001" s="157">
        <v>500</v>
      </c>
      <c r="K1001" s="143">
        <v>26.5</v>
      </c>
      <c r="L1001" s="143">
        <f>J1001*K1001</f>
        <v>13250</v>
      </c>
      <c r="M1001" s="143">
        <v>0</v>
      </c>
      <c r="N1001" s="141">
        <v>46028</v>
      </c>
      <c r="O1001" s="157">
        <v>50</v>
      </c>
      <c r="P1001" s="140"/>
      <c r="Q1001" s="142" t="s">
        <v>29</v>
      </c>
      <c r="R1001" s="143">
        <f>PRODUCT(0.25,J1001)</f>
        <v>125</v>
      </c>
      <c r="S1001" s="143">
        <f>PRODUCT(1.5,J1001)</f>
        <v>750</v>
      </c>
      <c r="T1001" s="143">
        <f>PRODUCT(1.5,J1001)</f>
        <v>750</v>
      </c>
      <c r="U1001" s="143">
        <f>PRODUCT(0.5,J1001)</f>
        <v>250</v>
      </c>
      <c r="V1001" s="143">
        <f>SUM(R1001:U1001)</f>
        <v>1875</v>
      </c>
    </row>
    <row r="1002" spans="1:22" s="128" customFormat="1" ht="15.6" hidden="1" x14ac:dyDescent="0.3">
      <c r="A1002" s="142" t="s">
        <v>602</v>
      </c>
      <c r="B1002" s="142">
        <v>379</v>
      </c>
      <c r="C1002" s="141">
        <v>45982</v>
      </c>
      <c r="D1002" s="140">
        <f>WEEKNUM(C1002)</f>
        <v>47</v>
      </c>
      <c r="E1002" s="142" t="s">
        <v>68</v>
      </c>
      <c r="F1002" s="142" t="s">
        <v>390</v>
      </c>
      <c r="G1002" s="142" t="s">
        <v>339</v>
      </c>
      <c r="H1002" s="142" t="s">
        <v>340</v>
      </c>
      <c r="I1002" s="142" t="s">
        <v>46</v>
      </c>
      <c r="J1002" s="157">
        <v>3</v>
      </c>
      <c r="K1002" s="143">
        <v>65</v>
      </c>
      <c r="L1002" s="143">
        <f>J1002*K1002</f>
        <v>195</v>
      </c>
      <c r="M1002" s="143">
        <v>0</v>
      </c>
      <c r="N1002" s="141">
        <v>46010</v>
      </c>
      <c r="O1002" s="157">
        <f>WEEKNUM(N1002)</f>
        <v>51</v>
      </c>
      <c r="P1002" s="140"/>
      <c r="Q1002" s="140" t="s">
        <v>29</v>
      </c>
      <c r="R1002" s="143">
        <f>PRODUCT(0.25,J1002)</f>
        <v>0.75</v>
      </c>
      <c r="S1002" s="143">
        <f>PRODUCT(1.5,J1002)</f>
        <v>4.5</v>
      </c>
      <c r="T1002" s="143">
        <f>PRODUCT(1.5,J1002)</f>
        <v>4.5</v>
      </c>
      <c r="U1002" s="143">
        <f>PRODUCT(0.5,J1002)</f>
        <v>1.5</v>
      </c>
      <c r="V1002" s="143">
        <f>SUM(R1002:U1002)</f>
        <v>11.25</v>
      </c>
    </row>
    <row r="1003" spans="1:22" s="128" customFormat="1" ht="15.6" hidden="1" x14ac:dyDescent="0.3">
      <c r="A1003" s="142" t="s">
        <v>602</v>
      </c>
      <c r="B1003" s="142">
        <v>379</v>
      </c>
      <c r="C1003" s="141">
        <v>45982</v>
      </c>
      <c r="D1003" s="140">
        <f>WEEKNUM(C1003)</f>
        <v>47</v>
      </c>
      <c r="E1003" s="142" t="s">
        <v>68</v>
      </c>
      <c r="F1003" s="142" t="s">
        <v>390</v>
      </c>
      <c r="G1003" s="140" t="s">
        <v>503</v>
      </c>
      <c r="H1003" s="142" t="s">
        <v>354</v>
      </c>
      <c r="I1003" s="142" t="s">
        <v>46</v>
      </c>
      <c r="J1003" s="157">
        <v>6</v>
      </c>
      <c r="K1003" s="143">
        <v>36.75</v>
      </c>
      <c r="L1003" s="143">
        <f>J1003*K1003</f>
        <v>220.5</v>
      </c>
      <c r="M1003" s="143">
        <v>0</v>
      </c>
      <c r="N1003" s="141">
        <v>46010</v>
      </c>
      <c r="O1003" s="157">
        <f>WEEKNUM(N1003)</f>
        <v>51</v>
      </c>
      <c r="P1003" s="140"/>
      <c r="Q1003" s="140" t="s">
        <v>29</v>
      </c>
      <c r="R1003" s="143">
        <f>PRODUCT(0.25,J1003)</f>
        <v>1.5</v>
      </c>
      <c r="S1003" s="143">
        <f>PRODUCT(1.5,J1003)</f>
        <v>9</v>
      </c>
      <c r="T1003" s="143">
        <f>PRODUCT(1.5,J1003)</f>
        <v>9</v>
      </c>
      <c r="U1003" s="143">
        <f>PRODUCT(0.5,J1003)</f>
        <v>3</v>
      </c>
      <c r="V1003" s="143">
        <f>SUM(R1003:U1003)</f>
        <v>22.5</v>
      </c>
    </row>
    <row r="1004" spans="1:22" s="128" customFormat="1" ht="15.6" hidden="1" x14ac:dyDescent="0.3">
      <c r="A1004" s="142" t="s">
        <v>602</v>
      </c>
      <c r="B1004" s="142">
        <v>379</v>
      </c>
      <c r="C1004" s="141">
        <v>45982</v>
      </c>
      <c r="D1004" s="140">
        <f>WEEKNUM(C1004)</f>
        <v>47</v>
      </c>
      <c r="E1004" s="142" t="s">
        <v>68</v>
      </c>
      <c r="F1004" s="142" t="s">
        <v>390</v>
      </c>
      <c r="G1004" s="142" t="s">
        <v>651</v>
      </c>
      <c r="H1004" s="140" t="s">
        <v>74</v>
      </c>
      <c r="I1004" s="142" t="s">
        <v>46</v>
      </c>
      <c r="J1004" s="157">
        <v>1</v>
      </c>
      <c r="K1004" s="143">
        <v>36.75</v>
      </c>
      <c r="L1004" s="143">
        <f>J1004*K1004</f>
        <v>36.75</v>
      </c>
      <c r="M1004" s="143">
        <v>0</v>
      </c>
      <c r="N1004" s="141">
        <v>46010</v>
      </c>
      <c r="O1004" s="157">
        <f>WEEKNUM(N1004)</f>
        <v>51</v>
      </c>
      <c r="P1004" s="140"/>
      <c r="Q1004" s="140" t="s">
        <v>29</v>
      </c>
      <c r="R1004" s="156">
        <f>PRODUCT(0.25,J1004)</f>
        <v>0.25</v>
      </c>
      <c r="S1004" s="143">
        <f>PRODUCT(1.5,J1004)</f>
        <v>1.5</v>
      </c>
      <c r="T1004" s="156">
        <f>PRODUCT(1.5,J1004)</f>
        <v>1.5</v>
      </c>
      <c r="U1004" s="156">
        <f>PRODUCT(0.5,J1004)</f>
        <v>0.5</v>
      </c>
      <c r="V1004" s="156">
        <f>SUM(R1004:U1004)</f>
        <v>3.75</v>
      </c>
    </row>
    <row r="1005" spans="1:22" s="128" customFormat="1" ht="15.6" hidden="1" x14ac:dyDescent="0.3">
      <c r="A1005" s="142" t="s">
        <v>481</v>
      </c>
      <c r="B1005" s="142">
        <v>1006</v>
      </c>
      <c r="C1005" s="141">
        <v>45985</v>
      </c>
      <c r="D1005" s="140">
        <f>WEEKNUM(C1005)</f>
        <v>48</v>
      </c>
      <c r="E1005" s="140" t="s">
        <v>475</v>
      </c>
      <c r="F1005" s="142" t="s">
        <v>1006</v>
      </c>
      <c r="G1005" s="142" t="s">
        <v>515</v>
      </c>
      <c r="H1005" s="140" t="s">
        <v>60</v>
      </c>
      <c r="I1005" s="142" t="s">
        <v>61</v>
      </c>
      <c r="J1005" s="157">
        <v>100</v>
      </c>
      <c r="K1005" s="143">
        <v>14.99</v>
      </c>
      <c r="L1005" s="143">
        <f>J1005*K1005</f>
        <v>1499</v>
      </c>
      <c r="M1005" s="143">
        <v>0</v>
      </c>
      <c r="N1005" s="141">
        <v>46013</v>
      </c>
      <c r="O1005" s="157">
        <f>WEEKNUM(N1005)</f>
        <v>52</v>
      </c>
      <c r="P1005" s="140"/>
      <c r="Q1005" s="142" t="s">
        <v>29</v>
      </c>
      <c r="R1005" s="143">
        <f>PRODUCT(0.25,J1005)</f>
        <v>25</v>
      </c>
      <c r="S1005" s="143">
        <f>PRODUCT(1.5,335)</f>
        <v>502.5</v>
      </c>
      <c r="T1005" s="143">
        <f>PRODUCT(1.5,J1005)</f>
        <v>150</v>
      </c>
      <c r="U1005" s="143">
        <f>PRODUCT(0.5,J1005)</f>
        <v>50</v>
      </c>
      <c r="V1005" s="143">
        <f>SUM(R1005:U1005)</f>
        <v>727.5</v>
      </c>
    </row>
    <row r="1006" spans="1:22" s="128" customFormat="1" ht="15.6" hidden="1" x14ac:dyDescent="0.3">
      <c r="A1006" s="142" t="s">
        <v>491</v>
      </c>
      <c r="B1006" s="142">
        <v>376</v>
      </c>
      <c r="C1006" s="141">
        <v>45985</v>
      </c>
      <c r="D1006" s="140">
        <f>WEEKNUM(C1006)</f>
        <v>48</v>
      </c>
      <c r="E1006" s="140" t="s">
        <v>475</v>
      </c>
      <c r="F1006" s="142" t="s">
        <v>451</v>
      </c>
      <c r="G1006" s="142" t="s">
        <v>487</v>
      </c>
      <c r="H1006" s="140" t="s">
        <v>51</v>
      </c>
      <c r="I1006" s="142" t="s">
        <v>46</v>
      </c>
      <c r="J1006" s="157">
        <v>100</v>
      </c>
      <c r="K1006" s="143">
        <v>23.5</v>
      </c>
      <c r="L1006" s="143">
        <f>J1006*K1006</f>
        <v>2350</v>
      </c>
      <c r="M1006" s="143">
        <v>0</v>
      </c>
      <c r="N1006" s="141">
        <v>45999</v>
      </c>
      <c r="O1006" s="157">
        <f>WEEKNUM(N1006)</f>
        <v>50</v>
      </c>
      <c r="P1006" s="140"/>
      <c r="Q1006" s="142" t="s">
        <v>29</v>
      </c>
      <c r="R1006" s="156">
        <f>PRODUCT(0.25,J1006)</f>
        <v>25</v>
      </c>
      <c r="S1006" s="143">
        <f>PRODUCT(1,J1006)</f>
        <v>100</v>
      </c>
      <c r="T1006" s="156">
        <f>PRODUCT(1.84,J1006)</f>
        <v>184</v>
      </c>
      <c r="U1006" s="156">
        <f>PRODUCT(0.5,J1006)</f>
        <v>50</v>
      </c>
      <c r="V1006" s="156">
        <f>SUM(R1006:U1006)</f>
        <v>359</v>
      </c>
    </row>
    <row r="1007" spans="1:22" s="128" customFormat="1" ht="15.6" hidden="1" x14ac:dyDescent="0.3">
      <c r="A1007" s="142" t="s">
        <v>481</v>
      </c>
      <c r="B1007" s="142">
        <v>380</v>
      </c>
      <c r="C1007" s="141">
        <v>45986</v>
      </c>
      <c r="D1007" s="140">
        <f>WEEKNUM(C1007)</f>
        <v>48</v>
      </c>
      <c r="E1007" s="140" t="s">
        <v>475</v>
      </c>
      <c r="F1007" s="142" t="s">
        <v>969</v>
      </c>
      <c r="G1007" s="142" t="s">
        <v>554</v>
      </c>
      <c r="H1007" s="142" t="s">
        <v>555</v>
      </c>
      <c r="I1007" s="142" t="s">
        <v>46</v>
      </c>
      <c r="J1007" s="157">
        <v>50</v>
      </c>
      <c r="K1007" s="143">
        <v>35</v>
      </c>
      <c r="L1007" s="143">
        <f>J1007*K1007</f>
        <v>1750</v>
      </c>
      <c r="M1007" s="143">
        <v>0</v>
      </c>
      <c r="N1007" s="141">
        <v>46013</v>
      </c>
      <c r="O1007" s="157">
        <f>WEEKNUM(N1007)</f>
        <v>52</v>
      </c>
      <c r="P1007" s="140"/>
      <c r="Q1007" s="142" t="s">
        <v>29</v>
      </c>
      <c r="R1007" s="156">
        <f>PRODUCT(0.25,J1007)</f>
        <v>12.5</v>
      </c>
      <c r="S1007" s="143">
        <f>PRODUCT(1.5,J1007)</f>
        <v>75</v>
      </c>
      <c r="T1007" s="156">
        <f>PRODUCT(1.5,J1007)</f>
        <v>75</v>
      </c>
      <c r="U1007" s="156">
        <f>PRODUCT(0.5,814)</f>
        <v>407</v>
      </c>
      <c r="V1007" s="156">
        <f>SUM(R1007:U1007)</f>
        <v>569.5</v>
      </c>
    </row>
    <row r="1008" spans="1:22" s="128" customFormat="1" ht="15.6" hidden="1" x14ac:dyDescent="0.3">
      <c r="A1008" s="142" t="s">
        <v>477</v>
      </c>
      <c r="B1008" s="142">
        <v>1007</v>
      </c>
      <c r="C1008" s="141">
        <v>45987</v>
      </c>
      <c r="D1008" s="140">
        <f>WEEKNUM(C1008)</f>
        <v>48</v>
      </c>
      <c r="E1008" s="142" t="s">
        <v>498</v>
      </c>
      <c r="F1008" s="140" t="s">
        <v>637</v>
      </c>
      <c r="G1008" s="142" t="s">
        <v>487</v>
      </c>
      <c r="H1008" s="140" t="s">
        <v>51</v>
      </c>
      <c r="I1008" s="142" t="s">
        <v>46</v>
      </c>
      <c r="J1008" s="157">
        <v>250</v>
      </c>
      <c r="K1008" s="143">
        <v>23.5</v>
      </c>
      <c r="L1008" s="143">
        <f>J1008*K1008</f>
        <v>5875</v>
      </c>
      <c r="M1008" s="143">
        <v>0</v>
      </c>
      <c r="N1008" s="141">
        <v>46006</v>
      </c>
      <c r="O1008" s="157">
        <f>WEEKNUM(N1008)</f>
        <v>51</v>
      </c>
      <c r="P1008" s="140"/>
      <c r="Q1008" s="142" t="s">
        <v>29</v>
      </c>
      <c r="R1008" s="156">
        <f>PRODUCT(0.25,J1008)</f>
        <v>62.5</v>
      </c>
      <c r="S1008" s="143">
        <f>PRODUCT(1,J1008)</f>
        <v>250</v>
      </c>
      <c r="T1008" s="156">
        <f>PRODUCT(1.84,J1008)</f>
        <v>460</v>
      </c>
      <c r="U1008" s="156">
        <f>PRODUCT(0.5,J1008)</f>
        <v>125</v>
      </c>
      <c r="V1008" s="156">
        <f>SUM(R1008:U1008)</f>
        <v>897.5</v>
      </c>
    </row>
    <row r="1009" spans="1:22" s="128" customFormat="1" ht="15.6" hidden="1" x14ac:dyDescent="0.3">
      <c r="A1009" s="142" t="s">
        <v>602</v>
      </c>
      <c r="B1009" s="142">
        <v>382</v>
      </c>
      <c r="C1009" s="141">
        <v>45987</v>
      </c>
      <c r="D1009" s="140">
        <f>WEEKNUM(C1009)</f>
        <v>48</v>
      </c>
      <c r="E1009" s="142" t="s">
        <v>68</v>
      </c>
      <c r="F1009" s="142" t="s">
        <v>373</v>
      </c>
      <c r="G1009" s="142" t="s">
        <v>301</v>
      </c>
      <c r="H1009" s="140" t="s">
        <v>74</v>
      </c>
      <c r="I1009" s="142" t="s">
        <v>46</v>
      </c>
      <c r="J1009" s="157">
        <v>12</v>
      </c>
      <c r="K1009" s="143">
        <v>36.75</v>
      </c>
      <c r="L1009" s="143">
        <f>J1009*K1009</f>
        <v>441</v>
      </c>
      <c r="M1009" s="143">
        <v>0</v>
      </c>
      <c r="N1009" s="141">
        <v>45993</v>
      </c>
      <c r="O1009" s="157">
        <f>WEEKNUM(N1009)</f>
        <v>49</v>
      </c>
      <c r="P1009" s="140"/>
      <c r="Q1009" s="140" t="s">
        <v>29</v>
      </c>
      <c r="R1009" s="156">
        <f>PRODUCT(0.25,J1009)</f>
        <v>3</v>
      </c>
      <c r="S1009" s="143">
        <f>PRODUCT(1.5,J1009)</f>
        <v>18</v>
      </c>
      <c r="T1009" s="156">
        <f>PRODUCT(1.5,J1009)</f>
        <v>18</v>
      </c>
      <c r="U1009" s="156">
        <f>PRODUCT(0.5,J1009)</f>
        <v>6</v>
      </c>
      <c r="V1009" s="156">
        <f>SUM(R1009:U1009)</f>
        <v>45</v>
      </c>
    </row>
    <row r="1010" spans="1:22" s="128" customFormat="1" ht="15.6" hidden="1" x14ac:dyDescent="0.3">
      <c r="A1010" s="142" t="s">
        <v>602</v>
      </c>
      <c r="B1010" s="142">
        <v>382</v>
      </c>
      <c r="C1010" s="141">
        <v>45987</v>
      </c>
      <c r="D1010" s="140">
        <f>WEEKNUM(C1010)</f>
        <v>48</v>
      </c>
      <c r="E1010" s="142" t="s">
        <v>68</v>
      </c>
      <c r="F1010" s="142" t="s">
        <v>373</v>
      </c>
      <c r="G1010" s="142" t="s">
        <v>311</v>
      </c>
      <c r="H1010" s="140" t="s">
        <v>51</v>
      </c>
      <c r="I1010" s="142" t="s">
        <v>46</v>
      </c>
      <c r="J1010" s="157">
        <v>6</v>
      </c>
      <c r="K1010" s="143">
        <v>25</v>
      </c>
      <c r="L1010" s="143">
        <f>J1010*K1010</f>
        <v>150</v>
      </c>
      <c r="M1010" s="143">
        <v>0</v>
      </c>
      <c r="N1010" s="141">
        <v>45993</v>
      </c>
      <c r="O1010" s="157">
        <f>WEEKNUM(N1010)</f>
        <v>49</v>
      </c>
      <c r="P1010" s="140"/>
      <c r="Q1010" s="140" t="s">
        <v>29</v>
      </c>
      <c r="R1010" s="156">
        <f>PRODUCT(0.25,J1010)</f>
        <v>1.5</v>
      </c>
      <c r="S1010" s="143">
        <f>PRODUCT(0.7,J1010)</f>
        <v>4.1999999999999993</v>
      </c>
      <c r="T1010" s="156">
        <f>PRODUCT(1.5,J1010)</f>
        <v>9</v>
      </c>
      <c r="U1010" s="156">
        <f>PRODUCT(0.5,J1010)</f>
        <v>3</v>
      </c>
      <c r="V1010" s="156">
        <f>SUM(R1010:U1010)</f>
        <v>17.7</v>
      </c>
    </row>
    <row r="1011" spans="1:22" s="128" customFormat="1" ht="15.6" hidden="1" x14ac:dyDescent="0.3">
      <c r="A1011" s="142" t="s">
        <v>602</v>
      </c>
      <c r="B1011" s="142">
        <v>382</v>
      </c>
      <c r="C1011" s="141">
        <v>45987</v>
      </c>
      <c r="D1011" s="140">
        <f>WEEKNUM(C1011)</f>
        <v>48</v>
      </c>
      <c r="E1011" s="142" t="s">
        <v>68</v>
      </c>
      <c r="F1011" s="142" t="s">
        <v>373</v>
      </c>
      <c r="G1011" s="142" t="s">
        <v>408</v>
      </c>
      <c r="H1011" s="142" t="s">
        <v>80</v>
      </c>
      <c r="I1011" s="142" t="s">
        <v>46</v>
      </c>
      <c r="J1011" s="157">
        <v>4</v>
      </c>
      <c r="K1011" s="143">
        <v>21</v>
      </c>
      <c r="L1011" s="143">
        <f>J1011*K1011</f>
        <v>84</v>
      </c>
      <c r="M1011" s="143">
        <v>0</v>
      </c>
      <c r="N1011" s="141">
        <v>45993</v>
      </c>
      <c r="O1011" s="157">
        <f>WEEKNUM(N1011)</f>
        <v>49</v>
      </c>
      <c r="P1011" s="140"/>
      <c r="Q1011" s="140" t="s">
        <v>29</v>
      </c>
      <c r="R1011" s="156">
        <f>J1011*0.25</f>
        <v>1</v>
      </c>
      <c r="S1011" s="156">
        <f>J1011*1</f>
        <v>4</v>
      </c>
      <c r="T1011" s="156">
        <f>J1011*1.2</f>
        <v>4.8</v>
      </c>
      <c r="U1011" s="156">
        <f>J1011*0.5</f>
        <v>2</v>
      </c>
      <c r="V1011" s="156">
        <f>R1011+S1011+T1011+U1011</f>
        <v>11.8</v>
      </c>
    </row>
    <row r="1012" spans="1:22" s="128" customFormat="1" ht="15.6" hidden="1" x14ac:dyDescent="0.3">
      <c r="A1012" s="142" t="s">
        <v>477</v>
      </c>
      <c r="B1012" s="142">
        <v>1008</v>
      </c>
      <c r="C1012" s="141">
        <v>45987</v>
      </c>
      <c r="D1012" s="140">
        <f>WEEKNUM(C1012)</f>
        <v>48</v>
      </c>
      <c r="E1012" s="140" t="s">
        <v>478</v>
      </c>
      <c r="F1012" s="140" t="s">
        <v>146</v>
      </c>
      <c r="G1012" s="140" t="s">
        <v>658</v>
      </c>
      <c r="H1012" s="142" t="s">
        <v>42</v>
      </c>
      <c r="I1012" s="142" t="s">
        <v>46</v>
      </c>
      <c r="J1012" s="157">
        <v>300</v>
      </c>
      <c r="K1012" s="143">
        <v>16.5</v>
      </c>
      <c r="L1012" s="143">
        <f>J1012*K1012</f>
        <v>4950</v>
      </c>
      <c r="M1012" s="143">
        <v>0</v>
      </c>
      <c r="N1012" s="141">
        <v>46010</v>
      </c>
      <c r="O1012" s="157">
        <f>WEEKNUM(N1012)</f>
        <v>51</v>
      </c>
      <c r="P1012" s="140"/>
      <c r="Q1012" s="142" t="s">
        <v>29</v>
      </c>
      <c r="R1012" s="143">
        <f>PRODUCT(0.25,J1012)</f>
        <v>75</v>
      </c>
      <c r="S1012" s="143">
        <f>PRODUCT(1.5,J1012)</f>
        <v>450</v>
      </c>
      <c r="T1012" s="143">
        <f>PRODUCT(1.5,J1012)</f>
        <v>450</v>
      </c>
      <c r="U1012" s="143">
        <f>PRODUCT(0.5,J1012)</f>
        <v>150</v>
      </c>
      <c r="V1012" s="143">
        <f>SUM(R1012:U1012)</f>
        <v>1125</v>
      </c>
    </row>
    <row r="1013" spans="1:22" s="128" customFormat="1" ht="15.6" hidden="1" x14ac:dyDescent="0.3">
      <c r="A1013" s="142" t="s">
        <v>481</v>
      </c>
      <c r="B1013" s="142">
        <v>383</v>
      </c>
      <c r="C1013" s="141">
        <v>45989</v>
      </c>
      <c r="D1013" s="140">
        <f>WEEKNUM(C1013)</f>
        <v>48</v>
      </c>
      <c r="E1013" s="140" t="s">
        <v>475</v>
      </c>
      <c r="F1013" s="142" t="s">
        <v>781</v>
      </c>
      <c r="G1013" s="140" t="s">
        <v>480</v>
      </c>
      <c r="H1013" s="140" t="s">
        <v>51</v>
      </c>
      <c r="I1013" s="142" t="s">
        <v>46</v>
      </c>
      <c r="J1013" s="157">
        <v>200</v>
      </c>
      <c r="K1013" s="143">
        <v>17.5</v>
      </c>
      <c r="L1013" s="143">
        <f>J1013*K1013</f>
        <v>3500</v>
      </c>
      <c r="M1013" s="143">
        <v>0</v>
      </c>
      <c r="N1013" s="141">
        <v>46006</v>
      </c>
      <c r="O1013" s="157">
        <f>WEEKNUM(N1013)</f>
        <v>51</v>
      </c>
      <c r="P1013" s="140"/>
      <c r="Q1013" s="142" t="s">
        <v>29</v>
      </c>
      <c r="R1013" s="156">
        <f>PRODUCT(0.25,J1013)</f>
        <v>50</v>
      </c>
      <c r="S1013" s="143">
        <f>PRODUCT(1.5,J1013)</f>
        <v>300</v>
      </c>
      <c r="T1013" s="156">
        <f>PRODUCT(1.5,J1013)</f>
        <v>300</v>
      </c>
      <c r="U1013" s="156">
        <f>PRODUCT(0.5,J1013)</f>
        <v>100</v>
      </c>
      <c r="V1013" s="156">
        <f>SUM(R1013:U1013)</f>
        <v>750</v>
      </c>
    </row>
    <row r="1014" spans="1:22" s="128" customFormat="1" ht="15.6" hidden="1" x14ac:dyDescent="0.3">
      <c r="A1014" s="142" t="s">
        <v>477</v>
      </c>
      <c r="B1014" s="142">
        <v>1009</v>
      </c>
      <c r="C1014" s="141">
        <v>45989</v>
      </c>
      <c r="D1014" s="140">
        <f>WEEKNUM(C1014)</f>
        <v>48</v>
      </c>
      <c r="E1014" s="142" t="s">
        <v>498</v>
      </c>
      <c r="F1014" s="140" t="s">
        <v>459</v>
      </c>
      <c r="G1014" s="142" t="s">
        <v>215</v>
      </c>
      <c r="H1014" s="140" t="s">
        <v>74</v>
      </c>
      <c r="I1014" s="142" t="s">
        <v>46</v>
      </c>
      <c r="J1014" s="157">
        <v>1000</v>
      </c>
      <c r="K1014" s="143">
        <v>23.5</v>
      </c>
      <c r="L1014" s="143">
        <f>J1014*K1014</f>
        <v>23500</v>
      </c>
      <c r="M1014" s="143">
        <v>0</v>
      </c>
      <c r="N1014" s="141">
        <v>46010</v>
      </c>
      <c r="O1014" s="157">
        <f>WEEKNUM(N1014)</f>
        <v>51</v>
      </c>
      <c r="P1014" s="140"/>
      <c r="Q1014" s="142" t="s">
        <v>29</v>
      </c>
      <c r="R1014" s="156">
        <f>PRODUCT(0.25,J1014)</f>
        <v>250</v>
      </c>
      <c r="S1014" s="143">
        <f>PRODUCT(1.5,J1014)</f>
        <v>1500</v>
      </c>
      <c r="T1014" s="156">
        <f>PRODUCT(1.5,J1014)</f>
        <v>1500</v>
      </c>
      <c r="U1014" s="156">
        <f>PRODUCT(0.5,J1014)</f>
        <v>500</v>
      </c>
      <c r="V1014" s="156">
        <f>SUM(R1014:U1014)</f>
        <v>3750</v>
      </c>
    </row>
    <row r="1015" spans="1:22" s="128" customFormat="1" ht="15.6" hidden="1" x14ac:dyDescent="0.3">
      <c r="A1015" s="142" t="s">
        <v>491</v>
      </c>
      <c r="B1015" s="142">
        <v>384</v>
      </c>
      <c r="C1015" s="141">
        <v>45992</v>
      </c>
      <c r="D1015" s="140">
        <f>WEEKNUM(C1015)</f>
        <v>49</v>
      </c>
      <c r="E1015" s="140" t="s">
        <v>478</v>
      </c>
      <c r="F1015" s="142" t="s">
        <v>707</v>
      </c>
      <c r="G1015" s="142" t="s">
        <v>708</v>
      </c>
      <c r="H1015" s="142" t="s">
        <v>642</v>
      </c>
      <c r="I1015" s="142" t="s">
        <v>46</v>
      </c>
      <c r="J1015" s="157">
        <v>300</v>
      </c>
      <c r="K1015" s="143">
        <v>14.5</v>
      </c>
      <c r="L1015" s="143">
        <f>J1015*K1015</f>
        <v>4350</v>
      </c>
      <c r="M1015" s="143">
        <v>0</v>
      </c>
      <c r="N1015" s="141">
        <v>46012</v>
      </c>
      <c r="O1015" s="157">
        <f>WEEKNUM(N1015)</f>
        <v>52</v>
      </c>
      <c r="P1015" s="140"/>
      <c r="Q1015" s="142" t="s">
        <v>29</v>
      </c>
      <c r="R1015" s="143">
        <f>PRODUCT(0.25,J1015)</f>
        <v>75</v>
      </c>
      <c r="S1015" s="143">
        <f>PRODUCT(1.5,J1015)</f>
        <v>450</v>
      </c>
      <c r="T1015" s="143">
        <f>PRODUCT(1.5,J1015)</f>
        <v>450</v>
      </c>
      <c r="U1015" s="143">
        <f>PRODUCT(0.5,J1015)</f>
        <v>150</v>
      </c>
      <c r="V1015" s="143">
        <f>SUM(R1015:U1015)</f>
        <v>1125</v>
      </c>
    </row>
    <row r="1016" spans="1:22" s="128" customFormat="1" ht="15.6" hidden="1" x14ac:dyDescent="0.3">
      <c r="A1016" s="142" t="s">
        <v>477</v>
      </c>
      <c r="B1016" s="142">
        <v>1011</v>
      </c>
      <c r="C1016" s="141">
        <v>45992</v>
      </c>
      <c r="D1016" s="140">
        <f>WEEKNUM(C1016)</f>
        <v>49</v>
      </c>
      <c r="E1016" s="140" t="s">
        <v>478</v>
      </c>
      <c r="F1016" s="142" t="s">
        <v>832</v>
      </c>
      <c r="G1016" s="142" t="s">
        <v>838</v>
      </c>
      <c r="H1016" s="142" t="s">
        <v>95</v>
      </c>
      <c r="I1016" s="142" t="s">
        <v>46</v>
      </c>
      <c r="J1016" s="157">
        <v>200</v>
      </c>
      <c r="K1016" s="143">
        <v>8.5</v>
      </c>
      <c r="L1016" s="143">
        <f>J1016*K1016</f>
        <v>1700</v>
      </c>
      <c r="M1016" s="143">
        <v>0</v>
      </c>
      <c r="N1016" s="141">
        <v>46021</v>
      </c>
      <c r="O1016" s="157">
        <f>WEEKNUM(N1016)</f>
        <v>53</v>
      </c>
      <c r="P1016" s="140"/>
      <c r="Q1016" s="142" t="s">
        <v>29</v>
      </c>
      <c r="R1016" s="156">
        <f>PRODUCT(0.25,200)</f>
        <v>50</v>
      </c>
      <c r="S1016" s="143">
        <f>PRODUCT(0.7,200)</f>
        <v>140</v>
      </c>
      <c r="T1016" s="156">
        <f>PRODUCT(1,200)</f>
        <v>200</v>
      </c>
      <c r="U1016" s="156">
        <f>PRODUCT(0.5,200)</f>
        <v>100</v>
      </c>
      <c r="V1016" s="156">
        <f>SUM(R1016:U1016)</f>
        <v>490</v>
      </c>
    </row>
    <row r="1017" spans="1:22" s="128" customFormat="1" ht="15.6" hidden="1" x14ac:dyDescent="0.3">
      <c r="A1017" s="142" t="s">
        <v>481</v>
      </c>
      <c r="B1017" s="142">
        <v>385</v>
      </c>
      <c r="C1017" s="141">
        <v>45992</v>
      </c>
      <c r="D1017" s="140">
        <f>WEEKNUM(C1017)</f>
        <v>49</v>
      </c>
      <c r="E1017" s="142" t="s">
        <v>498</v>
      </c>
      <c r="F1017" s="142" t="s">
        <v>532</v>
      </c>
      <c r="G1017" s="142" t="s">
        <v>506</v>
      </c>
      <c r="H1017" s="140" t="s">
        <v>74</v>
      </c>
      <c r="I1017" s="142" t="s">
        <v>46</v>
      </c>
      <c r="J1017" s="157">
        <v>10</v>
      </c>
      <c r="K1017" s="143">
        <v>55</v>
      </c>
      <c r="L1017" s="143">
        <f>J1017*K1017</f>
        <v>550</v>
      </c>
      <c r="M1017" s="143">
        <v>0</v>
      </c>
      <c r="N1017" s="141">
        <v>46027</v>
      </c>
      <c r="O1017" s="157">
        <f>WEEKNUM(N1017)</f>
        <v>2</v>
      </c>
      <c r="P1017" s="140"/>
      <c r="Q1017" s="142" t="s">
        <v>29</v>
      </c>
      <c r="R1017" s="156">
        <f>PRODUCT(0.25,J1017)</f>
        <v>2.5</v>
      </c>
      <c r="S1017" s="143">
        <f>PRODUCT(1.5,J1017)</f>
        <v>15</v>
      </c>
      <c r="T1017" s="156">
        <f>PRODUCT(1.5,J1017)</f>
        <v>15</v>
      </c>
      <c r="U1017" s="156">
        <f>PRODUCT(0.5,J1017)</f>
        <v>5</v>
      </c>
      <c r="V1017" s="156">
        <f>SUM(R1017:U1017)</f>
        <v>37.5</v>
      </c>
    </row>
    <row r="1018" spans="1:22" s="128" customFormat="1" ht="15.6" hidden="1" x14ac:dyDescent="0.3">
      <c r="A1018" s="142" t="s">
        <v>477</v>
      </c>
      <c r="B1018" s="142">
        <v>1010</v>
      </c>
      <c r="C1018" s="141">
        <v>45992</v>
      </c>
      <c r="D1018" s="140">
        <f>WEEKNUM(C1018)</f>
        <v>49</v>
      </c>
      <c r="E1018" s="142" t="s">
        <v>498</v>
      </c>
      <c r="F1018" s="140" t="s">
        <v>459</v>
      </c>
      <c r="G1018" s="142" t="s">
        <v>487</v>
      </c>
      <c r="H1018" s="140" t="s">
        <v>51</v>
      </c>
      <c r="I1018" s="142" t="s">
        <v>46</v>
      </c>
      <c r="J1018" s="157">
        <v>1500</v>
      </c>
      <c r="K1018" s="143">
        <v>23</v>
      </c>
      <c r="L1018" s="143">
        <f>J1018*K1018</f>
        <v>34500</v>
      </c>
      <c r="M1018" s="143">
        <v>0</v>
      </c>
      <c r="N1018" s="141">
        <v>46010</v>
      </c>
      <c r="O1018" s="157">
        <f>WEEKNUM(N1018)</f>
        <v>51</v>
      </c>
      <c r="P1018" s="140"/>
      <c r="Q1018" s="142" t="s">
        <v>29</v>
      </c>
      <c r="R1018" s="156">
        <f>PRODUCT(0.25,1500)</f>
        <v>375</v>
      </c>
      <c r="S1018" s="143">
        <f>PRODUCT(0.7,1500)</f>
        <v>1050</v>
      </c>
      <c r="T1018" s="156">
        <f>PRODUCT(1.84,1500)</f>
        <v>2760</v>
      </c>
      <c r="U1018" s="156">
        <f>PRODUCT(0.5,1500)</f>
        <v>750</v>
      </c>
      <c r="V1018" s="156">
        <f>SUM(R1018:U1018)</f>
        <v>4935</v>
      </c>
    </row>
    <row r="1019" spans="1:22" s="128" customFormat="1" ht="15.6" hidden="1" x14ac:dyDescent="0.3">
      <c r="A1019" s="142" t="s">
        <v>477</v>
      </c>
      <c r="B1019" s="142">
        <v>386</v>
      </c>
      <c r="C1019" s="141">
        <v>45993</v>
      </c>
      <c r="D1019" s="140">
        <f>WEEKNUM(C1019)</f>
        <v>49</v>
      </c>
      <c r="E1019" s="140" t="s">
        <v>475</v>
      </c>
      <c r="F1019" s="142" t="s">
        <v>761</v>
      </c>
      <c r="G1019" s="142" t="s">
        <v>515</v>
      </c>
      <c r="H1019" s="140" t="s">
        <v>60</v>
      </c>
      <c r="I1019" s="142" t="s">
        <v>61</v>
      </c>
      <c r="J1019" s="157">
        <v>40</v>
      </c>
      <c r="K1019" s="143">
        <v>14</v>
      </c>
      <c r="L1019" s="143">
        <f>J1019*K1019</f>
        <v>560</v>
      </c>
      <c r="M1019" s="143">
        <v>280</v>
      </c>
      <c r="N1019" s="141">
        <v>46030</v>
      </c>
      <c r="O1019" s="157">
        <f>WEEKNUM(N1019)</f>
        <v>2</v>
      </c>
      <c r="P1019" s="140"/>
      <c r="Q1019" s="140" t="s">
        <v>29</v>
      </c>
      <c r="R1019" s="143">
        <f>PRODUCT(0.25,J1019)</f>
        <v>10</v>
      </c>
      <c r="S1019" s="143">
        <f>PRODUCT(1.5,335)</f>
        <v>502.5</v>
      </c>
      <c r="T1019" s="143">
        <f>PRODUCT(1.5,J1019)</f>
        <v>60</v>
      </c>
      <c r="U1019" s="143">
        <f>PRODUCT(0.5,J1019)</f>
        <v>20</v>
      </c>
      <c r="V1019" s="143">
        <f>SUM(R1019:U1019)</f>
        <v>592.5</v>
      </c>
    </row>
    <row r="1020" spans="1:22" s="128" customFormat="1" ht="15.6" hidden="1" x14ac:dyDescent="0.3">
      <c r="A1020" s="142" t="s">
        <v>477</v>
      </c>
      <c r="B1020" s="142">
        <v>1012</v>
      </c>
      <c r="C1020" s="141">
        <v>45993</v>
      </c>
      <c r="D1020" s="140">
        <f>WEEKNUM(C1020)</f>
        <v>49</v>
      </c>
      <c r="E1020" s="140" t="s">
        <v>475</v>
      </c>
      <c r="F1020" s="140" t="s">
        <v>761</v>
      </c>
      <c r="G1020" s="142" t="s">
        <v>767</v>
      </c>
      <c r="H1020" s="140" t="s">
        <v>494</v>
      </c>
      <c r="I1020" s="142" t="s">
        <v>46</v>
      </c>
      <c r="J1020" s="157">
        <v>500</v>
      </c>
      <c r="K1020" s="143">
        <v>28</v>
      </c>
      <c r="L1020" s="143">
        <f>J1020*K1020</f>
        <v>14000</v>
      </c>
      <c r="M1020" s="143">
        <v>14000</v>
      </c>
      <c r="N1020" s="141">
        <v>46027</v>
      </c>
      <c r="O1020" s="157">
        <f>WEEKNUM(N1020)</f>
        <v>2</v>
      </c>
      <c r="P1020" s="140"/>
      <c r="Q1020" s="142" t="s">
        <v>29</v>
      </c>
      <c r="R1020" s="156">
        <f>PRODUCT(0.25,J1020)</f>
        <v>125</v>
      </c>
      <c r="S1020" s="143">
        <f>PRODUCT(1.5,J1020)</f>
        <v>750</v>
      </c>
      <c r="T1020" s="156">
        <f>PRODUCT(1.5,J1020)</f>
        <v>750</v>
      </c>
      <c r="U1020" s="156">
        <f>PRODUCT(0.5,J1020)</f>
        <v>250</v>
      </c>
      <c r="V1020" s="156">
        <f>SUM(R1020:U1020)</f>
        <v>1875</v>
      </c>
    </row>
    <row r="1021" spans="1:22" s="128" customFormat="1" ht="15.6" hidden="1" x14ac:dyDescent="0.3">
      <c r="A1021" s="142" t="s">
        <v>481</v>
      </c>
      <c r="B1021" s="142">
        <v>387</v>
      </c>
      <c r="C1021" s="141">
        <v>45994</v>
      </c>
      <c r="D1021" s="140">
        <f>WEEKNUM(C1021)</f>
        <v>49</v>
      </c>
      <c r="E1021" s="140" t="s">
        <v>475</v>
      </c>
      <c r="F1021" s="142" t="s">
        <v>451</v>
      </c>
      <c r="G1021" s="142" t="s">
        <v>546</v>
      </c>
      <c r="H1021" s="140" t="s">
        <v>494</v>
      </c>
      <c r="I1021" s="142" t="s">
        <v>46</v>
      </c>
      <c r="J1021" s="157">
        <v>100</v>
      </c>
      <c r="K1021" s="143">
        <v>24.5</v>
      </c>
      <c r="L1021" s="143">
        <f>J1021*K1021</f>
        <v>2450</v>
      </c>
      <c r="M1021" s="143">
        <v>0</v>
      </c>
      <c r="N1021" s="141">
        <v>46028</v>
      </c>
      <c r="O1021" s="157">
        <f>WEEKNUM(N1021)</f>
        <v>2</v>
      </c>
      <c r="P1021" s="140"/>
      <c r="Q1021" s="142" t="s">
        <v>29</v>
      </c>
      <c r="R1021" s="156">
        <f>PRODUCT(0.25,J1021)</f>
        <v>25</v>
      </c>
      <c r="S1021" s="143">
        <f>1.5*J1021</f>
        <v>150</v>
      </c>
      <c r="T1021" s="156">
        <f>1.5*J1021</f>
        <v>150</v>
      </c>
      <c r="U1021" s="156">
        <f>PRODUCT(0.5,J1021)</f>
        <v>50</v>
      </c>
      <c r="V1021" s="143">
        <f>R1021+S1021+T1021+U1021</f>
        <v>375</v>
      </c>
    </row>
    <row r="1022" spans="1:22" s="128" customFormat="1" ht="15.6" hidden="1" x14ac:dyDescent="0.3">
      <c r="A1022" s="142" t="s">
        <v>481</v>
      </c>
      <c r="B1022" s="142">
        <v>387</v>
      </c>
      <c r="C1022" s="141">
        <v>45994</v>
      </c>
      <c r="D1022" s="140">
        <f>WEEKNUM(C1022)</f>
        <v>49</v>
      </c>
      <c r="E1022" s="140" t="s">
        <v>475</v>
      </c>
      <c r="F1022" s="142" t="s">
        <v>451</v>
      </c>
      <c r="G1022" s="142" t="s">
        <v>554</v>
      </c>
      <c r="H1022" s="142" t="s">
        <v>555</v>
      </c>
      <c r="I1022" s="142" t="s">
        <v>46</v>
      </c>
      <c r="J1022" s="157">
        <v>100</v>
      </c>
      <c r="K1022" s="143">
        <v>26.5</v>
      </c>
      <c r="L1022" s="143">
        <f>J1022*K1022</f>
        <v>2650</v>
      </c>
      <c r="M1022" s="143">
        <v>0</v>
      </c>
      <c r="N1022" s="141">
        <v>46028</v>
      </c>
      <c r="O1022" s="157">
        <f>WEEKNUM(N1022)</f>
        <v>2</v>
      </c>
      <c r="P1022" s="140"/>
      <c r="Q1022" s="142" t="s">
        <v>29</v>
      </c>
      <c r="R1022" s="156">
        <f>PRODUCT(0.25,J1022)</f>
        <v>25</v>
      </c>
      <c r="S1022" s="143">
        <f>1.5*J1022</f>
        <v>150</v>
      </c>
      <c r="T1022" s="156">
        <f>1.5*J1022</f>
        <v>150</v>
      </c>
      <c r="U1022" s="156">
        <f>PRODUCT(0.5,J1022)</f>
        <v>50</v>
      </c>
      <c r="V1022" s="143">
        <f>R1022+S1022+T1022+U1022</f>
        <v>375</v>
      </c>
    </row>
    <row r="1023" spans="1:22" s="128" customFormat="1" ht="15.6" hidden="1" x14ac:dyDescent="0.3">
      <c r="A1023" s="142" t="s">
        <v>477</v>
      </c>
      <c r="B1023" s="142">
        <v>1096</v>
      </c>
      <c r="C1023" s="141">
        <v>45995</v>
      </c>
      <c r="D1023" s="140">
        <f>WEEKNUM(C1023)</f>
        <v>49</v>
      </c>
      <c r="E1023" s="140" t="s">
        <v>475</v>
      </c>
      <c r="F1023" s="140" t="s">
        <v>568</v>
      </c>
      <c r="G1023" s="142" t="s">
        <v>579</v>
      </c>
      <c r="H1023" s="142" t="s">
        <v>304</v>
      </c>
      <c r="I1023" s="142" t="s">
        <v>46</v>
      </c>
      <c r="J1023" s="157">
        <v>10000</v>
      </c>
      <c r="K1023" s="143"/>
      <c r="L1023" s="143">
        <f>J1023*K1023</f>
        <v>0</v>
      </c>
      <c r="M1023" s="143">
        <v>0</v>
      </c>
      <c r="N1023" s="141">
        <v>45687</v>
      </c>
      <c r="O1023" s="157">
        <f>WEEKNUM(N1023)</f>
        <v>5</v>
      </c>
      <c r="P1023" s="140" t="s">
        <v>28</v>
      </c>
      <c r="Q1023" s="140" t="s">
        <v>29</v>
      </c>
      <c r="R1023" s="143">
        <f>J1023*0.25</f>
        <v>2500</v>
      </c>
      <c r="S1023" s="143">
        <f>J1023*0.5</f>
        <v>5000</v>
      </c>
      <c r="T1023" s="143">
        <f>J1023*1.5</f>
        <v>15000</v>
      </c>
      <c r="U1023" s="143">
        <f>J1023*0.5</f>
        <v>5000</v>
      </c>
      <c r="V1023" s="143">
        <f>R1023+S1023+T1023+U1023</f>
        <v>27500</v>
      </c>
    </row>
    <row r="1024" spans="1:22" s="128" customFormat="1" ht="15.6" hidden="1" x14ac:dyDescent="0.3">
      <c r="A1024" s="142" t="s">
        <v>477</v>
      </c>
      <c r="B1024" s="142">
        <v>1014</v>
      </c>
      <c r="C1024" s="141">
        <v>45995</v>
      </c>
      <c r="D1024" s="140">
        <f>WEEKNUM(C1024)</f>
        <v>49</v>
      </c>
      <c r="E1024" s="140" t="s">
        <v>475</v>
      </c>
      <c r="F1024" s="140" t="s">
        <v>568</v>
      </c>
      <c r="G1024" s="142" t="s">
        <v>580</v>
      </c>
      <c r="H1024" s="142" t="s">
        <v>304</v>
      </c>
      <c r="I1024" s="142" t="s">
        <v>46</v>
      </c>
      <c r="J1024" s="157">
        <v>500</v>
      </c>
      <c r="K1024" s="143">
        <v>11.5</v>
      </c>
      <c r="L1024" s="143">
        <f>J1024*K1024</f>
        <v>5750</v>
      </c>
      <c r="M1024" s="143">
        <v>5750</v>
      </c>
      <c r="N1024" s="141">
        <v>46029</v>
      </c>
      <c r="O1024" s="157">
        <f>WEEKNUM(N1024)</f>
        <v>2</v>
      </c>
      <c r="P1024" s="140"/>
      <c r="Q1024" s="142" t="s">
        <v>29</v>
      </c>
      <c r="R1024" s="143">
        <f>PRODUCT(0.25,J1024)</f>
        <v>125</v>
      </c>
      <c r="S1024" s="143">
        <f>PRODUCT(1.5,J1024)</f>
        <v>750</v>
      </c>
      <c r="T1024" s="143">
        <f>PRODUCT(1.5,J1024)</f>
        <v>750</v>
      </c>
      <c r="U1024" s="143">
        <f>PRODUCT(0.5,J1024)</f>
        <v>250</v>
      </c>
      <c r="V1024" s="143">
        <f>SUM(R1024:U1024)</f>
        <v>1875</v>
      </c>
    </row>
    <row r="1025" spans="1:22" s="128" customFormat="1" ht="15.6" hidden="1" x14ac:dyDescent="0.3">
      <c r="A1025" s="142" t="s">
        <v>477</v>
      </c>
      <c r="B1025" s="142">
        <v>388</v>
      </c>
      <c r="C1025" s="141">
        <v>45995</v>
      </c>
      <c r="D1025" s="140">
        <f>WEEKNUM(C1025)</f>
        <v>49</v>
      </c>
      <c r="E1025" s="142" t="s">
        <v>55</v>
      </c>
      <c r="F1025" s="142" t="s">
        <v>652</v>
      </c>
      <c r="G1025" s="142" t="s">
        <v>656</v>
      </c>
      <c r="H1025" s="142" t="s">
        <v>304</v>
      </c>
      <c r="I1025" s="142" t="s">
        <v>61</v>
      </c>
      <c r="J1025" s="157">
        <v>250</v>
      </c>
      <c r="K1025" s="143">
        <v>15.5</v>
      </c>
      <c r="L1025" s="143">
        <f>J1025*K1025</f>
        <v>3875</v>
      </c>
      <c r="M1025" s="143">
        <v>0</v>
      </c>
      <c r="N1025" s="141">
        <v>46006</v>
      </c>
      <c r="O1025" s="157">
        <f>WEEKNUM(N1025)</f>
        <v>51</v>
      </c>
      <c r="P1025" s="140"/>
      <c r="Q1025" s="142" t="s">
        <v>29</v>
      </c>
      <c r="R1025" s="143">
        <f>PRODUCT(0.25,J1025)</f>
        <v>62.5</v>
      </c>
      <c r="S1025" s="143">
        <f>PRODUCT(1.5,J1025)</f>
        <v>375</v>
      </c>
      <c r="T1025" s="143">
        <f>PRODUCT(1.5,J1025)</f>
        <v>375</v>
      </c>
      <c r="U1025" s="143">
        <f>PRODUCT(0.5,J1025)</f>
        <v>125</v>
      </c>
      <c r="V1025" s="143">
        <f>SUM(R1025:U1025)</f>
        <v>937.5</v>
      </c>
    </row>
    <row r="1026" spans="1:22" s="128" customFormat="1" ht="15.6" hidden="1" x14ac:dyDescent="0.3">
      <c r="A1026" s="142" t="s">
        <v>477</v>
      </c>
      <c r="B1026" s="142">
        <v>212</v>
      </c>
      <c r="C1026" s="141">
        <v>45999</v>
      </c>
      <c r="D1026" s="140">
        <f>WEEKNUM(C1026)</f>
        <v>50</v>
      </c>
      <c r="E1026" s="142" t="s">
        <v>498</v>
      </c>
      <c r="F1026" s="140" t="s">
        <v>446</v>
      </c>
      <c r="G1026" s="142" t="s">
        <v>155</v>
      </c>
      <c r="H1026" s="142" t="s">
        <v>51</v>
      </c>
      <c r="I1026" s="142" t="s">
        <v>46</v>
      </c>
      <c r="J1026" s="157">
        <v>2500</v>
      </c>
      <c r="K1026" s="143">
        <v>23.5</v>
      </c>
      <c r="L1026" s="143">
        <f>J1026*K1026</f>
        <v>58750</v>
      </c>
      <c r="M1026" s="143">
        <f>L1026</f>
        <v>58750</v>
      </c>
      <c r="N1026" s="141">
        <v>46044</v>
      </c>
      <c r="O1026" s="157">
        <f>WEEKNUM(N1026)</f>
        <v>4</v>
      </c>
      <c r="P1026" s="140"/>
      <c r="Q1026" s="142" t="s">
        <v>29</v>
      </c>
      <c r="R1026" s="156">
        <f>PRODUCT(0.25,J1026)</f>
        <v>625</v>
      </c>
      <c r="S1026" s="143">
        <f>PRODUCT(1,J1026)</f>
        <v>2500</v>
      </c>
      <c r="T1026" s="156">
        <f>PRODUCT(1.84,J1026)</f>
        <v>4600</v>
      </c>
      <c r="U1026" s="156">
        <f>PRODUCT(0.5,J1026)</f>
        <v>1250</v>
      </c>
      <c r="V1026" s="156">
        <f>SUM(R1026:U1026)</f>
        <v>8975</v>
      </c>
    </row>
    <row r="1027" spans="1:22" s="128" customFormat="1" ht="15.6" hidden="1" x14ac:dyDescent="0.3">
      <c r="A1027" s="142" t="s">
        <v>481</v>
      </c>
      <c r="B1027" s="142">
        <v>392</v>
      </c>
      <c r="C1027" s="141">
        <v>45999</v>
      </c>
      <c r="D1027" s="140">
        <f>WEEKNUM(C1027)</f>
        <v>50</v>
      </c>
      <c r="E1027" s="140" t="s">
        <v>475</v>
      </c>
      <c r="F1027" s="142" t="s">
        <v>526</v>
      </c>
      <c r="G1027" s="142" t="s">
        <v>527</v>
      </c>
      <c r="H1027" s="142" t="s">
        <v>60</v>
      </c>
      <c r="I1027" s="142" t="s">
        <v>61</v>
      </c>
      <c r="J1027" s="157">
        <v>100</v>
      </c>
      <c r="K1027" s="143">
        <v>25</v>
      </c>
      <c r="L1027" s="143">
        <f>J1027*K1027</f>
        <v>2500</v>
      </c>
      <c r="M1027" s="143">
        <v>0</v>
      </c>
      <c r="N1027" s="141">
        <v>46031</v>
      </c>
      <c r="O1027" s="157">
        <f>WEEKNUM(N1027)</f>
        <v>2</v>
      </c>
      <c r="P1027" s="140"/>
      <c r="Q1027" s="142" t="s">
        <v>29</v>
      </c>
      <c r="R1027" s="143">
        <f>PRODUCT(0.25,J1027)</f>
        <v>25</v>
      </c>
      <c r="S1027" s="143">
        <f>PRODUCT(1.5,335)</f>
        <v>502.5</v>
      </c>
      <c r="T1027" s="143">
        <f>PRODUCT(1.5,J1027)</f>
        <v>150</v>
      </c>
      <c r="U1027" s="143">
        <f>PRODUCT(0.5,J1027)</f>
        <v>50</v>
      </c>
      <c r="V1027" s="143">
        <f>SUM(R1027:U1027)</f>
        <v>727.5</v>
      </c>
    </row>
    <row r="1028" spans="1:22" s="128" customFormat="1" ht="15.6" hidden="1" x14ac:dyDescent="0.3">
      <c r="A1028" s="142" t="s">
        <v>481</v>
      </c>
      <c r="B1028" s="162">
        <v>393</v>
      </c>
      <c r="C1028" s="141">
        <v>46000</v>
      </c>
      <c r="D1028" s="140">
        <f>WEEKNUM(C1028)</f>
        <v>50</v>
      </c>
      <c r="E1028" s="140" t="s">
        <v>475</v>
      </c>
      <c r="F1028" s="142" t="s">
        <v>953</v>
      </c>
      <c r="G1028" s="142" t="s">
        <v>311</v>
      </c>
      <c r="H1028" s="142" t="s">
        <v>51</v>
      </c>
      <c r="I1028" s="142" t="s">
        <v>46</v>
      </c>
      <c r="J1028" s="157">
        <v>100</v>
      </c>
      <c r="K1028" s="143">
        <v>17</v>
      </c>
      <c r="L1028" s="143">
        <f>J1028*K1028</f>
        <v>1700</v>
      </c>
      <c r="M1028" s="143">
        <v>0</v>
      </c>
      <c r="N1028" s="141">
        <v>46034</v>
      </c>
      <c r="O1028" s="157">
        <f>WEEKNUM(N1028)</f>
        <v>3</v>
      </c>
      <c r="P1028" s="140"/>
      <c r="Q1028" s="142" t="s">
        <v>29</v>
      </c>
      <c r="R1028" s="156">
        <f>PRODUCT(0.25,J1028)</f>
        <v>25</v>
      </c>
      <c r="S1028" s="143">
        <f>PRODUCT(0.7,J1028)</f>
        <v>70</v>
      </c>
      <c r="T1028" s="156">
        <f>PRODUCT(1.5,J1028)</f>
        <v>150</v>
      </c>
      <c r="U1028" s="156">
        <f>PRODUCT(0.5,J1028)</f>
        <v>50</v>
      </c>
      <c r="V1028" s="156">
        <f>SUM(R1028:U1028)</f>
        <v>295</v>
      </c>
    </row>
    <row r="1029" spans="1:22" s="128" customFormat="1" ht="15.6" hidden="1" x14ac:dyDescent="0.3">
      <c r="A1029" s="142" t="s">
        <v>477</v>
      </c>
      <c r="B1029" s="142">
        <v>1015</v>
      </c>
      <c r="C1029" s="141">
        <v>46001</v>
      </c>
      <c r="D1029" s="140">
        <f>WEEKNUM(C1029)</f>
        <v>50</v>
      </c>
      <c r="E1029" s="140" t="s">
        <v>478</v>
      </c>
      <c r="F1029" s="140" t="s">
        <v>146</v>
      </c>
      <c r="G1029" s="142" t="s">
        <v>837</v>
      </c>
      <c r="H1029" s="142" t="s">
        <v>95</v>
      </c>
      <c r="I1029" s="142" t="s">
        <v>46</v>
      </c>
      <c r="J1029" s="157">
        <v>200</v>
      </c>
      <c r="K1029" s="143">
        <v>16.5</v>
      </c>
      <c r="L1029" s="143">
        <f>J1029*K1029</f>
        <v>3300</v>
      </c>
      <c r="M1029" s="143">
        <v>1025</v>
      </c>
      <c r="N1029" s="141">
        <v>46034</v>
      </c>
      <c r="O1029" s="157">
        <f>WEEKNUM(N1029)</f>
        <v>3</v>
      </c>
      <c r="P1029" s="140"/>
      <c r="Q1029" s="142" t="s">
        <v>29</v>
      </c>
      <c r="R1029" s="143">
        <f>PRODUCT(0.25,J1029)</f>
        <v>50</v>
      </c>
      <c r="S1029" s="143">
        <f>PRODUCT(1.5,J1029)</f>
        <v>300</v>
      </c>
      <c r="T1029" s="143">
        <f>PRODUCT(1.5,J1029)</f>
        <v>300</v>
      </c>
      <c r="U1029" s="143">
        <f>PRODUCT(0.5,J1029)</f>
        <v>100</v>
      </c>
      <c r="V1029" s="143">
        <f>SUM(R1029:U1029)</f>
        <v>750</v>
      </c>
    </row>
    <row r="1030" spans="1:22" s="128" customFormat="1" ht="15.6" hidden="1" x14ac:dyDescent="0.3">
      <c r="A1030" s="142" t="s">
        <v>477</v>
      </c>
      <c r="B1030" s="142">
        <v>1015</v>
      </c>
      <c r="C1030" s="141">
        <v>46001</v>
      </c>
      <c r="D1030" s="140">
        <f>WEEKNUM(C1030)</f>
        <v>50</v>
      </c>
      <c r="E1030" s="140" t="s">
        <v>478</v>
      </c>
      <c r="F1030" s="140" t="s">
        <v>146</v>
      </c>
      <c r="G1030" s="142" t="s">
        <v>759</v>
      </c>
      <c r="H1030" s="140" t="s">
        <v>107</v>
      </c>
      <c r="I1030" s="142" t="s">
        <v>61</v>
      </c>
      <c r="J1030" s="157">
        <v>500</v>
      </c>
      <c r="K1030" s="143">
        <v>2.5</v>
      </c>
      <c r="L1030" s="143">
        <f>J1030*K1030</f>
        <v>1250</v>
      </c>
      <c r="M1030" s="143">
        <v>1250</v>
      </c>
      <c r="N1030" s="141">
        <v>46034</v>
      </c>
      <c r="O1030" s="157">
        <f>WEEKNUM(N1030)</f>
        <v>3</v>
      </c>
      <c r="P1030" s="140"/>
      <c r="Q1030" s="142" t="s">
        <v>29</v>
      </c>
      <c r="R1030" s="156">
        <f>J1030*0.25</f>
        <v>125</v>
      </c>
      <c r="S1030" s="156">
        <f>J1030*0.5</f>
        <v>250</v>
      </c>
      <c r="T1030" s="156">
        <f>J1030*0.5</f>
        <v>250</v>
      </c>
      <c r="U1030" s="156">
        <f>J1030*0.5</f>
        <v>250</v>
      </c>
      <c r="V1030" s="156">
        <f>R1030+S1030+T1030+U1030</f>
        <v>875</v>
      </c>
    </row>
    <row r="1031" spans="1:22" s="128" customFormat="1" ht="15.6" hidden="1" x14ac:dyDescent="0.3">
      <c r="A1031" s="142" t="s">
        <v>477</v>
      </c>
      <c r="B1031" s="142">
        <v>1016</v>
      </c>
      <c r="C1031" s="141">
        <v>46002</v>
      </c>
      <c r="D1031" s="140">
        <f>WEEKNUM(C1031)</f>
        <v>50</v>
      </c>
      <c r="E1031" s="140" t="s">
        <v>478</v>
      </c>
      <c r="F1031" s="140" t="s">
        <v>444</v>
      </c>
      <c r="G1031" s="130" t="s">
        <v>638</v>
      </c>
      <c r="H1031" s="142" t="s">
        <v>60</v>
      </c>
      <c r="I1031" s="142" t="s">
        <v>61</v>
      </c>
      <c r="J1031" s="157">
        <v>300</v>
      </c>
      <c r="K1031" s="143">
        <v>23</v>
      </c>
      <c r="L1031" s="143">
        <f>J1031*K1031</f>
        <v>6900</v>
      </c>
      <c r="M1031" s="143">
        <v>0</v>
      </c>
      <c r="N1031" s="141">
        <v>46037</v>
      </c>
      <c r="O1031" s="157">
        <f>WEEKNUM(N1031)</f>
        <v>3</v>
      </c>
      <c r="P1031" s="140"/>
      <c r="Q1031" s="142" t="s">
        <v>29</v>
      </c>
      <c r="R1031" s="143">
        <f>PRODUCT(0.25,J1031)</f>
        <v>75</v>
      </c>
      <c r="S1031" s="143">
        <f>PRODUCT(0.6,335)</f>
        <v>201</v>
      </c>
      <c r="T1031" s="143">
        <f>PRODUCT(1.5,J1031)</f>
        <v>450</v>
      </c>
      <c r="U1031" s="143">
        <f>PRODUCT(0.5,J1031)</f>
        <v>150</v>
      </c>
      <c r="V1031" s="143">
        <f>SUM(R1031:U1031)</f>
        <v>876</v>
      </c>
    </row>
    <row r="1032" spans="1:22" s="128" customFormat="1" ht="15.6" hidden="1" x14ac:dyDescent="0.3">
      <c r="A1032" s="142" t="s">
        <v>602</v>
      </c>
      <c r="B1032" s="142">
        <v>394</v>
      </c>
      <c r="C1032" s="141">
        <v>46003</v>
      </c>
      <c r="D1032" s="140">
        <f>WEEKNUM(C1032)</f>
        <v>50</v>
      </c>
      <c r="E1032" s="142" t="s">
        <v>68</v>
      </c>
      <c r="F1032" s="142" t="s">
        <v>391</v>
      </c>
      <c r="G1032" s="142" t="s">
        <v>374</v>
      </c>
      <c r="H1032" s="142" t="s">
        <v>74</v>
      </c>
      <c r="I1032" s="142" t="s">
        <v>46</v>
      </c>
      <c r="J1032" s="157">
        <v>1</v>
      </c>
      <c r="K1032" s="143">
        <v>47.5</v>
      </c>
      <c r="L1032" s="143">
        <f>J1032*K1032</f>
        <v>47.5</v>
      </c>
      <c r="M1032" s="156">
        <f>L1032</f>
        <v>47.5</v>
      </c>
      <c r="N1032" s="141">
        <v>46038</v>
      </c>
      <c r="O1032" s="157">
        <f>WEEKNUM(N1032)</f>
        <v>3</v>
      </c>
      <c r="P1032" s="140"/>
      <c r="Q1032" s="142" t="s">
        <v>29</v>
      </c>
      <c r="R1032" s="156">
        <f>PRODUCT(0.25,J1032)</f>
        <v>0.25</v>
      </c>
      <c r="S1032" s="143">
        <f>PRODUCT(1.5,J1032)</f>
        <v>1.5</v>
      </c>
      <c r="T1032" s="156">
        <f>PRODUCT(1.5,J1032)</f>
        <v>1.5</v>
      </c>
      <c r="U1032" s="156">
        <f>PRODUCT(0.5,J1032)</f>
        <v>0.5</v>
      </c>
      <c r="V1032" s="156">
        <f>SUM(R1032:U1032)</f>
        <v>3.75</v>
      </c>
    </row>
    <row r="1033" spans="1:22" s="128" customFormat="1" ht="15.6" hidden="1" x14ac:dyDescent="0.3">
      <c r="A1033" s="142" t="s">
        <v>602</v>
      </c>
      <c r="B1033" s="142">
        <v>394</v>
      </c>
      <c r="C1033" s="141">
        <v>46003</v>
      </c>
      <c r="D1033" s="140">
        <f>WEEKNUM(C1033)</f>
        <v>50</v>
      </c>
      <c r="E1033" s="142" t="s">
        <v>68</v>
      </c>
      <c r="F1033" s="142" t="s">
        <v>391</v>
      </c>
      <c r="G1033" s="142" t="s">
        <v>339</v>
      </c>
      <c r="H1033" s="142" t="s">
        <v>340</v>
      </c>
      <c r="I1033" s="142" t="s">
        <v>46</v>
      </c>
      <c r="J1033" s="157">
        <v>4</v>
      </c>
      <c r="K1033" s="143">
        <v>65</v>
      </c>
      <c r="L1033" s="143">
        <f>J1033*K1033</f>
        <v>260</v>
      </c>
      <c r="M1033" s="156">
        <f>L1033</f>
        <v>260</v>
      </c>
      <c r="N1033" s="141">
        <v>46038</v>
      </c>
      <c r="O1033" s="157">
        <f>WEEKNUM(N1033)</f>
        <v>3</v>
      </c>
      <c r="P1033" s="140"/>
      <c r="Q1033" s="142" t="s">
        <v>29</v>
      </c>
      <c r="R1033" s="143">
        <f>PRODUCT(0.25,J1033)</f>
        <v>1</v>
      </c>
      <c r="S1033" s="143">
        <f>PRODUCT(1.5,J1033)</f>
        <v>6</v>
      </c>
      <c r="T1033" s="143">
        <f>PRODUCT(1.5,J1033)</f>
        <v>6</v>
      </c>
      <c r="U1033" s="143">
        <f>PRODUCT(0.5,J1033)</f>
        <v>2</v>
      </c>
      <c r="V1033" s="143">
        <f>SUM(R1033:U1033)</f>
        <v>15</v>
      </c>
    </row>
    <row r="1034" spans="1:22" s="128" customFormat="1" ht="15.6" hidden="1" x14ac:dyDescent="0.3">
      <c r="A1034" s="142" t="s">
        <v>602</v>
      </c>
      <c r="B1034" s="142">
        <v>394</v>
      </c>
      <c r="C1034" s="141">
        <v>46003</v>
      </c>
      <c r="D1034" s="140">
        <f>WEEKNUM(C1034)</f>
        <v>50</v>
      </c>
      <c r="E1034" s="142" t="s">
        <v>68</v>
      </c>
      <c r="F1034" s="142" t="s">
        <v>391</v>
      </c>
      <c r="G1034" s="142" t="s">
        <v>392</v>
      </c>
      <c r="H1034" s="142" t="s">
        <v>340</v>
      </c>
      <c r="I1034" s="142" t="s">
        <v>46</v>
      </c>
      <c r="J1034" s="157">
        <v>1</v>
      </c>
      <c r="K1034" s="143">
        <v>70</v>
      </c>
      <c r="L1034" s="143">
        <f>J1034*K1034</f>
        <v>70</v>
      </c>
      <c r="M1034" s="156">
        <f>L1034</f>
        <v>70</v>
      </c>
      <c r="N1034" s="141">
        <v>46038</v>
      </c>
      <c r="O1034" s="157">
        <f>WEEKNUM(N1034)</f>
        <v>3</v>
      </c>
      <c r="P1034" s="140"/>
      <c r="Q1034" s="142" t="s">
        <v>29</v>
      </c>
      <c r="R1034" s="143">
        <f>PRODUCT(0.25,J1034)</f>
        <v>0.25</v>
      </c>
      <c r="S1034" s="143">
        <f>PRODUCT(1.5,J1034)</f>
        <v>1.5</v>
      </c>
      <c r="T1034" s="143">
        <f>PRODUCT(1.5,J1034)</f>
        <v>1.5</v>
      </c>
      <c r="U1034" s="143">
        <f>PRODUCT(0.5,J1034)</f>
        <v>0.5</v>
      </c>
      <c r="V1034" s="143">
        <f>SUM(R1034:U1034)</f>
        <v>3.75</v>
      </c>
    </row>
    <row r="1035" spans="1:22" s="128" customFormat="1" ht="15.6" hidden="1" x14ac:dyDescent="0.3">
      <c r="A1035" s="142" t="s">
        <v>602</v>
      </c>
      <c r="B1035" s="142">
        <v>394</v>
      </c>
      <c r="C1035" s="141">
        <v>46003</v>
      </c>
      <c r="D1035" s="140">
        <f>WEEKNUM(C1035)</f>
        <v>50</v>
      </c>
      <c r="E1035" s="142" t="s">
        <v>68</v>
      </c>
      <c r="F1035" s="142" t="s">
        <v>391</v>
      </c>
      <c r="G1035" s="140" t="s">
        <v>503</v>
      </c>
      <c r="H1035" s="142" t="s">
        <v>354</v>
      </c>
      <c r="I1035" s="142" t="s">
        <v>46</v>
      </c>
      <c r="J1035" s="157">
        <v>4</v>
      </c>
      <c r="K1035" s="143">
        <v>36.75</v>
      </c>
      <c r="L1035" s="143">
        <f>J1035*K1035</f>
        <v>147</v>
      </c>
      <c r="M1035" s="156">
        <f>L1035</f>
        <v>147</v>
      </c>
      <c r="N1035" s="141">
        <v>46038</v>
      </c>
      <c r="O1035" s="157">
        <f>WEEKNUM(N1035)</f>
        <v>3</v>
      </c>
      <c r="P1035" s="140"/>
      <c r="Q1035" s="142" t="s">
        <v>29</v>
      </c>
      <c r="R1035" s="143">
        <f>PRODUCT(0.25,J1035)</f>
        <v>1</v>
      </c>
      <c r="S1035" s="143">
        <f>PRODUCT(1.5,J1035)</f>
        <v>6</v>
      </c>
      <c r="T1035" s="143">
        <f>PRODUCT(1.5,J1035)</f>
        <v>6</v>
      </c>
      <c r="U1035" s="143">
        <f>PRODUCT(0.5,J1035)</f>
        <v>2</v>
      </c>
      <c r="V1035" s="143">
        <f>SUM(R1035:U1035)</f>
        <v>15</v>
      </c>
    </row>
    <row r="1036" spans="1:22" s="128" customFormat="1" ht="15.6" hidden="1" x14ac:dyDescent="0.3">
      <c r="A1036" s="142" t="s">
        <v>602</v>
      </c>
      <c r="B1036" s="142">
        <v>394</v>
      </c>
      <c r="C1036" s="141">
        <v>46003</v>
      </c>
      <c r="D1036" s="140">
        <f>WEEKNUM(C1036)</f>
        <v>50</v>
      </c>
      <c r="E1036" s="142" t="s">
        <v>68</v>
      </c>
      <c r="F1036" s="142" t="s">
        <v>391</v>
      </c>
      <c r="G1036" s="142" t="s">
        <v>87</v>
      </c>
      <c r="H1036" s="140" t="s">
        <v>74</v>
      </c>
      <c r="I1036" s="142" t="s">
        <v>46</v>
      </c>
      <c r="J1036" s="157">
        <v>9</v>
      </c>
      <c r="K1036" s="143">
        <v>36.75</v>
      </c>
      <c r="L1036" s="143">
        <f>J1036*K1036</f>
        <v>330.75</v>
      </c>
      <c r="M1036" s="156">
        <f>L1036</f>
        <v>330.75</v>
      </c>
      <c r="N1036" s="141">
        <v>46038</v>
      </c>
      <c r="O1036" s="157">
        <f>WEEKNUM(N1036)</f>
        <v>3</v>
      </c>
      <c r="P1036" s="140"/>
      <c r="Q1036" s="142" t="s">
        <v>29</v>
      </c>
      <c r="R1036" s="156">
        <f>PRODUCT(0.25,J1036)</f>
        <v>2.25</v>
      </c>
      <c r="S1036" s="143">
        <f>PRODUCT(1.5,J1036)</f>
        <v>13.5</v>
      </c>
      <c r="T1036" s="156">
        <f>PRODUCT(1.5,J1036)</f>
        <v>13.5</v>
      </c>
      <c r="U1036" s="156">
        <f>PRODUCT(0.5,J1036)</f>
        <v>4.5</v>
      </c>
      <c r="V1036" s="156">
        <f>SUM(R1036:U1036)</f>
        <v>33.75</v>
      </c>
    </row>
    <row r="1037" spans="1:22" s="128" customFormat="1" ht="15.6" hidden="1" x14ac:dyDescent="0.3">
      <c r="A1037" s="142" t="s">
        <v>602</v>
      </c>
      <c r="B1037" s="142">
        <v>394</v>
      </c>
      <c r="C1037" s="141">
        <v>46003</v>
      </c>
      <c r="D1037" s="140">
        <f>WEEKNUM(C1037)</f>
        <v>50</v>
      </c>
      <c r="E1037" s="142" t="s">
        <v>68</v>
      </c>
      <c r="F1037" s="142" t="s">
        <v>391</v>
      </c>
      <c r="G1037" s="142" t="s">
        <v>603</v>
      </c>
      <c r="H1037" s="140" t="s">
        <v>74</v>
      </c>
      <c r="I1037" s="142" t="s">
        <v>46</v>
      </c>
      <c r="J1037" s="157">
        <v>1</v>
      </c>
      <c r="K1037" s="143">
        <v>50.5</v>
      </c>
      <c r="L1037" s="143">
        <f>J1037*K1037</f>
        <v>50.5</v>
      </c>
      <c r="M1037" s="156">
        <f>L1037</f>
        <v>50.5</v>
      </c>
      <c r="N1037" s="141">
        <v>46038</v>
      </c>
      <c r="O1037" s="157">
        <f>WEEKNUM(N1037)</f>
        <v>3</v>
      </c>
      <c r="P1037" s="140"/>
      <c r="Q1037" s="142" t="s">
        <v>29</v>
      </c>
      <c r="R1037" s="156">
        <f>PRODUCT(0.25,J1037)</f>
        <v>0.25</v>
      </c>
      <c r="S1037" s="143">
        <f>PRODUCT(1.5,J1037)</f>
        <v>1.5</v>
      </c>
      <c r="T1037" s="156">
        <f>PRODUCT(1.5,J1037)</f>
        <v>1.5</v>
      </c>
      <c r="U1037" s="156">
        <f>PRODUCT(0.5,J1037)</f>
        <v>0.5</v>
      </c>
      <c r="V1037" s="156">
        <f>SUM(R1037:U1037)</f>
        <v>3.75</v>
      </c>
    </row>
    <row r="1038" spans="1:22" s="128" customFormat="1" ht="15.6" hidden="1" x14ac:dyDescent="0.3">
      <c r="A1038" s="142" t="s">
        <v>602</v>
      </c>
      <c r="B1038" s="142">
        <v>394</v>
      </c>
      <c r="C1038" s="141">
        <v>46003</v>
      </c>
      <c r="D1038" s="140">
        <f>WEEKNUM(C1038)</f>
        <v>50</v>
      </c>
      <c r="E1038" s="142" t="s">
        <v>68</v>
      </c>
      <c r="F1038" s="142" t="s">
        <v>391</v>
      </c>
      <c r="G1038" s="142" t="s">
        <v>311</v>
      </c>
      <c r="H1038" s="142" t="s">
        <v>51</v>
      </c>
      <c r="I1038" s="142" t="s">
        <v>46</v>
      </c>
      <c r="J1038" s="157">
        <v>6</v>
      </c>
      <c r="K1038" s="143">
        <v>25</v>
      </c>
      <c r="L1038" s="143">
        <f>J1038*K1038</f>
        <v>150</v>
      </c>
      <c r="M1038" s="156">
        <f>L1038</f>
        <v>150</v>
      </c>
      <c r="N1038" s="141">
        <v>46038</v>
      </c>
      <c r="O1038" s="157">
        <f>WEEKNUM(N1038)</f>
        <v>3</v>
      </c>
      <c r="P1038" s="140"/>
      <c r="Q1038" s="142" t="s">
        <v>29</v>
      </c>
      <c r="R1038" s="156">
        <f>PRODUCT(0.25,J1038)</f>
        <v>1.5</v>
      </c>
      <c r="S1038" s="143">
        <f>PRODUCT(0.7,J1038)</f>
        <v>4.1999999999999993</v>
      </c>
      <c r="T1038" s="156">
        <f>PRODUCT(1.5,J1038)</f>
        <v>9</v>
      </c>
      <c r="U1038" s="156">
        <f>PRODUCT(0.5,J1038)</f>
        <v>3</v>
      </c>
      <c r="V1038" s="156">
        <f>SUM(R1038:U1038)</f>
        <v>17.7</v>
      </c>
    </row>
    <row r="1039" spans="1:22" s="128" customFormat="1" ht="15.6" hidden="1" x14ac:dyDescent="0.3">
      <c r="A1039" s="142" t="s">
        <v>477</v>
      </c>
      <c r="B1039" s="142">
        <v>1018</v>
      </c>
      <c r="C1039" s="141">
        <v>46003</v>
      </c>
      <c r="D1039" s="140">
        <f>WEEKNUM(C1039)</f>
        <v>50</v>
      </c>
      <c r="E1039" s="140" t="s">
        <v>478</v>
      </c>
      <c r="F1039" s="142" t="s">
        <v>676</v>
      </c>
      <c r="G1039" s="142" t="s">
        <v>677</v>
      </c>
      <c r="H1039" s="142" t="s">
        <v>60</v>
      </c>
      <c r="I1039" s="142" t="s">
        <v>61</v>
      </c>
      <c r="J1039" s="157">
        <v>100</v>
      </c>
      <c r="K1039" s="143">
        <v>23.9</v>
      </c>
      <c r="L1039" s="143">
        <f>J1039*K1039</f>
        <v>2390</v>
      </c>
      <c r="M1039" s="143">
        <v>0</v>
      </c>
      <c r="N1039" s="141">
        <v>46041</v>
      </c>
      <c r="O1039" s="157">
        <f>WEEKNUM(N1039)</f>
        <v>4</v>
      </c>
      <c r="P1039" s="140"/>
      <c r="Q1039" s="142" t="s">
        <v>29</v>
      </c>
      <c r="R1039" s="143">
        <f>PRODUCT(0.25,J1039)</f>
        <v>25</v>
      </c>
      <c r="S1039" s="143">
        <f>PRODUCT(1.5,335)</f>
        <v>502.5</v>
      </c>
      <c r="T1039" s="143">
        <f>PRODUCT(1.5,J1039)</f>
        <v>150</v>
      </c>
      <c r="U1039" s="143">
        <f>PRODUCT(0.5,J1039)</f>
        <v>50</v>
      </c>
      <c r="V1039" s="143">
        <f>SUM(R1039:U1039)</f>
        <v>727.5</v>
      </c>
    </row>
    <row r="1040" spans="1:22" s="128" customFormat="1" ht="15.6" hidden="1" x14ac:dyDescent="0.3">
      <c r="A1040" s="142" t="s">
        <v>602</v>
      </c>
      <c r="B1040" s="142">
        <v>396</v>
      </c>
      <c r="C1040" s="141">
        <v>46003</v>
      </c>
      <c r="D1040" s="140">
        <f>WEEKNUM(C1040)</f>
        <v>50</v>
      </c>
      <c r="E1040" s="142" t="s">
        <v>68</v>
      </c>
      <c r="F1040" s="142" t="s">
        <v>317</v>
      </c>
      <c r="G1040" s="142" t="s">
        <v>374</v>
      </c>
      <c r="H1040" s="140" t="s">
        <v>74</v>
      </c>
      <c r="I1040" s="142" t="s">
        <v>46</v>
      </c>
      <c r="J1040" s="157">
        <v>15</v>
      </c>
      <c r="K1040" s="143">
        <v>47.5</v>
      </c>
      <c r="L1040" s="143">
        <f>J1040*K1040</f>
        <v>712.5</v>
      </c>
      <c r="M1040" s="143">
        <v>0</v>
      </c>
      <c r="N1040" s="141">
        <v>46003</v>
      </c>
      <c r="O1040" s="157">
        <f>WEEKNUM(N1040)</f>
        <v>50</v>
      </c>
      <c r="P1040" s="140"/>
      <c r="Q1040" s="142" t="s">
        <v>29</v>
      </c>
      <c r="R1040" s="156">
        <f>PRODUCT(0.25,J1040)</f>
        <v>3.75</v>
      </c>
      <c r="S1040" s="143">
        <f>PRODUCT(1.5,J1040)</f>
        <v>22.5</v>
      </c>
      <c r="T1040" s="156">
        <f>PRODUCT(1.5,J1040)</f>
        <v>22.5</v>
      </c>
      <c r="U1040" s="156">
        <f>PRODUCT(0.5,J1040)</f>
        <v>7.5</v>
      </c>
      <c r="V1040" s="156">
        <f>SUM(R1040:U1040)</f>
        <v>56.25</v>
      </c>
    </row>
    <row r="1041" spans="1:22" s="128" customFormat="1" ht="15.6" hidden="1" x14ac:dyDescent="0.3">
      <c r="A1041" s="142" t="s">
        <v>481</v>
      </c>
      <c r="B1041" s="142">
        <v>398</v>
      </c>
      <c r="C1041" s="141">
        <v>46008</v>
      </c>
      <c r="D1041" s="140">
        <f>WEEKNUM(C1041)</f>
        <v>51</v>
      </c>
      <c r="E1041" s="140" t="s">
        <v>475</v>
      </c>
      <c r="F1041" s="142" t="s">
        <v>785</v>
      </c>
      <c r="G1041" s="142" t="s">
        <v>493</v>
      </c>
      <c r="H1041" s="140" t="s">
        <v>494</v>
      </c>
      <c r="I1041" s="142" t="s">
        <v>46</v>
      </c>
      <c r="J1041" s="157">
        <v>100</v>
      </c>
      <c r="K1041" s="143">
        <v>18.5</v>
      </c>
      <c r="L1041" s="143">
        <f>J1041*K1041</f>
        <v>1850</v>
      </c>
      <c r="M1041" s="143">
        <v>925</v>
      </c>
      <c r="N1041" s="141">
        <v>46038</v>
      </c>
      <c r="O1041" s="157">
        <f>WEEKNUM(N1041)</f>
        <v>3</v>
      </c>
      <c r="P1041" s="140"/>
      <c r="Q1041" s="142" t="s">
        <v>29</v>
      </c>
      <c r="R1041" s="156">
        <f>PRODUCT(0.25,J1041)</f>
        <v>25</v>
      </c>
      <c r="S1041" s="143">
        <f>PRODUCT(1.5,J1041)</f>
        <v>150</v>
      </c>
      <c r="T1041" s="156">
        <f>PRODUCT(1.5,J1041)</f>
        <v>150</v>
      </c>
      <c r="U1041" s="156">
        <f>PRODUCT(0.5,J1041)</f>
        <v>50</v>
      </c>
      <c r="V1041" s="156">
        <f>SUM(R1041:U1041)</f>
        <v>375</v>
      </c>
    </row>
    <row r="1042" spans="1:22" s="128" customFormat="1" ht="15.6" hidden="1" x14ac:dyDescent="0.3">
      <c r="A1042" s="142" t="s">
        <v>481</v>
      </c>
      <c r="B1042" s="142">
        <v>389</v>
      </c>
      <c r="C1042" s="141">
        <v>46008</v>
      </c>
      <c r="D1042" s="140">
        <f>WEEKNUM(C1042)</f>
        <v>51</v>
      </c>
      <c r="E1042" s="140" t="s">
        <v>475</v>
      </c>
      <c r="F1042" s="142" t="s">
        <v>997</v>
      </c>
      <c r="G1042" s="142" t="s">
        <v>999</v>
      </c>
      <c r="H1042" s="140" t="s">
        <v>494</v>
      </c>
      <c r="I1042" s="142" t="s">
        <v>46</v>
      </c>
      <c r="J1042" s="157">
        <v>50</v>
      </c>
      <c r="K1042" s="143">
        <v>29.99</v>
      </c>
      <c r="L1042" s="143">
        <f>J1042*K1042</f>
        <v>1499.5</v>
      </c>
      <c r="M1042" s="143">
        <v>749.75</v>
      </c>
      <c r="N1042" s="141">
        <v>46038</v>
      </c>
      <c r="O1042" s="157">
        <f>WEEKNUM(N1042)</f>
        <v>3</v>
      </c>
      <c r="P1042" s="140"/>
      <c r="Q1042" s="142" t="s">
        <v>29</v>
      </c>
      <c r="R1042" s="156">
        <f>PRODUCT(0.25,J1042)</f>
        <v>12.5</v>
      </c>
      <c r="S1042" s="143">
        <f>PRODUCT(1.5,J1042)</f>
        <v>75</v>
      </c>
      <c r="T1042" s="156">
        <f>PRODUCT(1.5,J1042)</f>
        <v>75</v>
      </c>
      <c r="U1042" s="156">
        <f>PRODUCT(0.5,J1042)</f>
        <v>25</v>
      </c>
      <c r="V1042" s="156">
        <f>SUM(R1042:U1042)</f>
        <v>187.5</v>
      </c>
    </row>
    <row r="1043" spans="1:22" s="128" customFormat="1" ht="15.6" hidden="1" x14ac:dyDescent="0.3">
      <c r="A1043" s="142" t="s">
        <v>477</v>
      </c>
      <c r="B1043" s="142">
        <v>1019</v>
      </c>
      <c r="C1043" s="141">
        <v>46009</v>
      </c>
      <c r="D1043" s="140">
        <f>WEEKNUM(C1043)</f>
        <v>51</v>
      </c>
      <c r="E1043" s="142" t="s">
        <v>498</v>
      </c>
      <c r="F1043" s="140" t="s">
        <v>459</v>
      </c>
      <c r="G1043" s="142" t="s">
        <v>301</v>
      </c>
      <c r="H1043" s="140" t="s">
        <v>74</v>
      </c>
      <c r="I1043" s="142" t="s">
        <v>46</v>
      </c>
      <c r="J1043" s="157">
        <v>83</v>
      </c>
      <c r="K1043" s="143">
        <v>33</v>
      </c>
      <c r="L1043" s="143">
        <v>0</v>
      </c>
      <c r="M1043" s="143">
        <v>2739</v>
      </c>
      <c r="N1043" s="141">
        <v>46049</v>
      </c>
      <c r="O1043" s="157">
        <f>WEEKNUM(N1043)</f>
        <v>5</v>
      </c>
      <c r="P1043" s="140"/>
      <c r="Q1043" s="142" t="s">
        <v>29</v>
      </c>
      <c r="R1043" s="156">
        <f>PRODUCT(0.25,J1043)</f>
        <v>20.75</v>
      </c>
      <c r="S1043" s="143">
        <f>PRODUCT(1.5,J1043)</f>
        <v>124.5</v>
      </c>
      <c r="T1043" s="156">
        <f>PRODUCT(1.5,J1043)</f>
        <v>124.5</v>
      </c>
      <c r="U1043" s="156">
        <f>PRODUCT(0.5,J1043)</f>
        <v>41.5</v>
      </c>
      <c r="V1043" s="156">
        <f>SUM(R1043:U1043)</f>
        <v>311.25</v>
      </c>
    </row>
    <row r="1044" spans="1:22" s="128" customFormat="1" ht="15.6" hidden="1" x14ac:dyDescent="0.3">
      <c r="A1044" s="142" t="s">
        <v>477</v>
      </c>
      <c r="B1044" s="142">
        <v>1019</v>
      </c>
      <c r="C1044" s="141">
        <v>46009</v>
      </c>
      <c r="D1044" s="140">
        <f>WEEKNUM(C1044)</f>
        <v>51</v>
      </c>
      <c r="E1044" s="142" t="s">
        <v>498</v>
      </c>
      <c r="F1044" s="140" t="s">
        <v>459</v>
      </c>
      <c r="G1044" s="142" t="s">
        <v>505</v>
      </c>
      <c r="H1044" s="140" t="s">
        <v>78</v>
      </c>
      <c r="I1044" s="142" t="s">
        <v>61</v>
      </c>
      <c r="J1044" s="157">
        <v>20</v>
      </c>
      <c r="K1044" s="143">
        <v>78.5</v>
      </c>
      <c r="L1044" s="143">
        <v>0</v>
      </c>
      <c r="M1044" s="143">
        <v>1570</v>
      </c>
      <c r="N1044" s="141">
        <v>46049</v>
      </c>
      <c r="O1044" s="157">
        <f>WEEKNUM(N1044)</f>
        <v>5</v>
      </c>
      <c r="P1044" s="140"/>
      <c r="Q1044" s="142" t="s">
        <v>29</v>
      </c>
      <c r="R1044" s="143">
        <f>PRODUCT(0.25,J1044)</f>
        <v>5</v>
      </c>
      <c r="S1044" s="143">
        <f>PRODUCT(0,J1044)</f>
        <v>0</v>
      </c>
      <c r="T1044" s="143">
        <f>PRODUCT(3,J1044)</f>
        <v>60</v>
      </c>
      <c r="U1044" s="143">
        <f>PRODUCT(0.5,J1044)</f>
        <v>10</v>
      </c>
      <c r="V1044" s="143">
        <f>SUM(R1044:U1044)</f>
        <v>75</v>
      </c>
    </row>
    <row r="1045" spans="1:22" s="128" customFormat="1" ht="15.6" hidden="1" x14ac:dyDescent="0.3">
      <c r="A1045" s="142" t="s">
        <v>481</v>
      </c>
      <c r="B1045" s="142">
        <v>399</v>
      </c>
      <c r="C1045" s="141">
        <v>46028</v>
      </c>
      <c r="D1045" s="140">
        <f>WEEKNUM(C1045)</f>
        <v>2</v>
      </c>
      <c r="E1045" s="142" t="s">
        <v>68</v>
      </c>
      <c r="F1045" s="142" t="s">
        <v>378</v>
      </c>
      <c r="G1045" s="142" t="s">
        <v>311</v>
      </c>
      <c r="H1045" s="142" t="s">
        <v>51</v>
      </c>
      <c r="I1045" s="142" t="s">
        <v>46</v>
      </c>
      <c r="J1045" s="157">
        <v>7</v>
      </c>
      <c r="K1045" s="143">
        <v>25</v>
      </c>
      <c r="L1045" s="143">
        <f>J1045*K1045</f>
        <v>175</v>
      </c>
      <c r="M1045" s="156">
        <f>L1045</f>
        <v>175</v>
      </c>
      <c r="N1045" s="141">
        <v>46052</v>
      </c>
      <c r="O1045" s="157">
        <f>WEEKNUM(N1045)</f>
        <v>5</v>
      </c>
      <c r="P1045" s="140"/>
      <c r="Q1045" s="142" t="s">
        <v>29</v>
      </c>
      <c r="R1045" s="156">
        <f>PRODUCT(0.25,J1045)</f>
        <v>1.75</v>
      </c>
      <c r="S1045" s="143">
        <f>PRODUCT(0.7*J1045)</f>
        <v>4.8999999999999995</v>
      </c>
      <c r="T1045" s="156">
        <f>PRODUCT(1.5,J1045)</f>
        <v>10.5</v>
      </c>
      <c r="U1045" s="156">
        <f>PRODUCT(0.5,J1045)</f>
        <v>3.5</v>
      </c>
      <c r="V1045" s="143">
        <f>SUM(R1045:U1045)</f>
        <v>20.65</v>
      </c>
    </row>
    <row r="1046" spans="1:22" s="128" customFormat="1" ht="15.6" hidden="1" x14ac:dyDescent="0.3">
      <c r="A1046" s="142" t="s">
        <v>481</v>
      </c>
      <c r="B1046" s="142">
        <v>399</v>
      </c>
      <c r="C1046" s="141">
        <v>46028</v>
      </c>
      <c r="D1046" s="140">
        <f>WEEKNUM(C1046)</f>
        <v>2</v>
      </c>
      <c r="E1046" s="142" t="s">
        <v>68</v>
      </c>
      <c r="F1046" s="142" t="s">
        <v>378</v>
      </c>
      <c r="G1046" s="142" t="s">
        <v>408</v>
      </c>
      <c r="H1046" s="142" t="s">
        <v>80</v>
      </c>
      <c r="I1046" s="142" t="s">
        <v>46</v>
      </c>
      <c r="J1046" s="157">
        <v>5</v>
      </c>
      <c r="K1046" s="143">
        <v>21</v>
      </c>
      <c r="L1046" s="143">
        <f>J1046*K1046</f>
        <v>105</v>
      </c>
      <c r="M1046" s="156">
        <f>L1046</f>
        <v>105</v>
      </c>
      <c r="N1046" s="141">
        <v>46052</v>
      </c>
      <c r="O1046" s="157">
        <f>WEEKNUM(N1046)</f>
        <v>5</v>
      </c>
      <c r="P1046" s="140"/>
      <c r="Q1046" s="142" t="s">
        <v>29</v>
      </c>
      <c r="R1046" s="156">
        <f>PRODUCT(0.25,J1046)</f>
        <v>1.25</v>
      </c>
      <c r="S1046" s="143">
        <f>PRODUCT(1*J1046)</f>
        <v>5</v>
      </c>
      <c r="T1046" s="156">
        <f>PRODUCT(1.2*J1046)</f>
        <v>6</v>
      </c>
      <c r="U1046" s="156">
        <f>PRODUCT(0.5,J1046)</f>
        <v>2.5</v>
      </c>
      <c r="V1046" s="143">
        <f>SUM(R1046:U1046)</f>
        <v>14.75</v>
      </c>
    </row>
    <row r="1047" spans="1:22" s="128" customFormat="1" ht="15.6" hidden="1" x14ac:dyDescent="0.3">
      <c r="A1047" s="142" t="s">
        <v>481</v>
      </c>
      <c r="B1047" s="142">
        <v>399</v>
      </c>
      <c r="C1047" s="141">
        <v>46028</v>
      </c>
      <c r="D1047" s="140">
        <f>WEEKNUM(C1047)</f>
        <v>2</v>
      </c>
      <c r="E1047" s="142" t="s">
        <v>68</v>
      </c>
      <c r="F1047" s="142" t="s">
        <v>378</v>
      </c>
      <c r="G1047" s="142" t="s">
        <v>301</v>
      </c>
      <c r="H1047" s="140" t="s">
        <v>74</v>
      </c>
      <c r="I1047" s="142" t="s">
        <v>46</v>
      </c>
      <c r="J1047" s="157">
        <v>10</v>
      </c>
      <c r="K1047" s="143">
        <v>36.75</v>
      </c>
      <c r="L1047" s="143">
        <f>J1047*K1047</f>
        <v>367.5</v>
      </c>
      <c r="M1047" s="156">
        <f>L1047</f>
        <v>367.5</v>
      </c>
      <c r="N1047" s="141">
        <v>46052</v>
      </c>
      <c r="O1047" s="157">
        <f>WEEKNUM(N1047)</f>
        <v>5</v>
      </c>
      <c r="P1047" s="140"/>
      <c r="Q1047" s="142" t="s">
        <v>29</v>
      </c>
      <c r="R1047" s="156">
        <f>PRODUCT(0.25,J1047)</f>
        <v>2.5</v>
      </c>
      <c r="S1047" s="143">
        <f>PRODUCT(1.5*J1047)</f>
        <v>15</v>
      </c>
      <c r="T1047" s="156">
        <f>PRODUCT(1.5*J1047)</f>
        <v>15</v>
      </c>
      <c r="U1047" s="156">
        <f>PRODUCT(0.5,J1047)</f>
        <v>5</v>
      </c>
      <c r="V1047" s="143">
        <f>SUM(R1047:U1047)</f>
        <v>37.5</v>
      </c>
    </row>
    <row r="1048" spans="1:22" s="128" customFormat="1" ht="15.6" hidden="1" x14ac:dyDescent="0.3">
      <c r="A1048" s="142" t="s">
        <v>481</v>
      </c>
      <c r="B1048" s="142">
        <v>401</v>
      </c>
      <c r="C1048" s="141">
        <v>46030</v>
      </c>
      <c r="D1048" s="140">
        <f>WEEKNUM(C1048)</f>
        <v>2</v>
      </c>
      <c r="E1048" s="140" t="s">
        <v>475</v>
      </c>
      <c r="F1048" s="140" t="s">
        <v>951</v>
      </c>
      <c r="G1048" s="142" t="s">
        <v>155</v>
      </c>
      <c r="H1048" s="142" t="s">
        <v>51</v>
      </c>
      <c r="I1048" s="142" t="s">
        <v>46</v>
      </c>
      <c r="J1048" s="157">
        <v>100</v>
      </c>
      <c r="K1048" s="143">
        <v>19.899999999999999</v>
      </c>
      <c r="L1048" s="143">
        <f>J1048*K1048</f>
        <v>1989.9999999999998</v>
      </c>
      <c r="M1048" s="143">
        <v>0</v>
      </c>
      <c r="N1048" s="141">
        <v>46056</v>
      </c>
      <c r="O1048" s="157">
        <f>WEEKNUM(N1048)</f>
        <v>6</v>
      </c>
      <c r="P1048" s="140"/>
      <c r="Q1048" s="142" t="s">
        <v>29</v>
      </c>
      <c r="R1048" s="156">
        <f>PRODUCT(0.25,J1048)</f>
        <v>25</v>
      </c>
      <c r="S1048" s="143">
        <f>PRODUCT(1,J1048)</f>
        <v>100</v>
      </c>
      <c r="T1048" s="156">
        <f>PRODUCT(1.84*J1048)</f>
        <v>184</v>
      </c>
      <c r="U1048" s="156">
        <f>PRODUCT(0.5,J1048)</f>
        <v>50</v>
      </c>
      <c r="V1048" s="143">
        <f>SUM(R1048:U1048)</f>
        <v>359</v>
      </c>
    </row>
    <row r="1049" spans="1:22" s="128" customFormat="1" ht="15.6" hidden="1" x14ac:dyDescent="0.3">
      <c r="A1049" s="142" t="s">
        <v>477</v>
      </c>
      <c r="B1049" s="142">
        <v>405</v>
      </c>
      <c r="C1049" s="141">
        <v>46031</v>
      </c>
      <c r="D1049" s="140">
        <f>WEEKNUM(C1049)</f>
        <v>2</v>
      </c>
      <c r="E1049" s="140" t="s">
        <v>475</v>
      </c>
      <c r="F1049" s="142" t="s">
        <v>773</v>
      </c>
      <c r="G1049" s="142" t="s">
        <v>598</v>
      </c>
      <c r="H1049" s="140" t="s">
        <v>74</v>
      </c>
      <c r="I1049" s="142" t="s">
        <v>46</v>
      </c>
      <c r="J1049" s="157">
        <v>120</v>
      </c>
      <c r="K1049" s="143">
        <v>22.5</v>
      </c>
      <c r="L1049" s="143">
        <f>J1049*K1049</f>
        <v>2700</v>
      </c>
      <c r="M1049" s="143">
        <v>2700</v>
      </c>
      <c r="N1049" s="141">
        <v>46058</v>
      </c>
      <c r="O1049" s="157">
        <f>WEEKNUM(N1049)</f>
        <v>6</v>
      </c>
      <c r="P1049" s="140"/>
      <c r="Q1049" s="142" t="s">
        <v>29</v>
      </c>
      <c r="R1049" s="156">
        <f>PRODUCT(0.25,J1049)</f>
        <v>30</v>
      </c>
      <c r="S1049" s="143">
        <f>PRODUCT(1.5*J1049)</f>
        <v>180</v>
      </c>
      <c r="T1049" s="156">
        <f>PRODUCT(1.5*J1049)</f>
        <v>180</v>
      </c>
      <c r="U1049" s="156">
        <f>PRODUCT(0.5,J1049)</f>
        <v>60</v>
      </c>
      <c r="V1049" s="143">
        <f>SUM(R1049+S1049+T1049+U1049)</f>
        <v>450</v>
      </c>
    </row>
    <row r="1050" spans="1:22" s="128" customFormat="1" ht="15.6" hidden="1" x14ac:dyDescent="0.3">
      <c r="A1050" s="142" t="s">
        <v>477</v>
      </c>
      <c r="B1050" s="142">
        <v>1022</v>
      </c>
      <c r="C1050" s="141">
        <v>46031</v>
      </c>
      <c r="D1050" s="140">
        <f>WEEKNUM(C1050)</f>
        <v>2</v>
      </c>
      <c r="E1050" s="142" t="s">
        <v>498</v>
      </c>
      <c r="F1050" s="140" t="s">
        <v>637</v>
      </c>
      <c r="G1050" s="142" t="s">
        <v>487</v>
      </c>
      <c r="H1050" s="142" t="s">
        <v>51</v>
      </c>
      <c r="I1050" s="142" t="s">
        <v>46</v>
      </c>
      <c r="J1050" s="157">
        <v>250</v>
      </c>
      <c r="K1050" s="143">
        <v>23.5</v>
      </c>
      <c r="L1050" s="143">
        <f>J1050*K1050</f>
        <v>5875</v>
      </c>
      <c r="M1050" s="143">
        <v>0</v>
      </c>
      <c r="N1050" s="141">
        <v>46042</v>
      </c>
      <c r="O1050" s="157">
        <f>WEEKNUM(N1050)</f>
        <v>4</v>
      </c>
      <c r="P1050" s="140"/>
      <c r="Q1050" s="142" t="s">
        <v>29</v>
      </c>
      <c r="R1050" s="156">
        <f>PRODUCT(0.25,J1050)</f>
        <v>62.5</v>
      </c>
      <c r="S1050" s="143">
        <f>1*J1050</f>
        <v>250</v>
      </c>
      <c r="T1050" s="156">
        <f>1.84*J1050</f>
        <v>460</v>
      </c>
      <c r="U1050" s="156">
        <f>PRODUCT(0.5,J1050)</f>
        <v>125</v>
      </c>
      <c r="V1050" s="143">
        <f>R1050+S1050+T1050+U1050</f>
        <v>897.5</v>
      </c>
    </row>
    <row r="1051" spans="1:22" s="128" customFormat="1" ht="15.6" hidden="1" x14ac:dyDescent="0.3">
      <c r="A1051" s="142" t="s">
        <v>477</v>
      </c>
      <c r="B1051" s="142">
        <v>407</v>
      </c>
      <c r="C1051" s="141">
        <v>46031</v>
      </c>
      <c r="D1051" s="140">
        <f>WEEKNUM(C1051)</f>
        <v>2</v>
      </c>
      <c r="E1051" s="140" t="s">
        <v>475</v>
      </c>
      <c r="F1051" s="142" t="s">
        <v>802</v>
      </c>
      <c r="G1051" s="142" t="s">
        <v>775</v>
      </c>
      <c r="H1051" s="140" t="s">
        <v>74</v>
      </c>
      <c r="I1051" s="142" t="s">
        <v>46</v>
      </c>
      <c r="J1051" s="157">
        <v>30</v>
      </c>
      <c r="K1051" s="143">
        <v>22.5</v>
      </c>
      <c r="L1051" s="143">
        <f>J1051*K1051</f>
        <v>675</v>
      </c>
      <c r="M1051" s="143">
        <v>675</v>
      </c>
      <c r="N1051" s="141">
        <v>46058</v>
      </c>
      <c r="O1051" s="157">
        <f>WEEKNUM(N1051)</f>
        <v>6</v>
      </c>
      <c r="P1051" s="140"/>
      <c r="Q1051" s="142" t="s">
        <v>29</v>
      </c>
      <c r="R1051" s="156">
        <f>PRODUCT(0.25,J1051)</f>
        <v>7.5</v>
      </c>
      <c r="S1051" s="143">
        <f>PRODUCT(1.5*J1051)</f>
        <v>45</v>
      </c>
      <c r="T1051" s="156">
        <f>PRODUCT(1.5*J1051)</f>
        <v>45</v>
      </c>
      <c r="U1051" s="156">
        <f>PRODUCT(0.5,J1051)</f>
        <v>15</v>
      </c>
      <c r="V1051" s="143">
        <f>SUM(R1051+S1051+T1051+U1051)</f>
        <v>112.5</v>
      </c>
    </row>
    <row r="1052" spans="1:22" s="128" customFormat="1" ht="15.6" hidden="1" x14ac:dyDescent="0.3">
      <c r="A1052" s="142" t="s">
        <v>477</v>
      </c>
      <c r="B1052" s="142">
        <v>404</v>
      </c>
      <c r="C1052" s="141">
        <v>46031</v>
      </c>
      <c r="D1052" s="140">
        <f>WEEKNUM(C1052)</f>
        <v>2</v>
      </c>
      <c r="E1052" s="140" t="s">
        <v>475</v>
      </c>
      <c r="F1052" s="142" t="s">
        <v>888</v>
      </c>
      <c r="G1052" s="142" t="s">
        <v>70</v>
      </c>
      <c r="H1052" s="140" t="s">
        <v>74</v>
      </c>
      <c r="I1052" s="142" t="s">
        <v>46</v>
      </c>
      <c r="J1052" s="157">
        <v>25</v>
      </c>
      <c r="K1052" s="143">
        <v>49</v>
      </c>
      <c r="L1052" s="143">
        <f>J1052*K1052</f>
        <v>1225</v>
      </c>
      <c r="M1052" s="143">
        <v>0</v>
      </c>
      <c r="N1052" s="141">
        <v>46035</v>
      </c>
      <c r="O1052" s="157">
        <f>WEEKNUM(N1052)</f>
        <v>3</v>
      </c>
      <c r="P1052" s="140"/>
      <c r="Q1052" s="142" t="s">
        <v>29</v>
      </c>
      <c r="R1052" s="156">
        <f>PRODUCT(0.25,J1052)</f>
        <v>6.25</v>
      </c>
      <c r="S1052" s="143">
        <f>1.5*J1052</f>
        <v>37.5</v>
      </c>
      <c r="T1052" s="156">
        <f>1.5*J1052</f>
        <v>37.5</v>
      </c>
      <c r="U1052" s="156">
        <f>PRODUCT(0.5,J1052)</f>
        <v>12.5</v>
      </c>
      <c r="V1052" s="143">
        <f>R1052+S1052+T1052+U1052</f>
        <v>93.75</v>
      </c>
    </row>
    <row r="1053" spans="1:22" s="128" customFormat="1" ht="15.6" hidden="1" x14ac:dyDescent="0.3">
      <c r="A1053" s="142" t="s">
        <v>481</v>
      </c>
      <c r="B1053" s="142">
        <v>403</v>
      </c>
      <c r="C1053" s="141">
        <v>46031</v>
      </c>
      <c r="D1053" s="140">
        <f>WEEKNUM(C1053)</f>
        <v>2</v>
      </c>
      <c r="E1053" s="142" t="s">
        <v>498</v>
      </c>
      <c r="F1053" s="142" t="s">
        <v>690</v>
      </c>
      <c r="G1053" s="142" t="s">
        <v>487</v>
      </c>
      <c r="H1053" s="142" t="s">
        <v>51</v>
      </c>
      <c r="I1053" s="142" t="s">
        <v>46</v>
      </c>
      <c r="J1053" s="157">
        <v>200</v>
      </c>
      <c r="K1053" s="143">
        <v>24</v>
      </c>
      <c r="L1053" s="143">
        <f>J1053*K1053</f>
        <v>4800</v>
      </c>
      <c r="M1053" s="143">
        <v>2400</v>
      </c>
      <c r="N1053" s="141">
        <v>46045</v>
      </c>
      <c r="O1053" s="157">
        <f>WEEKNUM(N1053)</f>
        <v>4</v>
      </c>
      <c r="P1053" s="140"/>
      <c r="Q1053" s="142" t="s">
        <v>29</v>
      </c>
      <c r="R1053" s="156">
        <f>PRODUCT(0.25,J1053)</f>
        <v>50</v>
      </c>
      <c r="S1053" s="143">
        <f>1*J1053</f>
        <v>200</v>
      </c>
      <c r="T1053" s="156">
        <f>1.84*J1053</f>
        <v>368</v>
      </c>
      <c r="U1053" s="156">
        <f>PRODUCT(0.5,J1053)</f>
        <v>100</v>
      </c>
      <c r="V1053" s="143">
        <f>R1053+S1053+T1053+U1053</f>
        <v>718</v>
      </c>
    </row>
    <row r="1054" spans="1:22" s="128" customFormat="1" ht="15.6" hidden="1" x14ac:dyDescent="0.3">
      <c r="A1054" s="142" t="s">
        <v>481</v>
      </c>
      <c r="B1054" s="142">
        <v>402</v>
      </c>
      <c r="C1054" s="141">
        <v>46031</v>
      </c>
      <c r="D1054" s="140">
        <f>WEEKNUM(C1054)</f>
        <v>2</v>
      </c>
      <c r="E1054" s="140" t="s">
        <v>475</v>
      </c>
      <c r="F1054" s="142" t="s">
        <v>970</v>
      </c>
      <c r="G1054" s="140" t="s">
        <v>480</v>
      </c>
      <c r="H1054" s="142" t="s">
        <v>51</v>
      </c>
      <c r="I1054" s="142" t="s">
        <v>46</v>
      </c>
      <c r="J1054" s="157">
        <v>120</v>
      </c>
      <c r="K1054" s="143">
        <v>16.66</v>
      </c>
      <c r="L1054" s="143">
        <f>J1054*K1054</f>
        <v>1999.2</v>
      </c>
      <c r="M1054" s="143">
        <v>1000</v>
      </c>
      <c r="N1054" s="141">
        <v>46058</v>
      </c>
      <c r="O1054" s="157">
        <f>WEEKNUM(N1054)</f>
        <v>6</v>
      </c>
      <c r="P1054" s="140"/>
      <c r="Q1054" s="142" t="s">
        <v>29</v>
      </c>
      <c r="R1054" s="156">
        <f>PRODUCT(0.25,J1054)</f>
        <v>30</v>
      </c>
      <c r="S1054" s="143">
        <f>PRODUCT(1.5*J1054)</f>
        <v>180</v>
      </c>
      <c r="T1054" s="156">
        <f>PRODUCT(1.5*J1054)</f>
        <v>180</v>
      </c>
      <c r="U1054" s="156">
        <f>PRODUCT(0.5,J1054)</f>
        <v>60</v>
      </c>
      <c r="V1054" s="143">
        <f>SUM(R1054+S1054+T1054+U1054)</f>
        <v>450</v>
      </c>
    </row>
    <row r="1055" spans="1:22" s="128" customFormat="1" ht="15.6" hidden="1" x14ac:dyDescent="0.3">
      <c r="A1055" s="142" t="s">
        <v>477</v>
      </c>
      <c r="B1055" s="142">
        <v>406</v>
      </c>
      <c r="C1055" s="141">
        <v>46031</v>
      </c>
      <c r="D1055" s="140">
        <f>WEEKNUM(C1055)</f>
        <v>2</v>
      </c>
      <c r="E1055" s="140" t="s">
        <v>475</v>
      </c>
      <c r="F1055" s="142" t="s">
        <v>981</v>
      </c>
      <c r="G1055" s="142" t="s">
        <v>965</v>
      </c>
      <c r="H1055" s="142" t="s">
        <v>95</v>
      </c>
      <c r="I1055" s="142" t="s">
        <v>46</v>
      </c>
      <c r="J1055" s="157">
        <v>400</v>
      </c>
      <c r="K1055" s="143">
        <v>8.9</v>
      </c>
      <c r="L1055" s="143">
        <f>J1055*K1055</f>
        <v>3560</v>
      </c>
      <c r="M1055" s="143">
        <v>3560</v>
      </c>
      <c r="N1055" s="141">
        <v>46045</v>
      </c>
      <c r="O1055" s="157">
        <f>WEEKNUM(N1055)</f>
        <v>4</v>
      </c>
      <c r="P1055" s="140"/>
      <c r="Q1055" s="142" t="s">
        <v>29</v>
      </c>
      <c r="R1055" s="156">
        <f>PRODUCT(0.25,J1055)</f>
        <v>100</v>
      </c>
      <c r="S1055" s="143">
        <f>PRODUCT(1.5*J1055)</f>
        <v>600</v>
      </c>
      <c r="T1055" s="156">
        <f>PRODUCT(1.5*J1055)</f>
        <v>600</v>
      </c>
      <c r="U1055" s="156">
        <f>PRODUCT(0.5,J1055)</f>
        <v>200</v>
      </c>
      <c r="V1055" s="143">
        <f>SUM(R1055+S1055+T1055+U1055)</f>
        <v>1500</v>
      </c>
    </row>
    <row r="1056" spans="1:22" s="128" customFormat="1" ht="15.6" hidden="1" x14ac:dyDescent="0.3">
      <c r="A1056" s="142" t="s">
        <v>481</v>
      </c>
      <c r="B1056" s="142">
        <v>411</v>
      </c>
      <c r="C1056" s="141">
        <v>46034</v>
      </c>
      <c r="D1056" s="140">
        <f>WEEKNUM(C1056)</f>
        <v>3</v>
      </c>
      <c r="E1056" s="140" t="s">
        <v>475</v>
      </c>
      <c r="F1056" s="142" t="s">
        <v>696</v>
      </c>
      <c r="G1056" s="142" t="s">
        <v>697</v>
      </c>
      <c r="H1056" s="140" t="s">
        <v>494</v>
      </c>
      <c r="I1056" s="142" t="s">
        <v>46</v>
      </c>
      <c r="J1056" s="157">
        <v>100</v>
      </c>
      <c r="K1056" s="143">
        <v>17.5</v>
      </c>
      <c r="L1056" s="143">
        <f>J1056*K1056</f>
        <v>1750</v>
      </c>
      <c r="M1056" s="143">
        <v>0</v>
      </c>
      <c r="N1056" s="141">
        <v>46058</v>
      </c>
      <c r="O1056" s="157">
        <f>WEEKNUM(N1056)</f>
        <v>6</v>
      </c>
      <c r="P1056" s="140"/>
      <c r="Q1056" s="142" t="s">
        <v>29</v>
      </c>
      <c r="R1056" s="156">
        <f>PRODUCT(0.25,J1056)</f>
        <v>25</v>
      </c>
      <c r="S1056" s="143">
        <f>PRODUCT(1.5*J1056)</f>
        <v>150</v>
      </c>
      <c r="T1056" s="156">
        <f>PRODUCT(1.5*J1056)</f>
        <v>150</v>
      </c>
      <c r="U1056" s="156">
        <f>PRODUCT(0.5,J1056)</f>
        <v>50</v>
      </c>
      <c r="V1056" s="143">
        <f>SUM(R1056+S1056+T1056+U1056)</f>
        <v>375</v>
      </c>
    </row>
    <row r="1057" spans="1:22" s="128" customFormat="1" ht="15.6" hidden="1" x14ac:dyDescent="0.3">
      <c r="A1057" s="142" t="s">
        <v>496</v>
      </c>
      <c r="B1057" s="142">
        <v>414</v>
      </c>
      <c r="C1057" s="141">
        <v>46036</v>
      </c>
      <c r="D1057" s="140">
        <f>WEEKNUM(C1057)</f>
        <v>3</v>
      </c>
      <c r="E1057" s="142" t="s">
        <v>68</v>
      </c>
      <c r="F1057" s="142" t="s">
        <v>391</v>
      </c>
      <c r="G1057" s="142" t="s">
        <v>311</v>
      </c>
      <c r="H1057" s="142" t="s">
        <v>51</v>
      </c>
      <c r="I1057" s="142" t="s">
        <v>46</v>
      </c>
      <c r="J1057" s="157">
        <v>2</v>
      </c>
      <c r="K1057" s="143">
        <v>25</v>
      </c>
      <c r="L1057" s="143">
        <f>J1057*K1057</f>
        <v>50</v>
      </c>
      <c r="M1057" s="156">
        <f>L1057</f>
        <v>50</v>
      </c>
      <c r="N1057" s="141">
        <v>46062</v>
      </c>
      <c r="O1057" s="157">
        <f>WEEKNUM(N1057)</f>
        <v>7</v>
      </c>
      <c r="P1057" s="140"/>
      <c r="Q1057" s="142" t="s">
        <v>29</v>
      </c>
      <c r="R1057" s="156">
        <f>PRODUCT(0.25,J1057)</f>
        <v>0.5</v>
      </c>
      <c r="S1057" s="143">
        <f>PRODUCT(1.5*J1057)</f>
        <v>3</v>
      </c>
      <c r="T1057" s="156">
        <f>PRODUCT(1.5*J1057)</f>
        <v>3</v>
      </c>
      <c r="U1057" s="156">
        <f>PRODUCT(0.5,J1057)</f>
        <v>1</v>
      </c>
      <c r="V1057" s="143">
        <f>SUM(R1057+S1057+T1057+U1057)</f>
        <v>7.5</v>
      </c>
    </row>
    <row r="1058" spans="1:22" s="128" customFormat="1" ht="15.6" hidden="1" x14ac:dyDescent="0.3">
      <c r="A1058" s="142" t="s">
        <v>496</v>
      </c>
      <c r="B1058" s="142">
        <v>414</v>
      </c>
      <c r="C1058" s="141">
        <v>46036</v>
      </c>
      <c r="D1058" s="140">
        <f>WEEKNUM(C1058)</f>
        <v>3</v>
      </c>
      <c r="E1058" s="142" t="s">
        <v>68</v>
      </c>
      <c r="F1058" s="142" t="s">
        <v>391</v>
      </c>
      <c r="G1058" s="140" t="s">
        <v>503</v>
      </c>
      <c r="H1058" s="142" t="s">
        <v>354</v>
      </c>
      <c r="I1058" s="142" t="s">
        <v>46</v>
      </c>
      <c r="J1058" s="157">
        <v>2</v>
      </c>
      <c r="K1058" s="143">
        <v>36.75</v>
      </c>
      <c r="L1058" s="143">
        <f>J1058*K1058</f>
        <v>73.5</v>
      </c>
      <c r="M1058" s="156">
        <f>L1058</f>
        <v>73.5</v>
      </c>
      <c r="N1058" s="141">
        <v>46062</v>
      </c>
      <c r="O1058" s="157">
        <f>WEEKNUM(N1058)</f>
        <v>7</v>
      </c>
      <c r="P1058" s="140"/>
      <c r="Q1058" s="142" t="s">
        <v>29</v>
      </c>
      <c r="R1058" s="156">
        <f>PRODUCT(0.25,J1058)</f>
        <v>0.5</v>
      </c>
      <c r="S1058" s="143">
        <f>PRODUCT(1.5*J1058)</f>
        <v>3</v>
      </c>
      <c r="T1058" s="156">
        <f>PRODUCT(1.5*J1058)</f>
        <v>3</v>
      </c>
      <c r="U1058" s="156">
        <f>PRODUCT(0.5,J1058)</f>
        <v>1</v>
      </c>
      <c r="V1058" s="143">
        <f>SUM(R1058+S1058+T1058+U1058)</f>
        <v>7.5</v>
      </c>
    </row>
    <row r="1059" spans="1:22" s="128" customFormat="1" ht="15.6" hidden="1" x14ac:dyDescent="0.3">
      <c r="A1059" s="142" t="s">
        <v>496</v>
      </c>
      <c r="B1059" s="142">
        <v>414</v>
      </c>
      <c r="C1059" s="141">
        <v>46036</v>
      </c>
      <c r="D1059" s="140">
        <f>WEEKNUM(C1059)</f>
        <v>3</v>
      </c>
      <c r="E1059" s="142" t="s">
        <v>68</v>
      </c>
      <c r="F1059" s="142" t="s">
        <v>391</v>
      </c>
      <c r="G1059" s="142" t="s">
        <v>339</v>
      </c>
      <c r="H1059" s="142" t="s">
        <v>340</v>
      </c>
      <c r="I1059" s="142" t="s">
        <v>46</v>
      </c>
      <c r="J1059" s="157">
        <v>1</v>
      </c>
      <c r="K1059" s="143">
        <v>65</v>
      </c>
      <c r="L1059" s="143">
        <f>J1059*K1059</f>
        <v>65</v>
      </c>
      <c r="M1059" s="156">
        <f>L1059</f>
        <v>65</v>
      </c>
      <c r="N1059" s="141">
        <v>46062</v>
      </c>
      <c r="O1059" s="157">
        <f>WEEKNUM(N1059)</f>
        <v>7</v>
      </c>
      <c r="P1059" s="140"/>
      <c r="Q1059" s="142" t="s">
        <v>29</v>
      </c>
      <c r="R1059" s="156">
        <f>PRODUCT(0.25,J1059)</f>
        <v>0.25</v>
      </c>
      <c r="S1059" s="143">
        <f>PRODUCT(1.5*J1059)</f>
        <v>1.5</v>
      </c>
      <c r="T1059" s="156">
        <f>PRODUCT(1.5*J1059)</f>
        <v>1.5</v>
      </c>
      <c r="U1059" s="156">
        <f>PRODUCT(0.5,J1059)</f>
        <v>0.5</v>
      </c>
      <c r="V1059" s="143">
        <f>SUM(R1059+S1059+T1059+U1059)</f>
        <v>3.75</v>
      </c>
    </row>
    <row r="1060" spans="1:22" s="128" customFormat="1" ht="15.6" hidden="1" x14ac:dyDescent="0.3">
      <c r="A1060" s="142" t="s">
        <v>477</v>
      </c>
      <c r="B1060" s="142">
        <v>1025</v>
      </c>
      <c r="C1060" s="141">
        <v>46036</v>
      </c>
      <c r="D1060" s="140">
        <f>WEEKNUM(C1060)</f>
        <v>3</v>
      </c>
      <c r="E1060" s="140" t="s">
        <v>475</v>
      </c>
      <c r="F1060" s="130" t="s">
        <v>621</v>
      </c>
      <c r="G1060" s="142" t="s">
        <v>301</v>
      </c>
      <c r="H1060" s="140" t="s">
        <v>74</v>
      </c>
      <c r="I1060" s="142" t="s">
        <v>46</v>
      </c>
      <c r="J1060" s="157">
        <v>50</v>
      </c>
      <c r="K1060" s="143">
        <v>37</v>
      </c>
      <c r="L1060" s="143">
        <f>J1060*K1060</f>
        <v>1850</v>
      </c>
      <c r="M1060" s="143">
        <v>0</v>
      </c>
      <c r="N1060" s="141">
        <v>46050</v>
      </c>
      <c r="O1060" s="157">
        <f>WEEKNUM(N1060)</f>
        <v>5</v>
      </c>
      <c r="P1060" s="140"/>
      <c r="Q1060" s="142" t="s">
        <v>29</v>
      </c>
      <c r="R1060" s="156">
        <f>PRODUCT(0.25,J1060)</f>
        <v>12.5</v>
      </c>
      <c r="S1060" s="143">
        <f>PRODUCT(1.5*J1060)</f>
        <v>75</v>
      </c>
      <c r="T1060" s="156">
        <f>PRODUCT(1.5*J1060)</f>
        <v>75</v>
      </c>
      <c r="U1060" s="156">
        <f>PRODUCT(0.5,J1060)</f>
        <v>25</v>
      </c>
      <c r="V1060" s="143">
        <f>SUM(R1060+S1060+T1060+U1060)</f>
        <v>187.5</v>
      </c>
    </row>
    <row r="1061" spans="1:22" s="128" customFormat="1" ht="15.6" hidden="1" x14ac:dyDescent="0.3">
      <c r="A1061" s="142" t="s">
        <v>477</v>
      </c>
      <c r="B1061" s="142">
        <v>1024</v>
      </c>
      <c r="C1061" s="141">
        <v>46036</v>
      </c>
      <c r="D1061" s="140">
        <f>WEEKNUM(C1061)</f>
        <v>3</v>
      </c>
      <c r="E1061" s="142" t="s">
        <v>498</v>
      </c>
      <c r="F1061" s="142" t="s">
        <v>990</v>
      </c>
      <c r="G1061" s="142" t="s">
        <v>487</v>
      </c>
      <c r="H1061" s="142" t="s">
        <v>51</v>
      </c>
      <c r="I1061" s="142" t="s">
        <v>46</v>
      </c>
      <c r="J1061" s="157">
        <v>100</v>
      </c>
      <c r="K1061" s="143">
        <v>25</v>
      </c>
      <c r="L1061" s="143">
        <f>J1061*K1061</f>
        <v>2500</v>
      </c>
      <c r="M1061" s="143">
        <v>0</v>
      </c>
      <c r="N1061" s="141">
        <v>46063</v>
      </c>
      <c r="O1061" s="157">
        <f>WEEKNUM(N1061)</f>
        <v>7</v>
      </c>
      <c r="P1061" s="140"/>
      <c r="Q1061" s="142" t="s">
        <v>29</v>
      </c>
      <c r="R1061" s="156">
        <f>PRODUCT(0.25,J1061)</f>
        <v>25</v>
      </c>
      <c r="S1061" s="143">
        <f>PRODUCT(1.5*J1061)</f>
        <v>150</v>
      </c>
      <c r="T1061" s="156">
        <f>PRODUCT(1.5*J1061)</f>
        <v>150</v>
      </c>
      <c r="U1061" s="156">
        <f>PRODUCT(0.5,J1061)</f>
        <v>50</v>
      </c>
      <c r="V1061" s="143">
        <f>SUM(R1061+S1061+T1061+U1061)</f>
        <v>375</v>
      </c>
    </row>
    <row r="1062" spans="1:22" s="128" customFormat="1" ht="15.6" hidden="1" x14ac:dyDescent="0.3">
      <c r="A1062" s="142" t="s">
        <v>496</v>
      </c>
      <c r="B1062" s="142">
        <v>415</v>
      </c>
      <c r="C1062" s="141">
        <v>46037</v>
      </c>
      <c r="D1062" s="140">
        <f>WEEKNUM(C1062)</f>
        <v>3</v>
      </c>
      <c r="E1062" s="142" t="s">
        <v>68</v>
      </c>
      <c r="F1062" s="142" t="s">
        <v>394</v>
      </c>
      <c r="G1062" s="142" t="s">
        <v>311</v>
      </c>
      <c r="H1062" s="142" t="s">
        <v>51</v>
      </c>
      <c r="I1062" s="142" t="s">
        <v>46</v>
      </c>
      <c r="J1062" s="157">
        <v>18</v>
      </c>
      <c r="K1062" s="143">
        <v>25</v>
      </c>
      <c r="L1062" s="143">
        <f>J1062*K1062</f>
        <v>450</v>
      </c>
      <c r="M1062" s="156">
        <f>L1062</f>
        <v>450</v>
      </c>
      <c r="N1062" s="141">
        <v>46064</v>
      </c>
      <c r="O1062" s="157">
        <f>WEEKNUM(N1062)</f>
        <v>7</v>
      </c>
      <c r="P1062" s="140"/>
      <c r="Q1062" s="142" t="s">
        <v>29</v>
      </c>
      <c r="R1062" s="156">
        <f>PRODUCT(0.25,J1062)</f>
        <v>4.5</v>
      </c>
      <c r="S1062" s="143">
        <f>PRODUCT(1.5*J1062)</f>
        <v>27</v>
      </c>
      <c r="T1062" s="156">
        <f>PRODUCT(1.5*J1062)</f>
        <v>27</v>
      </c>
      <c r="U1062" s="156">
        <f>PRODUCT(0.5,J1062)</f>
        <v>9</v>
      </c>
      <c r="V1062" s="143">
        <f>SUM(R1062+S1062+T1062+U1062)</f>
        <v>67.5</v>
      </c>
    </row>
    <row r="1063" spans="1:22" s="128" customFormat="1" ht="15.6" hidden="1" x14ac:dyDescent="0.3">
      <c r="A1063" s="142" t="s">
        <v>496</v>
      </c>
      <c r="B1063" s="142">
        <v>415</v>
      </c>
      <c r="C1063" s="141">
        <v>46037</v>
      </c>
      <c r="D1063" s="140">
        <f>WEEKNUM(C1063)</f>
        <v>3</v>
      </c>
      <c r="E1063" s="142" t="s">
        <v>68</v>
      </c>
      <c r="F1063" s="142" t="s">
        <v>394</v>
      </c>
      <c r="G1063" s="142" t="s">
        <v>301</v>
      </c>
      <c r="H1063" s="140" t="s">
        <v>74</v>
      </c>
      <c r="I1063" s="142" t="s">
        <v>46</v>
      </c>
      <c r="J1063" s="157">
        <v>30</v>
      </c>
      <c r="K1063" s="143">
        <v>36.75</v>
      </c>
      <c r="L1063" s="143">
        <f>J1063*K1063</f>
        <v>1102.5</v>
      </c>
      <c r="M1063" s="156">
        <f>L1063</f>
        <v>1102.5</v>
      </c>
      <c r="N1063" s="141">
        <v>46064</v>
      </c>
      <c r="O1063" s="157">
        <f>WEEKNUM(N1063)</f>
        <v>7</v>
      </c>
      <c r="P1063" s="140"/>
      <c r="Q1063" s="142" t="s">
        <v>29</v>
      </c>
      <c r="R1063" s="156">
        <f>PRODUCT(0.25,J1063)</f>
        <v>7.5</v>
      </c>
      <c r="S1063" s="143">
        <f>PRODUCT(1.5*J1063)</f>
        <v>45</v>
      </c>
      <c r="T1063" s="156">
        <f>PRODUCT(1.5*J1063)</f>
        <v>45</v>
      </c>
      <c r="U1063" s="156">
        <f>PRODUCT(0.5,J1063)</f>
        <v>15</v>
      </c>
      <c r="V1063" s="143">
        <f>SUM(R1063+S1063+T1063+U1063)</f>
        <v>112.5</v>
      </c>
    </row>
    <row r="1064" spans="1:22" s="128" customFormat="1" ht="15.6" hidden="1" x14ac:dyDescent="0.3">
      <c r="A1064" s="142" t="s">
        <v>496</v>
      </c>
      <c r="B1064" s="142">
        <v>415</v>
      </c>
      <c r="C1064" s="141">
        <v>46037</v>
      </c>
      <c r="D1064" s="140">
        <f>WEEKNUM(C1064)</f>
        <v>3</v>
      </c>
      <c r="E1064" s="142" t="s">
        <v>68</v>
      </c>
      <c r="F1064" s="142" t="s">
        <v>394</v>
      </c>
      <c r="G1064" s="142" t="s">
        <v>408</v>
      </c>
      <c r="H1064" s="142" t="s">
        <v>80</v>
      </c>
      <c r="I1064" s="142" t="s">
        <v>46</v>
      </c>
      <c r="J1064" s="157">
        <v>15</v>
      </c>
      <c r="K1064" s="143">
        <v>21</v>
      </c>
      <c r="L1064" s="143">
        <f>J1064*K1064</f>
        <v>315</v>
      </c>
      <c r="M1064" s="156">
        <f>L1064</f>
        <v>315</v>
      </c>
      <c r="N1064" s="141">
        <v>46064</v>
      </c>
      <c r="O1064" s="157">
        <f>WEEKNUM(N1064)</f>
        <v>7</v>
      </c>
      <c r="P1064" s="140"/>
      <c r="Q1064" s="142" t="s">
        <v>29</v>
      </c>
      <c r="R1064" s="156">
        <f>PRODUCT(0.25,J1064)</f>
        <v>3.75</v>
      </c>
      <c r="S1064" s="143">
        <f>PRODUCT(1.5*J1064)</f>
        <v>22.5</v>
      </c>
      <c r="T1064" s="156">
        <f>PRODUCT(1.5*J1064)</f>
        <v>22.5</v>
      </c>
      <c r="U1064" s="156">
        <f>PRODUCT(0.5,J1064)</f>
        <v>7.5</v>
      </c>
      <c r="V1064" s="143">
        <f>SUM(R1064+S1064+T1064+U1064)</f>
        <v>56.25</v>
      </c>
    </row>
    <row r="1065" spans="1:22" s="128" customFormat="1" ht="15.6" hidden="1" x14ac:dyDescent="0.3">
      <c r="A1065" s="142" t="s">
        <v>477</v>
      </c>
      <c r="B1065" s="142">
        <v>1026</v>
      </c>
      <c r="C1065" s="141">
        <v>46037</v>
      </c>
      <c r="D1065" s="140">
        <f>WEEKNUM(C1065)</f>
        <v>3</v>
      </c>
      <c r="E1065" s="142" t="s">
        <v>498</v>
      </c>
      <c r="F1065" s="140" t="s">
        <v>459</v>
      </c>
      <c r="G1065" s="142" t="s">
        <v>906</v>
      </c>
      <c r="H1065" s="142" t="s">
        <v>907</v>
      </c>
      <c r="I1065" s="142" t="s">
        <v>46</v>
      </c>
      <c r="J1065" s="157">
        <v>2000</v>
      </c>
      <c r="K1065" s="143">
        <v>15.7</v>
      </c>
      <c r="L1065" s="143">
        <f>J1065*K1065</f>
        <v>31400</v>
      </c>
      <c r="M1065" s="143">
        <f>L1065</f>
        <v>31400</v>
      </c>
      <c r="N1065" s="141">
        <v>46073</v>
      </c>
      <c r="O1065" s="157">
        <f>WEEKNUM(N1065)</f>
        <v>8</v>
      </c>
      <c r="P1065" s="140"/>
      <c r="Q1065" s="142" t="s">
        <v>29</v>
      </c>
      <c r="R1065" s="156">
        <f>PRODUCT(0.25,J1065)</f>
        <v>500</v>
      </c>
      <c r="S1065" s="143">
        <f>PRODUCT(1.5*J1065)</f>
        <v>3000</v>
      </c>
      <c r="T1065" s="156">
        <f>PRODUCT(1.5*J1065)</f>
        <v>3000</v>
      </c>
      <c r="U1065" s="156">
        <f>PRODUCT(0.5,J1065)</f>
        <v>1000</v>
      </c>
      <c r="V1065" s="143">
        <f>SUM(R1065+S1065+T1065+U1065)</f>
        <v>7500</v>
      </c>
    </row>
    <row r="1066" spans="1:22" s="128" customFormat="1" ht="15.6" hidden="1" x14ac:dyDescent="0.3">
      <c r="A1066" s="142" t="s">
        <v>477</v>
      </c>
      <c r="B1066" s="142">
        <v>1026</v>
      </c>
      <c r="C1066" s="141">
        <v>46037</v>
      </c>
      <c r="D1066" s="140">
        <v>3</v>
      </c>
      <c r="E1066" s="142" t="s">
        <v>498</v>
      </c>
      <c r="F1066" s="140" t="s">
        <v>459</v>
      </c>
      <c r="G1066" s="142" t="s">
        <v>906</v>
      </c>
      <c r="H1066" s="142" t="s">
        <v>907</v>
      </c>
      <c r="I1066" s="142" t="s">
        <v>46</v>
      </c>
      <c r="J1066" s="157">
        <v>1250</v>
      </c>
      <c r="K1066" s="143">
        <v>15.7</v>
      </c>
      <c r="L1066" s="143">
        <f>K1066*J1066</f>
        <v>19625</v>
      </c>
      <c r="M1066" s="143">
        <f>L1066</f>
        <v>19625</v>
      </c>
      <c r="N1066" s="141">
        <v>46073</v>
      </c>
      <c r="O1066" s="157">
        <v>8</v>
      </c>
      <c r="P1066" s="142"/>
      <c r="Q1066" s="143" t="s">
        <v>29</v>
      </c>
      <c r="R1066" s="156">
        <f>PRODUCT(0.25,J1066)</f>
        <v>312.5</v>
      </c>
      <c r="S1066" s="143">
        <f>PRODUCT(1.5*J1066)</f>
        <v>1875</v>
      </c>
      <c r="T1066" s="156">
        <f>PRODUCT(1.5*J1066)</f>
        <v>1875</v>
      </c>
      <c r="U1066" s="156">
        <f>PRODUCT(0.5,J1066)</f>
        <v>625</v>
      </c>
      <c r="V1066" s="143">
        <f>SUM(R1066+S1066+T1066+U1066)</f>
        <v>4687.5</v>
      </c>
    </row>
    <row r="1067" spans="1:22" s="128" customFormat="1" ht="15.6" hidden="1" x14ac:dyDescent="0.3">
      <c r="A1067" s="142" t="s">
        <v>481</v>
      </c>
      <c r="B1067" s="142">
        <v>422</v>
      </c>
      <c r="C1067" s="141">
        <v>46038</v>
      </c>
      <c r="D1067" s="140">
        <f>WEEKNUM(C1067)</f>
        <v>3</v>
      </c>
      <c r="E1067" s="140" t="s">
        <v>475</v>
      </c>
      <c r="F1067" s="142" t="s">
        <v>524</v>
      </c>
      <c r="G1067" s="142" t="s">
        <v>301</v>
      </c>
      <c r="H1067" s="140" t="s">
        <v>74</v>
      </c>
      <c r="I1067" s="142" t="s">
        <v>46</v>
      </c>
      <c r="J1067" s="157">
        <v>200</v>
      </c>
      <c r="K1067" s="143">
        <v>25.5</v>
      </c>
      <c r="L1067" s="143">
        <f>J1067*K1067</f>
        <v>5100</v>
      </c>
      <c r="M1067" s="143">
        <v>0</v>
      </c>
      <c r="N1067" s="141">
        <v>46066</v>
      </c>
      <c r="O1067" s="157">
        <f>WEEKNUM(N1067)</f>
        <v>7</v>
      </c>
      <c r="P1067" s="140"/>
      <c r="Q1067" s="142" t="s">
        <v>29</v>
      </c>
      <c r="R1067" s="156">
        <f>PRODUCT(0.25,J1067)</f>
        <v>50</v>
      </c>
      <c r="S1067" s="143">
        <f>PRODUCT(1.5*J1067)</f>
        <v>300</v>
      </c>
      <c r="T1067" s="156">
        <f>PRODUCT(1.5*J1067)</f>
        <v>300</v>
      </c>
      <c r="U1067" s="156">
        <f>PRODUCT(0.5,J1067)</f>
        <v>100</v>
      </c>
      <c r="V1067" s="143">
        <f>SUM(R1067+S1067+T1067+U1067)</f>
        <v>750</v>
      </c>
    </row>
    <row r="1068" spans="1:22" s="128" customFormat="1" ht="15.6" hidden="1" x14ac:dyDescent="0.3">
      <c r="A1068" s="142" t="s">
        <v>481</v>
      </c>
      <c r="B1068" s="142">
        <v>421</v>
      </c>
      <c r="C1068" s="141">
        <v>46038</v>
      </c>
      <c r="D1068" s="140">
        <f>WEEKNUM(C1068)</f>
        <v>3</v>
      </c>
      <c r="E1068" s="140" t="s">
        <v>475</v>
      </c>
      <c r="F1068" s="142" t="s">
        <v>627</v>
      </c>
      <c r="G1068" s="142" t="s">
        <v>515</v>
      </c>
      <c r="H1068" s="142" t="s">
        <v>60</v>
      </c>
      <c r="I1068" s="142" t="s">
        <v>61</v>
      </c>
      <c r="J1068" s="157">
        <v>2000</v>
      </c>
      <c r="K1068" s="143">
        <v>12</v>
      </c>
      <c r="L1068" s="143">
        <f>J1068*K1068</f>
        <v>24000</v>
      </c>
      <c r="M1068" s="143">
        <v>0</v>
      </c>
      <c r="N1068" s="141">
        <v>46066</v>
      </c>
      <c r="O1068" s="157">
        <f>WEEKNUM(N1068)</f>
        <v>7</v>
      </c>
      <c r="P1068" s="140"/>
      <c r="Q1068" s="142" t="s">
        <v>29</v>
      </c>
      <c r="R1068" s="156">
        <f>PRODUCT(0.25,J1068)</f>
        <v>500</v>
      </c>
      <c r="S1068" s="143">
        <f>PRODUCT(1.5*J1068)</f>
        <v>3000</v>
      </c>
      <c r="T1068" s="156">
        <f>PRODUCT(1.5*J1068)</f>
        <v>3000</v>
      </c>
      <c r="U1068" s="156">
        <f>PRODUCT(0.5,J1068)</f>
        <v>1000</v>
      </c>
      <c r="V1068" s="143">
        <f>SUM(R1068+S1068+T1068+U1068)</f>
        <v>7500</v>
      </c>
    </row>
    <row r="1069" spans="1:22" s="128" customFormat="1" ht="15.6" hidden="1" x14ac:dyDescent="0.3">
      <c r="A1069" s="142" t="s">
        <v>477</v>
      </c>
      <c r="B1069" s="142">
        <v>1027</v>
      </c>
      <c r="C1069" s="141">
        <v>46038</v>
      </c>
      <c r="D1069" s="140">
        <f>WEEKNUM(C1069)</f>
        <v>3</v>
      </c>
      <c r="E1069" s="140" t="s">
        <v>478</v>
      </c>
      <c r="F1069" s="140" t="s">
        <v>444</v>
      </c>
      <c r="G1069" s="130" t="s">
        <v>638</v>
      </c>
      <c r="H1069" s="142" t="s">
        <v>60</v>
      </c>
      <c r="I1069" s="142" t="s">
        <v>61</v>
      </c>
      <c r="J1069" s="157">
        <v>300</v>
      </c>
      <c r="K1069" s="143">
        <v>23</v>
      </c>
      <c r="L1069" s="143">
        <f>J1069*K1069</f>
        <v>6900</v>
      </c>
      <c r="M1069" s="143">
        <v>0</v>
      </c>
      <c r="N1069" s="141">
        <v>46069</v>
      </c>
      <c r="O1069" s="157">
        <f>WEEKNUM(N1069)</f>
        <v>8</v>
      </c>
      <c r="P1069" s="140"/>
      <c r="Q1069" s="142" t="s">
        <v>29</v>
      </c>
      <c r="R1069" s="156">
        <f>PRODUCT(0.25,J1069)</f>
        <v>75</v>
      </c>
      <c r="S1069" s="143">
        <f>PRODUCT(1.5*J1069)</f>
        <v>450</v>
      </c>
      <c r="T1069" s="156">
        <f>PRODUCT(1.5*J1069)</f>
        <v>450</v>
      </c>
      <c r="U1069" s="156">
        <f>PRODUCT(0.5,J1069)</f>
        <v>150</v>
      </c>
      <c r="V1069" s="143">
        <f>SUM(R1069+S1069+T1069+U1069)</f>
        <v>1125</v>
      </c>
    </row>
    <row r="1070" spans="1:22" s="128" customFormat="1" ht="15.6" hidden="1" x14ac:dyDescent="0.3">
      <c r="A1070" s="142" t="s">
        <v>477</v>
      </c>
      <c r="B1070" s="142">
        <v>213</v>
      </c>
      <c r="C1070" s="141">
        <v>46041</v>
      </c>
      <c r="D1070" s="140">
        <f>WEEKNUM(C1070)</f>
        <v>4</v>
      </c>
      <c r="E1070" s="142" t="s">
        <v>498</v>
      </c>
      <c r="F1070" s="140" t="s">
        <v>446</v>
      </c>
      <c r="G1070" s="142" t="s">
        <v>155</v>
      </c>
      <c r="H1070" s="142" t="s">
        <v>51</v>
      </c>
      <c r="I1070" s="142" t="s">
        <v>46</v>
      </c>
      <c r="J1070" s="157">
        <v>2500</v>
      </c>
      <c r="K1070" s="143">
        <v>23.5</v>
      </c>
      <c r="L1070" s="143">
        <f>J1070*K1070</f>
        <v>58750</v>
      </c>
      <c r="M1070" s="143">
        <f>L1070</f>
        <v>58750</v>
      </c>
      <c r="N1070" s="141">
        <v>46072</v>
      </c>
      <c r="O1070" s="157">
        <f>WEEKNUM(N1070)</f>
        <v>8</v>
      </c>
      <c r="P1070" s="140"/>
      <c r="Q1070" s="142" t="s">
        <v>29</v>
      </c>
      <c r="R1070" s="156">
        <f>PRODUCT(0.25,J1070)</f>
        <v>625</v>
      </c>
      <c r="S1070" s="143">
        <f>PRODUCT(1.5*J1070)</f>
        <v>3750</v>
      </c>
      <c r="T1070" s="156">
        <f>PRODUCT(1.5*J1070)</f>
        <v>3750</v>
      </c>
      <c r="U1070" s="156">
        <f>PRODUCT(0.5,J1070)</f>
        <v>1250</v>
      </c>
      <c r="V1070" s="143">
        <f>SUM(R1070+S1070+T1070+U1070)</f>
        <v>9375</v>
      </c>
    </row>
    <row r="1071" spans="1:22" s="128" customFormat="1" ht="15.6" hidden="1" x14ac:dyDescent="0.3">
      <c r="A1071" s="142" t="s">
        <v>477</v>
      </c>
      <c r="B1071" s="142">
        <v>1028</v>
      </c>
      <c r="C1071" s="141">
        <v>46041</v>
      </c>
      <c r="D1071" s="140">
        <f>WEEKNUM(C1071)</f>
        <v>4</v>
      </c>
      <c r="E1071" s="140" t="s">
        <v>475</v>
      </c>
      <c r="F1071" s="142" t="s">
        <v>647</v>
      </c>
      <c r="G1071" s="142" t="s">
        <v>649</v>
      </c>
      <c r="H1071" s="142" t="s">
        <v>51</v>
      </c>
      <c r="I1071" s="142" t="s">
        <v>46</v>
      </c>
      <c r="J1071" s="157">
        <v>150</v>
      </c>
      <c r="K1071" s="143">
        <v>23.5</v>
      </c>
      <c r="L1071" s="143">
        <f>J1071*K1071</f>
        <v>3525</v>
      </c>
      <c r="M1071" s="143">
        <f>L1071/2</f>
        <v>1762.5</v>
      </c>
      <c r="N1071" s="141">
        <v>46071</v>
      </c>
      <c r="O1071" s="157">
        <f>WEEKNUM(N1071)</f>
        <v>8</v>
      </c>
      <c r="P1071" s="140"/>
      <c r="Q1071" s="142" t="s">
        <v>29</v>
      </c>
      <c r="R1071" s="156">
        <f>PRODUCT(0.25,J1071)</f>
        <v>37.5</v>
      </c>
      <c r="S1071" s="143">
        <f>PRODUCT(1.5*J1071)</f>
        <v>225</v>
      </c>
      <c r="T1071" s="156">
        <f>PRODUCT(1.5*J1071)</f>
        <v>225</v>
      </c>
      <c r="U1071" s="156">
        <f>PRODUCT(0.5,J1071)</f>
        <v>75</v>
      </c>
      <c r="V1071" s="143">
        <f>SUM(R1071+S1071+T1071+U1071)</f>
        <v>562.5</v>
      </c>
    </row>
    <row r="1072" spans="1:22" s="128" customFormat="1" ht="15.6" hidden="1" x14ac:dyDescent="0.3">
      <c r="A1072" s="142" t="s">
        <v>496</v>
      </c>
      <c r="B1072" s="142">
        <v>423</v>
      </c>
      <c r="C1072" s="141">
        <v>46041</v>
      </c>
      <c r="D1072" s="140">
        <f>WEEKNUM(C1072)</f>
        <v>4</v>
      </c>
      <c r="E1072" s="142" t="s">
        <v>68</v>
      </c>
      <c r="F1072" s="195" t="s">
        <v>319</v>
      </c>
      <c r="G1072" s="140" t="s">
        <v>503</v>
      </c>
      <c r="H1072" s="142" t="s">
        <v>354</v>
      </c>
      <c r="I1072" s="142" t="s">
        <v>46</v>
      </c>
      <c r="J1072" s="157">
        <v>6</v>
      </c>
      <c r="K1072" s="143">
        <v>36.75</v>
      </c>
      <c r="L1072" s="143">
        <f>J1072*K1072</f>
        <v>220.5</v>
      </c>
      <c r="M1072" s="156">
        <f>L1072</f>
        <v>220.5</v>
      </c>
      <c r="N1072" s="141">
        <v>46071</v>
      </c>
      <c r="O1072" s="157">
        <f>WEEKNUM(N1072)</f>
        <v>8</v>
      </c>
      <c r="P1072" s="140"/>
      <c r="Q1072" s="142" t="s">
        <v>29</v>
      </c>
      <c r="R1072" s="156">
        <f>PRODUCT(0.25,J1072)</f>
        <v>1.5</v>
      </c>
      <c r="S1072" s="143">
        <f>PRODUCT(1.5*J1072)</f>
        <v>9</v>
      </c>
      <c r="T1072" s="156">
        <f>PRODUCT(1.5*J1072)</f>
        <v>9</v>
      </c>
      <c r="U1072" s="156">
        <f>PRODUCT(0.5,J1072)</f>
        <v>3</v>
      </c>
      <c r="V1072" s="143">
        <f>SUM(R1072+S1072+T1072+U1072)</f>
        <v>22.5</v>
      </c>
    </row>
    <row r="1073" spans="1:22" s="128" customFormat="1" ht="15.6" hidden="1" x14ac:dyDescent="0.3">
      <c r="A1073" s="142" t="s">
        <v>496</v>
      </c>
      <c r="B1073" s="142">
        <v>423</v>
      </c>
      <c r="C1073" s="141">
        <v>46041</v>
      </c>
      <c r="D1073" s="140">
        <f>WEEKNUM(C1073)</f>
        <v>4</v>
      </c>
      <c r="E1073" s="142" t="s">
        <v>68</v>
      </c>
      <c r="F1073" s="195" t="s">
        <v>319</v>
      </c>
      <c r="G1073" s="142" t="s">
        <v>301</v>
      </c>
      <c r="H1073" s="140" t="s">
        <v>74</v>
      </c>
      <c r="I1073" s="142" t="s">
        <v>46</v>
      </c>
      <c r="J1073" s="157">
        <v>8</v>
      </c>
      <c r="K1073" s="143">
        <v>36.75</v>
      </c>
      <c r="L1073" s="143">
        <f>J1073*K1073</f>
        <v>294</v>
      </c>
      <c r="M1073" s="156">
        <f>L1073</f>
        <v>294</v>
      </c>
      <c r="N1073" s="141">
        <v>46071</v>
      </c>
      <c r="O1073" s="157">
        <f>WEEKNUM(N1073)</f>
        <v>8</v>
      </c>
      <c r="P1073" s="140"/>
      <c r="Q1073" s="142" t="s">
        <v>29</v>
      </c>
      <c r="R1073" s="156">
        <f>PRODUCT(0.25,J1073)</f>
        <v>2</v>
      </c>
      <c r="S1073" s="143">
        <f>PRODUCT(1.5*J1073)</f>
        <v>12</v>
      </c>
      <c r="T1073" s="156">
        <f>PRODUCT(1.5*J1073)</f>
        <v>12</v>
      </c>
      <c r="U1073" s="156">
        <f>PRODUCT(0.5,J1073)</f>
        <v>4</v>
      </c>
      <c r="V1073" s="143">
        <f>SUM(R1073+S1073+T1073+U1073)</f>
        <v>30</v>
      </c>
    </row>
    <row r="1074" spans="1:22" s="128" customFormat="1" ht="15.6" hidden="1" x14ac:dyDescent="0.3">
      <c r="A1074" s="142" t="s">
        <v>496</v>
      </c>
      <c r="B1074" s="142">
        <v>423</v>
      </c>
      <c r="C1074" s="141">
        <v>46041</v>
      </c>
      <c r="D1074" s="140">
        <f>WEEKNUM(C1074)</f>
        <v>4</v>
      </c>
      <c r="E1074" s="142" t="s">
        <v>68</v>
      </c>
      <c r="F1074" s="195" t="s">
        <v>319</v>
      </c>
      <c r="G1074" s="142" t="s">
        <v>311</v>
      </c>
      <c r="H1074" s="142" t="s">
        <v>51</v>
      </c>
      <c r="I1074" s="142" t="s">
        <v>46</v>
      </c>
      <c r="J1074" s="157">
        <v>3</v>
      </c>
      <c r="K1074" s="143">
        <v>25</v>
      </c>
      <c r="L1074" s="143">
        <f>J1074*K1074</f>
        <v>75</v>
      </c>
      <c r="M1074" s="156">
        <f>L1074</f>
        <v>75</v>
      </c>
      <c r="N1074" s="141">
        <v>46071</v>
      </c>
      <c r="O1074" s="157">
        <f>WEEKNUM(N1074)</f>
        <v>8</v>
      </c>
      <c r="P1074" s="140"/>
      <c r="Q1074" s="142" t="s">
        <v>29</v>
      </c>
      <c r="R1074" s="156">
        <f>PRODUCT(0.25,J1074)</f>
        <v>0.75</v>
      </c>
      <c r="S1074" s="143">
        <f>PRODUCT(1.5*J1074)</f>
        <v>4.5</v>
      </c>
      <c r="T1074" s="156">
        <f>PRODUCT(1.5*J1074)</f>
        <v>4.5</v>
      </c>
      <c r="U1074" s="156">
        <f>PRODUCT(0.5,J1074)</f>
        <v>1.5</v>
      </c>
      <c r="V1074" s="143">
        <f>SUM(R1074+S1074+T1074+U1074)</f>
        <v>11.25</v>
      </c>
    </row>
    <row r="1075" spans="1:22" s="128" customFormat="1" ht="15.6" hidden="1" x14ac:dyDescent="0.3">
      <c r="A1075" s="142" t="s">
        <v>496</v>
      </c>
      <c r="B1075" s="142">
        <v>425</v>
      </c>
      <c r="C1075" s="141">
        <v>46044</v>
      </c>
      <c r="D1075" s="140">
        <f>WEEKNUM(C1075)</f>
        <v>4</v>
      </c>
      <c r="E1075" s="142" t="s">
        <v>68</v>
      </c>
      <c r="F1075" s="142" t="s">
        <v>395</v>
      </c>
      <c r="G1075" s="142" t="s">
        <v>339</v>
      </c>
      <c r="H1075" s="142" t="s">
        <v>340</v>
      </c>
      <c r="I1075" s="142" t="s">
        <v>46</v>
      </c>
      <c r="J1075" s="157">
        <v>1</v>
      </c>
      <c r="K1075" s="143">
        <v>65</v>
      </c>
      <c r="L1075" s="143">
        <f>J1075*K1075</f>
        <v>65</v>
      </c>
      <c r="M1075" s="156">
        <f>L1075</f>
        <v>65</v>
      </c>
      <c r="N1075" s="141">
        <v>46044</v>
      </c>
      <c r="O1075" s="157">
        <f>WEEKNUM(N1075)</f>
        <v>4</v>
      </c>
      <c r="P1075" s="140"/>
      <c r="Q1075" s="142" t="s">
        <v>29</v>
      </c>
      <c r="R1075" s="156">
        <f>PRODUCT(0.25,J1075)</f>
        <v>0.25</v>
      </c>
      <c r="S1075" s="143">
        <f>PRODUCT(1.5*J1075)</f>
        <v>1.5</v>
      </c>
      <c r="T1075" s="156">
        <f>PRODUCT(1.5*J1075)</f>
        <v>1.5</v>
      </c>
      <c r="U1075" s="156">
        <f>PRODUCT(0.5,J1075)</f>
        <v>0.5</v>
      </c>
      <c r="V1075" s="143">
        <f>SUM(R1075+S1075+T1075+U1075)</f>
        <v>3.75</v>
      </c>
    </row>
    <row r="1076" spans="1:22" s="128" customFormat="1" ht="15.6" hidden="1" x14ac:dyDescent="0.3">
      <c r="A1076" s="142" t="s">
        <v>496</v>
      </c>
      <c r="B1076" s="142">
        <v>425</v>
      </c>
      <c r="C1076" s="141">
        <v>46044</v>
      </c>
      <c r="D1076" s="140">
        <f>WEEKNUM(C1076)</f>
        <v>4</v>
      </c>
      <c r="E1076" s="142" t="s">
        <v>68</v>
      </c>
      <c r="F1076" s="142" t="s">
        <v>395</v>
      </c>
      <c r="G1076" s="142" t="s">
        <v>311</v>
      </c>
      <c r="H1076" s="142" t="s">
        <v>51</v>
      </c>
      <c r="I1076" s="142" t="s">
        <v>46</v>
      </c>
      <c r="J1076" s="157">
        <v>7</v>
      </c>
      <c r="K1076" s="143">
        <v>25</v>
      </c>
      <c r="L1076" s="143">
        <f>J1076*K1076</f>
        <v>175</v>
      </c>
      <c r="M1076" s="156">
        <f>L1076</f>
        <v>175</v>
      </c>
      <c r="N1076" s="141">
        <v>46044</v>
      </c>
      <c r="O1076" s="157">
        <f>WEEKNUM(N1076)</f>
        <v>4</v>
      </c>
      <c r="P1076" s="140"/>
      <c r="Q1076" s="142" t="s">
        <v>29</v>
      </c>
      <c r="R1076" s="156">
        <f>PRODUCT(0.25,J1076)</f>
        <v>1.75</v>
      </c>
      <c r="S1076" s="143">
        <f>PRODUCT(1.5*J1076)</f>
        <v>10.5</v>
      </c>
      <c r="T1076" s="156">
        <f>PRODUCT(1.5*J1076)</f>
        <v>10.5</v>
      </c>
      <c r="U1076" s="156">
        <f>PRODUCT(0.5,J1076)</f>
        <v>3.5</v>
      </c>
      <c r="V1076" s="143">
        <f>SUM(R1076+S1076+T1076+U1076)</f>
        <v>26.25</v>
      </c>
    </row>
    <row r="1077" spans="1:22" s="128" customFormat="1" ht="15.6" hidden="1" x14ac:dyDescent="0.3">
      <c r="A1077" s="142" t="s">
        <v>477</v>
      </c>
      <c r="B1077" s="142">
        <v>1029</v>
      </c>
      <c r="C1077" s="141">
        <v>46044</v>
      </c>
      <c r="D1077" s="140">
        <f>WEEKNUM(C1077)</f>
        <v>4</v>
      </c>
      <c r="E1077" s="140" t="s">
        <v>475</v>
      </c>
      <c r="F1077" s="142" t="s">
        <v>855</v>
      </c>
      <c r="G1077" s="142" t="s">
        <v>555</v>
      </c>
      <c r="H1077" s="142" t="s">
        <v>555</v>
      </c>
      <c r="I1077" s="142" t="s">
        <v>46</v>
      </c>
      <c r="J1077" s="157">
        <v>150</v>
      </c>
      <c r="K1077" s="143">
        <v>24.5</v>
      </c>
      <c r="L1077" s="143">
        <f>J1077*K1077</f>
        <v>3675</v>
      </c>
      <c r="M1077" s="143">
        <f>L1077/2</f>
        <v>1837.5</v>
      </c>
      <c r="N1077" s="141">
        <v>46073</v>
      </c>
      <c r="O1077" s="157">
        <f>WEEKNUM(N1077)</f>
        <v>8</v>
      </c>
      <c r="P1077" s="140"/>
      <c r="Q1077" s="142" t="s">
        <v>29</v>
      </c>
      <c r="R1077" s="156">
        <f>PRODUCT(0.25,J1077)</f>
        <v>37.5</v>
      </c>
      <c r="S1077" s="143">
        <f>PRODUCT(1.5*J1077)</f>
        <v>225</v>
      </c>
      <c r="T1077" s="156">
        <f>PRODUCT(1.5*J1077)</f>
        <v>225</v>
      </c>
      <c r="U1077" s="156">
        <f>PRODUCT(0.5,J1077)</f>
        <v>75</v>
      </c>
      <c r="V1077" s="143">
        <f>SUM(R1077+S1077+T1077+U1077)</f>
        <v>562.5</v>
      </c>
    </row>
    <row r="1078" spans="1:22" s="128" customFormat="1" ht="15.6" hidden="1" x14ac:dyDescent="0.3">
      <c r="A1078" s="142" t="s">
        <v>477</v>
      </c>
      <c r="B1078" s="142">
        <v>1029</v>
      </c>
      <c r="C1078" s="141">
        <v>46044</v>
      </c>
      <c r="D1078" s="140">
        <f>WEEKNUM(C1078)</f>
        <v>4</v>
      </c>
      <c r="E1078" s="140" t="s">
        <v>475</v>
      </c>
      <c r="F1078" s="142" t="s">
        <v>855</v>
      </c>
      <c r="G1078" s="142" t="s">
        <v>60</v>
      </c>
      <c r="H1078" s="142" t="s">
        <v>60</v>
      </c>
      <c r="I1078" s="142" t="s">
        <v>61</v>
      </c>
      <c r="J1078" s="157">
        <v>100</v>
      </c>
      <c r="K1078" s="143">
        <v>17</v>
      </c>
      <c r="L1078" s="143">
        <f>J1078*K1078</f>
        <v>1700</v>
      </c>
      <c r="M1078" s="143">
        <f>L1078/2</f>
        <v>850</v>
      </c>
      <c r="N1078" s="141">
        <v>46073</v>
      </c>
      <c r="O1078" s="157">
        <f>WEEKNUM(N1078)</f>
        <v>8</v>
      </c>
      <c r="P1078" s="140"/>
      <c r="Q1078" s="142" t="s">
        <v>29</v>
      </c>
      <c r="R1078" s="156">
        <f>PRODUCT(0.25,J1078)</f>
        <v>25</v>
      </c>
      <c r="S1078" s="143">
        <f>PRODUCT(1.5*J1078)</f>
        <v>150</v>
      </c>
      <c r="T1078" s="156">
        <f>PRODUCT(1.5*J1078)</f>
        <v>150</v>
      </c>
      <c r="U1078" s="156">
        <f>PRODUCT(0.5,J1078)</f>
        <v>50</v>
      </c>
      <c r="V1078" s="143">
        <f>SUM(R1078+S1078+T1078+U1078)</f>
        <v>375</v>
      </c>
    </row>
    <row r="1079" spans="1:22" s="128" customFormat="1" ht="15.6" hidden="1" x14ac:dyDescent="0.3">
      <c r="A1079" s="142" t="s">
        <v>477</v>
      </c>
      <c r="B1079" s="142">
        <v>1029</v>
      </c>
      <c r="C1079" s="141">
        <v>46044</v>
      </c>
      <c r="D1079" s="140">
        <f>WEEKNUM(C1079)</f>
        <v>4</v>
      </c>
      <c r="E1079" s="140" t="s">
        <v>475</v>
      </c>
      <c r="F1079" s="142" t="s">
        <v>855</v>
      </c>
      <c r="G1079" s="142" t="s">
        <v>74</v>
      </c>
      <c r="H1079" s="140" t="s">
        <v>74</v>
      </c>
      <c r="I1079" s="142" t="s">
        <v>46</v>
      </c>
      <c r="J1079" s="157">
        <v>150</v>
      </c>
      <c r="K1079" s="143">
        <v>22.5</v>
      </c>
      <c r="L1079" s="143">
        <f>J1079*K1079</f>
        <v>3375</v>
      </c>
      <c r="M1079" s="143">
        <f>L1079/2</f>
        <v>1687.5</v>
      </c>
      <c r="N1079" s="141">
        <v>46073</v>
      </c>
      <c r="O1079" s="157">
        <f>WEEKNUM(N1079)</f>
        <v>8</v>
      </c>
      <c r="P1079" s="140"/>
      <c r="Q1079" s="142" t="s">
        <v>29</v>
      </c>
      <c r="R1079" s="156">
        <f>PRODUCT(0.25,J1079)</f>
        <v>37.5</v>
      </c>
      <c r="S1079" s="143">
        <f>PRODUCT(1.5*J1079)</f>
        <v>225</v>
      </c>
      <c r="T1079" s="156">
        <f>PRODUCT(1.5*J1079)</f>
        <v>225</v>
      </c>
      <c r="U1079" s="156">
        <f>PRODUCT(0.5,J1079)</f>
        <v>75</v>
      </c>
      <c r="V1079" s="143">
        <f>SUM(R1079+S1079+T1079+U1079)</f>
        <v>562.5</v>
      </c>
    </row>
    <row r="1080" spans="1:22" s="128" customFormat="1" ht="15.6" hidden="1" x14ac:dyDescent="0.3">
      <c r="A1080" s="142" t="s">
        <v>477</v>
      </c>
      <c r="B1080" s="142">
        <v>1029</v>
      </c>
      <c r="C1080" s="141">
        <v>46044</v>
      </c>
      <c r="D1080" s="140">
        <f>WEEKNUM(C1080)</f>
        <v>4</v>
      </c>
      <c r="E1080" s="140" t="s">
        <v>475</v>
      </c>
      <c r="F1080" s="142" t="s">
        <v>855</v>
      </c>
      <c r="G1080" s="142" t="s">
        <v>529</v>
      </c>
      <c r="H1080" s="140" t="s">
        <v>494</v>
      </c>
      <c r="I1080" s="142" t="s">
        <v>46</v>
      </c>
      <c r="J1080" s="157">
        <v>100</v>
      </c>
      <c r="K1080" s="143">
        <v>15</v>
      </c>
      <c r="L1080" s="143">
        <f>J1080*K1080</f>
        <v>1500</v>
      </c>
      <c r="M1080" s="143">
        <f>L1080/2</f>
        <v>750</v>
      </c>
      <c r="N1080" s="141">
        <v>46073</v>
      </c>
      <c r="O1080" s="157">
        <f>WEEKNUM(N1080)</f>
        <v>8</v>
      </c>
      <c r="P1080" s="140"/>
      <c r="Q1080" s="142" t="s">
        <v>29</v>
      </c>
      <c r="R1080" s="156">
        <f>PRODUCT(0.25,J1080)</f>
        <v>25</v>
      </c>
      <c r="S1080" s="143">
        <f>PRODUCT(1.5*J1080)</f>
        <v>150</v>
      </c>
      <c r="T1080" s="156">
        <f>PRODUCT(1.5*J1080)</f>
        <v>150</v>
      </c>
      <c r="U1080" s="156">
        <f>PRODUCT(0.5,J1080)</f>
        <v>50</v>
      </c>
      <c r="V1080" s="143">
        <f>SUM(R1080+S1080+T1080+U1080)</f>
        <v>375</v>
      </c>
    </row>
    <row r="1081" spans="1:22" s="128" customFormat="1" ht="15.6" hidden="1" x14ac:dyDescent="0.3">
      <c r="A1081" s="142" t="s">
        <v>477</v>
      </c>
      <c r="B1081" s="142">
        <v>1029</v>
      </c>
      <c r="C1081" s="141">
        <v>46044</v>
      </c>
      <c r="D1081" s="140">
        <f>WEEKNUM(C1081)</f>
        <v>4</v>
      </c>
      <c r="E1081" s="140" t="s">
        <v>475</v>
      </c>
      <c r="F1081" s="142" t="s">
        <v>855</v>
      </c>
      <c r="G1081" s="140" t="s">
        <v>658</v>
      </c>
      <c r="H1081" s="142" t="s">
        <v>304</v>
      </c>
      <c r="I1081" s="142" t="s">
        <v>61</v>
      </c>
      <c r="J1081" s="157">
        <v>100</v>
      </c>
      <c r="K1081" s="143">
        <v>9.9</v>
      </c>
      <c r="L1081" s="143">
        <f>J1081*K1081</f>
        <v>990</v>
      </c>
      <c r="M1081" s="143">
        <f>L1081/2</f>
        <v>495</v>
      </c>
      <c r="N1081" s="141">
        <v>46073</v>
      </c>
      <c r="O1081" s="157">
        <f>WEEKNUM(N1081)</f>
        <v>8</v>
      </c>
      <c r="P1081" s="140"/>
      <c r="Q1081" s="142" t="s">
        <v>29</v>
      </c>
      <c r="R1081" s="156">
        <f>PRODUCT(0.25,J1081)</f>
        <v>25</v>
      </c>
      <c r="S1081" s="143">
        <f>PRODUCT(1.5*J1081)</f>
        <v>150</v>
      </c>
      <c r="T1081" s="156">
        <f>PRODUCT(1.5*J1081)</f>
        <v>150</v>
      </c>
      <c r="U1081" s="156">
        <f>PRODUCT(0.5,J1081)</f>
        <v>50</v>
      </c>
      <c r="V1081" s="143">
        <f>SUM(R1081+S1081+T1081+U1081)</f>
        <v>375</v>
      </c>
    </row>
    <row r="1082" spans="1:22" s="128" customFormat="1" ht="15.6" hidden="1" x14ac:dyDescent="0.3">
      <c r="A1082" s="142" t="s">
        <v>477</v>
      </c>
      <c r="B1082" s="142">
        <v>1029</v>
      </c>
      <c r="C1082" s="141">
        <v>46044</v>
      </c>
      <c r="D1082" s="140">
        <f>WEEKNUM(C1082)</f>
        <v>4</v>
      </c>
      <c r="E1082" s="140" t="s">
        <v>475</v>
      </c>
      <c r="F1082" s="142" t="s">
        <v>855</v>
      </c>
      <c r="G1082" s="140" t="s">
        <v>480</v>
      </c>
      <c r="H1082" s="142" t="s">
        <v>51</v>
      </c>
      <c r="I1082" s="142" t="s">
        <v>46</v>
      </c>
      <c r="J1082" s="157">
        <v>100</v>
      </c>
      <c r="K1082" s="143">
        <v>17.5</v>
      </c>
      <c r="L1082" s="143">
        <f>J1082*K1082</f>
        <v>1750</v>
      </c>
      <c r="M1082" s="143">
        <f>L1082/2</f>
        <v>875</v>
      </c>
      <c r="N1082" s="141">
        <v>46073</v>
      </c>
      <c r="O1082" s="157">
        <f>WEEKNUM(N1082)</f>
        <v>8</v>
      </c>
      <c r="P1082" s="140"/>
      <c r="Q1082" s="142" t="s">
        <v>29</v>
      </c>
      <c r="R1082" s="156">
        <f>PRODUCT(0.25,J1082)</f>
        <v>25</v>
      </c>
      <c r="S1082" s="143">
        <f>PRODUCT(1.5*J1082)</f>
        <v>150</v>
      </c>
      <c r="T1082" s="156">
        <f>PRODUCT(1.5*J1082)</f>
        <v>150</v>
      </c>
      <c r="U1082" s="156">
        <f>PRODUCT(0.5,J1082)</f>
        <v>50</v>
      </c>
      <c r="V1082" s="143">
        <f>SUM(R1082+S1082+T1082+U1082)</f>
        <v>375</v>
      </c>
    </row>
    <row r="1083" spans="1:22" s="128" customFormat="1" ht="15.6" hidden="1" x14ac:dyDescent="0.3">
      <c r="A1083" s="142" t="s">
        <v>477</v>
      </c>
      <c r="B1083" s="142">
        <v>1029</v>
      </c>
      <c r="C1083" s="141">
        <v>46044</v>
      </c>
      <c r="D1083" s="140">
        <f>WEEKNUM(C1083)</f>
        <v>4</v>
      </c>
      <c r="E1083" s="140" t="s">
        <v>475</v>
      </c>
      <c r="F1083" s="142" t="s">
        <v>855</v>
      </c>
      <c r="G1083" s="142" t="s">
        <v>858</v>
      </c>
      <c r="H1083" s="142" t="s">
        <v>51</v>
      </c>
      <c r="I1083" s="142" t="s">
        <v>61</v>
      </c>
      <c r="J1083" s="157">
        <v>50</v>
      </c>
      <c r="K1083" s="143">
        <v>67</v>
      </c>
      <c r="L1083" s="143">
        <f>J1083*K1083</f>
        <v>3350</v>
      </c>
      <c r="M1083" s="143">
        <f>L1083/2</f>
        <v>1675</v>
      </c>
      <c r="N1083" s="141">
        <v>46073</v>
      </c>
      <c r="O1083" s="157">
        <f>WEEKNUM(N1083)</f>
        <v>8</v>
      </c>
      <c r="P1083" s="140"/>
      <c r="Q1083" s="142" t="s">
        <v>29</v>
      </c>
      <c r="R1083" s="156">
        <f>PRODUCT(0.25,J1083)</f>
        <v>12.5</v>
      </c>
      <c r="S1083" s="143">
        <f>PRODUCT(1.5*J1083)</f>
        <v>75</v>
      </c>
      <c r="T1083" s="156">
        <f>PRODUCT(1.5*J1083)</f>
        <v>75</v>
      </c>
      <c r="U1083" s="156">
        <f>PRODUCT(0.5,J1083)</f>
        <v>25</v>
      </c>
      <c r="V1083" s="143">
        <f>SUM(R1083+S1083+T1083+U1083)</f>
        <v>187.5</v>
      </c>
    </row>
    <row r="1084" spans="1:22" s="128" customFormat="1" ht="15.6" hidden="1" x14ac:dyDescent="0.3">
      <c r="A1084" s="142" t="s">
        <v>477</v>
      </c>
      <c r="B1084" s="142">
        <v>1030</v>
      </c>
      <c r="C1084" s="141">
        <v>46044</v>
      </c>
      <c r="D1084" s="140">
        <f>WEEKNUM(C1084)</f>
        <v>4</v>
      </c>
      <c r="E1084" s="142" t="s">
        <v>55</v>
      </c>
      <c r="F1084" s="142" t="s">
        <v>1003</v>
      </c>
      <c r="G1084" s="142" t="s">
        <v>598</v>
      </c>
      <c r="H1084" s="140" t="s">
        <v>74</v>
      </c>
      <c r="I1084" s="142" t="s">
        <v>46</v>
      </c>
      <c r="J1084" s="157">
        <v>150</v>
      </c>
      <c r="K1084" s="143">
        <v>19.5</v>
      </c>
      <c r="L1084" s="143">
        <f>J1084*K1084</f>
        <v>2925</v>
      </c>
      <c r="M1084" s="143">
        <v>0</v>
      </c>
      <c r="N1084" s="141">
        <v>46073</v>
      </c>
      <c r="O1084" s="157">
        <f>WEEKNUM(N1084)</f>
        <v>8</v>
      </c>
      <c r="P1084" s="140"/>
      <c r="Q1084" s="142" t="s">
        <v>29</v>
      </c>
      <c r="R1084" s="156">
        <f>PRODUCT(0.25,J1084)</f>
        <v>37.5</v>
      </c>
      <c r="S1084" s="143">
        <f>PRODUCT(1.5*J1084)</f>
        <v>225</v>
      </c>
      <c r="T1084" s="156">
        <f>PRODUCT(1.5*J1084)</f>
        <v>225</v>
      </c>
      <c r="U1084" s="156">
        <f>PRODUCT(0.5,J1084)</f>
        <v>75</v>
      </c>
      <c r="V1084" s="143">
        <f>SUM(R1084+S1084+T1084+U1084)</f>
        <v>562.5</v>
      </c>
    </row>
    <row r="1085" spans="1:22" s="128" customFormat="1" ht="15.6" hidden="1" x14ac:dyDescent="0.3">
      <c r="A1085" s="142" t="s">
        <v>477</v>
      </c>
      <c r="B1085" s="142">
        <v>1033</v>
      </c>
      <c r="C1085" s="141">
        <v>46045</v>
      </c>
      <c r="D1085" s="140">
        <f>WEEKNUM(C1085)</f>
        <v>4</v>
      </c>
      <c r="E1085" s="140" t="s">
        <v>475</v>
      </c>
      <c r="F1085" s="140" t="s">
        <v>568</v>
      </c>
      <c r="G1085" s="142" t="s">
        <v>581</v>
      </c>
      <c r="H1085" s="142" t="s">
        <v>51</v>
      </c>
      <c r="I1085" s="142" t="s">
        <v>61</v>
      </c>
      <c r="J1085" s="157">
        <v>20</v>
      </c>
      <c r="K1085" s="143">
        <v>95</v>
      </c>
      <c r="L1085" s="143">
        <f>J1085*K1085</f>
        <v>1900</v>
      </c>
      <c r="M1085" s="143">
        <v>1900</v>
      </c>
      <c r="N1085" s="141">
        <v>46075</v>
      </c>
      <c r="O1085" s="157">
        <f>WEEKNUM(N1085)</f>
        <v>9</v>
      </c>
      <c r="P1085" s="140"/>
      <c r="Q1085" s="142" t="s">
        <v>29</v>
      </c>
      <c r="R1085" s="156">
        <f>PRODUCT(0.25,J1085)</f>
        <v>5</v>
      </c>
      <c r="S1085" s="143">
        <f>PRODUCT(1.5*J1085)</f>
        <v>30</v>
      </c>
      <c r="T1085" s="156">
        <f>PRODUCT(1.5*J1085)</f>
        <v>30</v>
      </c>
      <c r="U1085" s="156">
        <f>PRODUCT(0.5,J1085)</f>
        <v>10</v>
      </c>
      <c r="V1085" s="143">
        <f>SUM(R1085+S1085+T1085+U1085)</f>
        <v>75</v>
      </c>
    </row>
    <row r="1086" spans="1:22" s="128" customFormat="1" ht="15.6" hidden="1" x14ac:dyDescent="0.3">
      <c r="A1086" s="142" t="s">
        <v>477</v>
      </c>
      <c r="B1086" s="142">
        <v>1033</v>
      </c>
      <c r="C1086" s="141">
        <v>46045</v>
      </c>
      <c r="D1086" s="140">
        <f>WEEKNUM(C1086)</f>
        <v>4</v>
      </c>
      <c r="E1086" s="140" t="s">
        <v>475</v>
      </c>
      <c r="F1086" s="140" t="s">
        <v>568</v>
      </c>
      <c r="G1086" s="142" t="s">
        <v>582</v>
      </c>
      <c r="H1086" s="142" t="s">
        <v>51</v>
      </c>
      <c r="I1086" s="142" t="s">
        <v>61</v>
      </c>
      <c r="J1086" s="157">
        <v>10</v>
      </c>
      <c r="K1086" s="143">
        <v>75</v>
      </c>
      <c r="L1086" s="143">
        <f>J1086*K1086</f>
        <v>750</v>
      </c>
      <c r="M1086" s="143">
        <v>750</v>
      </c>
      <c r="N1086" s="141">
        <v>46075</v>
      </c>
      <c r="O1086" s="157">
        <f>WEEKNUM(N1086)</f>
        <v>9</v>
      </c>
      <c r="P1086" s="140"/>
      <c r="Q1086" s="142" t="s">
        <v>29</v>
      </c>
      <c r="R1086" s="156">
        <f>PRODUCT(0.25,J1086)</f>
        <v>2.5</v>
      </c>
      <c r="S1086" s="143">
        <f>PRODUCT(1.5*J1086)</f>
        <v>15</v>
      </c>
      <c r="T1086" s="156">
        <f>PRODUCT(1.5*J1086)</f>
        <v>15</v>
      </c>
      <c r="U1086" s="156">
        <f>PRODUCT(0.5,J1086)</f>
        <v>5</v>
      </c>
      <c r="V1086" s="143">
        <f>SUM(R1086+S1086+T1086+U1086)</f>
        <v>37.5</v>
      </c>
    </row>
    <row r="1087" spans="1:22" s="128" customFormat="1" ht="15.6" hidden="1" x14ac:dyDescent="0.3">
      <c r="A1087" s="142" t="s">
        <v>477</v>
      </c>
      <c r="B1087" s="142">
        <v>417</v>
      </c>
      <c r="C1087" s="141">
        <v>46045</v>
      </c>
      <c r="D1087" s="140">
        <f>WEEKNUM(C1087)</f>
        <v>4</v>
      </c>
      <c r="E1087" s="142" t="s">
        <v>498</v>
      </c>
      <c r="F1087" s="142" t="s">
        <v>626</v>
      </c>
      <c r="G1087" s="142" t="s">
        <v>487</v>
      </c>
      <c r="H1087" s="142" t="s">
        <v>51</v>
      </c>
      <c r="I1087" s="142" t="s">
        <v>46</v>
      </c>
      <c r="J1087" s="157">
        <v>200</v>
      </c>
      <c r="K1087" s="143">
        <v>22.5</v>
      </c>
      <c r="L1087" s="143">
        <f>J1087*K1087</f>
        <v>4500</v>
      </c>
      <c r="M1087" s="143">
        <v>4500</v>
      </c>
      <c r="N1087" s="141">
        <v>46064</v>
      </c>
      <c r="O1087" s="157">
        <f>WEEKNUM(N1087)</f>
        <v>7</v>
      </c>
      <c r="P1087" s="140"/>
      <c r="Q1087" s="142" t="s">
        <v>29</v>
      </c>
      <c r="R1087" s="156">
        <f>PRODUCT(0.25,J1087)</f>
        <v>50</v>
      </c>
      <c r="S1087" s="143">
        <f>PRODUCT(1.5*J1087)</f>
        <v>300</v>
      </c>
      <c r="T1087" s="156">
        <f>PRODUCT(1.5*J1087)</f>
        <v>300</v>
      </c>
      <c r="U1087" s="156">
        <f>PRODUCT(0.5,J1087)</f>
        <v>100</v>
      </c>
      <c r="V1087" s="143">
        <f>SUM(R1087+S1087+T1087+U1087)</f>
        <v>750</v>
      </c>
    </row>
    <row r="1088" spans="1:22" s="128" customFormat="1" ht="15.6" hidden="1" x14ac:dyDescent="0.3">
      <c r="A1088" s="142" t="s">
        <v>477</v>
      </c>
      <c r="B1088" s="142">
        <v>1035</v>
      </c>
      <c r="C1088" s="141">
        <v>46045</v>
      </c>
      <c r="D1088" s="140">
        <f>WEEKNUM(C1088)</f>
        <v>4</v>
      </c>
      <c r="E1088" s="142" t="s">
        <v>498</v>
      </c>
      <c r="F1088" s="140" t="s">
        <v>637</v>
      </c>
      <c r="G1088" s="142" t="s">
        <v>487</v>
      </c>
      <c r="H1088" s="142" t="s">
        <v>51</v>
      </c>
      <c r="I1088" s="142" t="s">
        <v>46</v>
      </c>
      <c r="J1088" s="157">
        <v>250</v>
      </c>
      <c r="K1088" s="143">
        <v>23.5</v>
      </c>
      <c r="L1088" s="143">
        <f>J1088*K1088</f>
        <v>5875</v>
      </c>
      <c r="M1088" s="143">
        <v>0</v>
      </c>
      <c r="N1088" s="141">
        <v>46069</v>
      </c>
      <c r="O1088" s="157">
        <f>WEEKNUM(N1088)</f>
        <v>8</v>
      </c>
      <c r="P1088" s="140"/>
      <c r="Q1088" s="142" t="s">
        <v>29</v>
      </c>
      <c r="R1088" s="156">
        <f>PRODUCT(0.25,J1088)</f>
        <v>62.5</v>
      </c>
      <c r="S1088" s="143">
        <f>PRODUCT(1.5*J1088)</f>
        <v>375</v>
      </c>
      <c r="T1088" s="156">
        <f>PRODUCT(1.5*J1088)</f>
        <v>375</v>
      </c>
      <c r="U1088" s="156">
        <f>PRODUCT(0.5,J1088)</f>
        <v>125</v>
      </c>
      <c r="V1088" s="143">
        <f>SUM(R1088+S1088+T1088+U1088)</f>
        <v>937.5</v>
      </c>
    </row>
    <row r="1089" spans="1:22" s="128" customFormat="1" ht="15.6" hidden="1" x14ac:dyDescent="0.3">
      <c r="A1089" s="142" t="s">
        <v>477</v>
      </c>
      <c r="B1089" s="142">
        <v>1034</v>
      </c>
      <c r="C1089" s="141">
        <v>46045</v>
      </c>
      <c r="D1089" s="140">
        <f>WEEKNUM(C1089)</f>
        <v>4</v>
      </c>
      <c r="E1089" s="140" t="s">
        <v>478</v>
      </c>
      <c r="F1089" s="142" t="s">
        <v>829</v>
      </c>
      <c r="G1089" s="140" t="s">
        <v>658</v>
      </c>
      <c r="H1089" s="142" t="s">
        <v>304</v>
      </c>
      <c r="I1089" s="142" t="s">
        <v>61</v>
      </c>
      <c r="J1089" s="157">
        <v>95</v>
      </c>
      <c r="K1089" s="143">
        <v>5</v>
      </c>
      <c r="L1089" s="143">
        <f>J1089*K1089</f>
        <v>475</v>
      </c>
      <c r="M1089" s="143">
        <v>0</v>
      </c>
      <c r="N1089" s="141">
        <v>46076</v>
      </c>
      <c r="O1089" s="157">
        <f>WEEKNUM(N1089)</f>
        <v>9</v>
      </c>
      <c r="P1089" s="140"/>
      <c r="Q1089" s="142" t="s">
        <v>29</v>
      </c>
      <c r="R1089" s="156">
        <f>PRODUCT(0.25,J1089)</f>
        <v>23.75</v>
      </c>
      <c r="S1089" s="143">
        <f>PRODUCT(1.5*J1089)</f>
        <v>142.5</v>
      </c>
      <c r="T1089" s="156">
        <f>PRODUCT(1.5*J1089)</f>
        <v>142.5</v>
      </c>
      <c r="U1089" s="156">
        <f>PRODUCT(0.5,J1089)</f>
        <v>47.5</v>
      </c>
      <c r="V1089" s="143">
        <f>SUM(R1089+S1089+T1089+U1089)</f>
        <v>356.25</v>
      </c>
    </row>
    <row r="1090" spans="1:22" s="128" customFormat="1" ht="15.6" hidden="1" x14ac:dyDescent="0.3">
      <c r="A1090" s="142" t="s">
        <v>481</v>
      </c>
      <c r="B1090" s="142">
        <v>428</v>
      </c>
      <c r="C1090" s="141">
        <v>46045</v>
      </c>
      <c r="D1090" s="140">
        <f>WEEKNUM(C1090)</f>
        <v>4</v>
      </c>
      <c r="E1090" s="140" t="s">
        <v>475</v>
      </c>
      <c r="F1090" s="142" t="s">
        <v>488</v>
      </c>
      <c r="G1090" s="142" t="s">
        <v>489</v>
      </c>
      <c r="H1090" s="142" t="s">
        <v>51</v>
      </c>
      <c r="I1090" s="142" t="s">
        <v>61</v>
      </c>
      <c r="J1090" s="157">
        <v>50</v>
      </c>
      <c r="K1090" s="143">
        <v>67</v>
      </c>
      <c r="L1090" s="143">
        <f>J1090*K1090</f>
        <v>3350</v>
      </c>
      <c r="M1090" s="143">
        <v>0</v>
      </c>
      <c r="N1090" s="141">
        <v>46073</v>
      </c>
      <c r="O1090" s="157">
        <f>WEEKNUM(N1090)</f>
        <v>8</v>
      </c>
      <c r="P1090" s="140"/>
      <c r="Q1090" s="142" t="s">
        <v>29</v>
      </c>
      <c r="R1090" s="156">
        <f>PRODUCT(0.25,J1090)</f>
        <v>12.5</v>
      </c>
      <c r="S1090" s="143">
        <f>PRODUCT(1.5*J1090)</f>
        <v>75</v>
      </c>
      <c r="T1090" s="156">
        <f>PRODUCT(1.5*J1090)</f>
        <v>75</v>
      </c>
      <c r="U1090" s="156">
        <f>PRODUCT(0.5,J1090)</f>
        <v>25</v>
      </c>
      <c r="V1090" s="143">
        <f>SUM(R1090+S1090+T1090+U1090)</f>
        <v>187.5</v>
      </c>
    </row>
    <row r="1091" spans="1:22" s="128" customFormat="1" ht="15.6" hidden="1" x14ac:dyDescent="0.3">
      <c r="A1091" s="142" t="s">
        <v>481</v>
      </c>
      <c r="B1091" s="142">
        <v>428</v>
      </c>
      <c r="C1091" s="141">
        <v>46045</v>
      </c>
      <c r="D1091" s="140">
        <f>WEEKNUM(C1091)</f>
        <v>4</v>
      </c>
      <c r="E1091" s="140" t="s">
        <v>475</v>
      </c>
      <c r="F1091" s="142" t="s">
        <v>488</v>
      </c>
      <c r="G1091" s="142" t="s">
        <v>490</v>
      </c>
      <c r="H1091" s="142" t="s">
        <v>51</v>
      </c>
      <c r="I1091" s="142" t="s">
        <v>46</v>
      </c>
      <c r="J1091" s="157">
        <v>150</v>
      </c>
      <c r="K1091" s="143">
        <v>33.5</v>
      </c>
      <c r="L1091" s="143">
        <f>J1091*K1091</f>
        <v>5025</v>
      </c>
      <c r="M1091" s="143">
        <v>0</v>
      </c>
      <c r="N1091" s="141">
        <v>46073</v>
      </c>
      <c r="O1091" s="157">
        <f>WEEKNUM(N1091)</f>
        <v>8</v>
      </c>
      <c r="P1091" s="140"/>
      <c r="Q1091" s="142" t="s">
        <v>29</v>
      </c>
      <c r="R1091" s="156">
        <f>PRODUCT(0.25,J1091)</f>
        <v>37.5</v>
      </c>
      <c r="S1091" s="143">
        <f>PRODUCT(1.5*J1091)</f>
        <v>225</v>
      </c>
      <c r="T1091" s="156">
        <f>PRODUCT(1.5*J1091)</f>
        <v>225</v>
      </c>
      <c r="U1091" s="156">
        <f>PRODUCT(0.5,J1091)</f>
        <v>75</v>
      </c>
      <c r="V1091" s="143">
        <f>SUM(R1091+S1091+T1091+U1091)</f>
        <v>562.5</v>
      </c>
    </row>
    <row r="1092" spans="1:22" s="128" customFormat="1" ht="15.6" hidden="1" x14ac:dyDescent="0.3">
      <c r="A1092" s="142" t="s">
        <v>477</v>
      </c>
      <c r="B1092" s="142">
        <v>1037</v>
      </c>
      <c r="C1092" s="141">
        <v>46048</v>
      </c>
      <c r="D1092" s="140">
        <f>WEEKNUM(C1092)</f>
        <v>5</v>
      </c>
      <c r="E1092" s="140" t="s">
        <v>475</v>
      </c>
      <c r="F1092" s="142" t="s">
        <v>544</v>
      </c>
      <c r="G1092" s="142" t="s">
        <v>546</v>
      </c>
      <c r="H1092" s="140" t="s">
        <v>494</v>
      </c>
      <c r="I1092" s="142" t="s">
        <v>46</v>
      </c>
      <c r="J1092" s="157">
        <v>200</v>
      </c>
      <c r="K1092" s="143">
        <v>15</v>
      </c>
      <c r="L1092" s="143">
        <f>J1092*K1092</f>
        <v>3000</v>
      </c>
      <c r="M1092" s="143">
        <v>1500</v>
      </c>
      <c r="N1092" s="141">
        <v>46077</v>
      </c>
      <c r="O1092" s="157">
        <f>WEEKNUM(N1092)</f>
        <v>9</v>
      </c>
      <c r="P1092" s="140"/>
      <c r="Q1092" s="142" t="s">
        <v>29</v>
      </c>
      <c r="R1092" s="156">
        <f>PRODUCT(0.25,J1092)</f>
        <v>50</v>
      </c>
      <c r="S1092" s="143">
        <f>PRODUCT(1.5*J1092)</f>
        <v>300</v>
      </c>
      <c r="T1092" s="156">
        <f>PRODUCT(1.5*J1092)</f>
        <v>300</v>
      </c>
      <c r="U1092" s="156">
        <f>PRODUCT(0.5,J1092)</f>
        <v>100</v>
      </c>
      <c r="V1092" s="143">
        <f>SUM(R1092+S1092+T1092+U1092)</f>
        <v>750</v>
      </c>
    </row>
    <row r="1093" spans="1:22" s="128" customFormat="1" ht="15.6" hidden="1" x14ac:dyDescent="0.3">
      <c r="A1093" s="142" t="s">
        <v>481</v>
      </c>
      <c r="B1093" s="142">
        <v>429</v>
      </c>
      <c r="C1093" s="141">
        <v>46048</v>
      </c>
      <c r="D1093" s="140">
        <f>WEEKNUM(C1093)</f>
        <v>5</v>
      </c>
      <c r="E1093" s="140" t="s">
        <v>475</v>
      </c>
      <c r="F1093" s="142" t="s">
        <v>482</v>
      </c>
      <c r="G1093" s="142" t="s">
        <v>311</v>
      </c>
      <c r="H1093" s="142" t="s">
        <v>51</v>
      </c>
      <c r="I1093" s="142" t="s">
        <v>46</v>
      </c>
      <c r="J1093" s="157">
        <v>100</v>
      </c>
      <c r="K1093" s="143">
        <v>14</v>
      </c>
      <c r="L1093" s="143">
        <f>J1093*K1093</f>
        <v>1400</v>
      </c>
      <c r="M1093" s="143">
        <v>0</v>
      </c>
      <c r="N1093" s="141">
        <v>46073</v>
      </c>
      <c r="O1093" s="157">
        <f>WEEKNUM(N1093)</f>
        <v>8</v>
      </c>
      <c r="P1093" s="140"/>
      <c r="Q1093" s="142" t="s">
        <v>29</v>
      </c>
      <c r="R1093" s="156">
        <f>PRODUCT(0.25,J1093)</f>
        <v>25</v>
      </c>
      <c r="S1093" s="143">
        <f>PRODUCT(1.5*J1093)</f>
        <v>150</v>
      </c>
      <c r="T1093" s="156">
        <f>PRODUCT(1.5*J1093)</f>
        <v>150</v>
      </c>
      <c r="U1093" s="156">
        <f>PRODUCT(0.5,J1093)</f>
        <v>50</v>
      </c>
      <c r="V1093" s="143">
        <f>SUM(R1093+S1093+T1093+U1093)</f>
        <v>375</v>
      </c>
    </row>
    <row r="1094" spans="1:22" s="128" customFormat="1" ht="15.6" hidden="1" x14ac:dyDescent="0.3">
      <c r="A1094" s="142" t="s">
        <v>481</v>
      </c>
      <c r="B1094" s="142">
        <v>431</v>
      </c>
      <c r="C1094" s="141">
        <v>46049</v>
      </c>
      <c r="D1094" s="140">
        <f>WEEKNUM(C1094)</f>
        <v>5</v>
      </c>
      <c r="E1094" s="140" t="s">
        <v>475</v>
      </c>
      <c r="F1094" s="142" t="s">
        <v>610</v>
      </c>
      <c r="G1094" s="142" t="s">
        <v>311</v>
      </c>
      <c r="H1094" s="142" t="s">
        <v>51</v>
      </c>
      <c r="I1094" s="142" t="s">
        <v>46</v>
      </c>
      <c r="J1094" s="157">
        <v>100</v>
      </c>
      <c r="K1094" s="143">
        <v>15</v>
      </c>
      <c r="L1094" s="143">
        <f>J1094*K1094</f>
        <v>1500</v>
      </c>
      <c r="M1094" s="143">
        <v>700</v>
      </c>
      <c r="N1094" s="141">
        <v>46077</v>
      </c>
      <c r="O1094" s="157">
        <f>WEEKNUM(N1094)</f>
        <v>9</v>
      </c>
      <c r="P1094" s="140"/>
      <c r="Q1094" s="142" t="s">
        <v>29</v>
      </c>
      <c r="R1094" s="156">
        <f>PRODUCT(0.25,J1094)</f>
        <v>25</v>
      </c>
      <c r="S1094" s="143">
        <f>PRODUCT(1.5*J1094)</f>
        <v>150</v>
      </c>
      <c r="T1094" s="156">
        <f>PRODUCT(1.5*J1094)</f>
        <v>150</v>
      </c>
      <c r="U1094" s="156">
        <f>PRODUCT(0.5,J1094)</f>
        <v>50</v>
      </c>
      <c r="V1094" s="143">
        <f>SUM(R1094+S1094+T1094+U1094)</f>
        <v>375</v>
      </c>
    </row>
    <row r="1095" spans="1:22" s="128" customFormat="1" ht="15.6" hidden="1" x14ac:dyDescent="0.3">
      <c r="A1095" s="142" t="s">
        <v>481</v>
      </c>
      <c r="B1095" s="142">
        <v>433</v>
      </c>
      <c r="C1095" s="141">
        <v>46049</v>
      </c>
      <c r="D1095" s="140">
        <f>WEEKNUM(C1095)</f>
        <v>5</v>
      </c>
      <c r="E1095" s="140" t="s">
        <v>475</v>
      </c>
      <c r="F1095" s="142" t="s">
        <v>866</v>
      </c>
      <c r="G1095" s="142" t="s">
        <v>311</v>
      </c>
      <c r="H1095" s="142" t="s">
        <v>51</v>
      </c>
      <c r="I1095" s="142" t="s">
        <v>46</v>
      </c>
      <c r="J1095" s="157">
        <v>200</v>
      </c>
      <c r="K1095" s="143">
        <v>14</v>
      </c>
      <c r="L1095" s="143">
        <f>J1095*K1095</f>
        <v>2800</v>
      </c>
      <c r="M1095" s="143">
        <v>1400</v>
      </c>
      <c r="N1095" s="141">
        <v>46078</v>
      </c>
      <c r="O1095" s="157">
        <f>WEEKNUM(N1095)</f>
        <v>9</v>
      </c>
      <c r="P1095" s="140"/>
      <c r="Q1095" s="142" t="s">
        <v>29</v>
      </c>
      <c r="R1095" s="156">
        <f>PRODUCT(0.25,J1095)</f>
        <v>50</v>
      </c>
      <c r="S1095" s="143">
        <f>PRODUCT(1.5*J1095)</f>
        <v>300</v>
      </c>
      <c r="T1095" s="156">
        <f>PRODUCT(1.5*J1095)</f>
        <v>300</v>
      </c>
      <c r="U1095" s="156">
        <f>PRODUCT(0.5,J1095)</f>
        <v>100</v>
      </c>
      <c r="V1095" s="143">
        <f>SUM(R1095+S1095+T1095+U1095)</f>
        <v>750</v>
      </c>
    </row>
    <row r="1096" spans="1:22" s="128" customFormat="1" ht="15.6" hidden="1" x14ac:dyDescent="0.3">
      <c r="A1096" s="142" t="s">
        <v>481</v>
      </c>
      <c r="B1096" s="142">
        <v>426</v>
      </c>
      <c r="C1096" s="141">
        <v>46049</v>
      </c>
      <c r="D1096" s="140">
        <f>WEEKNUM(C1096)</f>
        <v>5</v>
      </c>
      <c r="E1096" s="140" t="s">
        <v>475</v>
      </c>
      <c r="F1096" s="142" t="s">
        <v>969</v>
      </c>
      <c r="G1096" s="142" t="s">
        <v>858</v>
      </c>
      <c r="H1096" s="142" t="s">
        <v>51</v>
      </c>
      <c r="I1096" s="142" t="s">
        <v>61</v>
      </c>
      <c r="J1096" s="157">
        <v>50</v>
      </c>
      <c r="K1096" s="143">
        <v>67</v>
      </c>
      <c r="L1096" s="143">
        <f>J1096*K1096</f>
        <v>3350</v>
      </c>
      <c r="M1096" s="143">
        <v>0</v>
      </c>
      <c r="N1096" s="141">
        <v>46077</v>
      </c>
      <c r="O1096" s="157">
        <f>WEEKNUM(N1096)</f>
        <v>9</v>
      </c>
      <c r="P1096" s="140"/>
      <c r="Q1096" s="142" t="s">
        <v>29</v>
      </c>
      <c r="R1096" s="156">
        <f>PRODUCT(0.25,J1096)</f>
        <v>12.5</v>
      </c>
      <c r="S1096" s="143">
        <f>PRODUCT(1.5*J1096)</f>
        <v>75</v>
      </c>
      <c r="T1096" s="156">
        <f>PRODUCT(1.5*J1096)</f>
        <v>75</v>
      </c>
      <c r="U1096" s="156">
        <f>PRODUCT(0.5,J1096)</f>
        <v>25</v>
      </c>
      <c r="V1096" s="143">
        <f>SUM(R1096+S1096+T1096+U1096)</f>
        <v>187.5</v>
      </c>
    </row>
    <row r="1097" spans="1:22" s="128" customFormat="1" ht="15.6" hidden="1" x14ac:dyDescent="0.3">
      <c r="A1097" s="142" t="s">
        <v>481</v>
      </c>
      <c r="B1097" s="142">
        <v>426</v>
      </c>
      <c r="C1097" s="141">
        <v>46049</v>
      </c>
      <c r="D1097" s="140">
        <f>WEEKNUM(C1097)</f>
        <v>5</v>
      </c>
      <c r="E1097" s="140" t="s">
        <v>475</v>
      </c>
      <c r="F1097" s="142" t="s">
        <v>969</v>
      </c>
      <c r="G1097" s="142" t="s">
        <v>513</v>
      </c>
      <c r="H1097" s="140" t="s">
        <v>74</v>
      </c>
      <c r="I1097" s="142" t="s">
        <v>46</v>
      </c>
      <c r="J1097" s="157">
        <v>50</v>
      </c>
      <c r="K1097" s="143">
        <v>22.5</v>
      </c>
      <c r="L1097" s="143">
        <f>J1097*K1097</f>
        <v>1125</v>
      </c>
      <c r="M1097" s="143">
        <v>0</v>
      </c>
      <c r="N1097" s="141">
        <v>46077</v>
      </c>
      <c r="O1097" s="157">
        <f>WEEKNUM(N1097)</f>
        <v>9</v>
      </c>
      <c r="P1097" s="140"/>
      <c r="Q1097" s="142" t="s">
        <v>29</v>
      </c>
      <c r="R1097" s="156">
        <f>PRODUCT(0.25,J1097)</f>
        <v>12.5</v>
      </c>
      <c r="S1097" s="143">
        <f>PRODUCT(1.5*J1097)</f>
        <v>75</v>
      </c>
      <c r="T1097" s="156">
        <f>PRODUCT(1.5*J1097)</f>
        <v>75</v>
      </c>
      <c r="U1097" s="156">
        <f>PRODUCT(0.5,J1097)</f>
        <v>25</v>
      </c>
      <c r="V1097" s="143">
        <f>SUM(R1097+S1097+T1097+U1097)</f>
        <v>187.5</v>
      </c>
    </row>
    <row r="1098" spans="1:22" s="128" customFormat="1" ht="15.6" hidden="1" x14ac:dyDescent="0.3">
      <c r="A1098" s="142" t="s">
        <v>477</v>
      </c>
      <c r="B1098" s="142">
        <v>1038</v>
      </c>
      <c r="C1098" s="141">
        <v>46050</v>
      </c>
      <c r="D1098" s="140">
        <f>WEEKNUM(C1098)</f>
        <v>5</v>
      </c>
      <c r="E1098" s="140" t="s">
        <v>475</v>
      </c>
      <c r="F1098" s="142" t="s">
        <v>794</v>
      </c>
      <c r="G1098" s="142" t="s">
        <v>797</v>
      </c>
      <c r="H1098" s="140" t="s">
        <v>494</v>
      </c>
      <c r="I1098" s="142" t="s">
        <v>46</v>
      </c>
      <c r="J1098" s="157">
        <v>50</v>
      </c>
      <c r="K1098" s="143">
        <v>26.5</v>
      </c>
      <c r="L1098" s="143">
        <f>J1098*K1098</f>
        <v>1325</v>
      </c>
      <c r="M1098" s="143">
        <v>1325</v>
      </c>
      <c r="N1098" s="141">
        <v>46080</v>
      </c>
      <c r="O1098" s="157">
        <f>WEEKNUM(N1098)</f>
        <v>9</v>
      </c>
      <c r="P1098" s="140"/>
      <c r="Q1098" s="142" t="s">
        <v>29</v>
      </c>
      <c r="R1098" s="156">
        <f>PRODUCT(0.25,J1098)</f>
        <v>12.5</v>
      </c>
      <c r="S1098" s="143">
        <f>PRODUCT(1.5*J1098)</f>
        <v>75</v>
      </c>
      <c r="T1098" s="156">
        <f>PRODUCT(1.5*J1098)</f>
        <v>75</v>
      </c>
      <c r="U1098" s="156">
        <f>PRODUCT(0.5,J1098)</f>
        <v>25</v>
      </c>
      <c r="V1098" s="143">
        <f>SUM(R1098+S1098+T1098+U1098)</f>
        <v>187.5</v>
      </c>
    </row>
    <row r="1099" spans="1:22" s="128" customFormat="1" ht="15.6" hidden="1" x14ac:dyDescent="0.3">
      <c r="A1099" s="142" t="s">
        <v>477</v>
      </c>
      <c r="B1099" s="142">
        <v>1039</v>
      </c>
      <c r="C1099" s="141">
        <v>46050</v>
      </c>
      <c r="D1099" s="140">
        <f>WEEKNUM(C1099)</f>
        <v>5</v>
      </c>
      <c r="E1099" s="140" t="s">
        <v>475</v>
      </c>
      <c r="F1099" s="142" t="s">
        <v>794</v>
      </c>
      <c r="G1099" s="142" t="s">
        <v>797</v>
      </c>
      <c r="H1099" s="140" t="s">
        <v>494</v>
      </c>
      <c r="I1099" s="142" t="s">
        <v>46</v>
      </c>
      <c r="J1099" s="157">
        <v>50</v>
      </c>
      <c r="K1099" s="143">
        <v>26.5</v>
      </c>
      <c r="L1099" s="143">
        <f>J1099*K1099</f>
        <v>1325</v>
      </c>
      <c r="M1099" s="143">
        <v>1325</v>
      </c>
      <c r="N1099" s="141">
        <v>46080</v>
      </c>
      <c r="O1099" s="157">
        <f>WEEKNUM(N1099)</f>
        <v>9</v>
      </c>
      <c r="P1099" s="140"/>
      <c r="Q1099" s="142" t="s">
        <v>29</v>
      </c>
      <c r="R1099" s="156">
        <f>PRODUCT(0.25,J1099)</f>
        <v>12.5</v>
      </c>
      <c r="S1099" s="143">
        <f>PRODUCT(1.5*J1099)</f>
        <v>75</v>
      </c>
      <c r="T1099" s="156">
        <f>PRODUCT(1.5*J1099)</f>
        <v>75</v>
      </c>
      <c r="U1099" s="156">
        <f>PRODUCT(0.5,J1099)</f>
        <v>25</v>
      </c>
      <c r="V1099" s="143">
        <f>SUM(R1099+S1099+T1099+U1099)</f>
        <v>187.5</v>
      </c>
    </row>
    <row r="1100" spans="1:22" s="128" customFormat="1" ht="15.6" hidden="1" x14ac:dyDescent="0.3">
      <c r="A1100" s="140" t="s">
        <v>477</v>
      </c>
      <c r="B1100" s="140">
        <v>1121</v>
      </c>
      <c r="C1100" s="139">
        <v>46050</v>
      </c>
      <c r="D1100" s="140">
        <f>WEEKNUM(C1100)</f>
        <v>5</v>
      </c>
      <c r="E1100" s="140" t="s">
        <v>478</v>
      </c>
      <c r="F1100" s="140" t="s">
        <v>852</v>
      </c>
      <c r="G1100" s="140" t="s">
        <v>854</v>
      </c>
      <c r="H1100" s="140" t="s">
        <v>107</v>
      </c>
      <c r="I1100" s="140" t="s">
        <v>26</v>
      </c>
      <c r="J1100" s="154">
        <v>1000</v>
      </c>
      <c r="K1100" s="156">
        <v>2.5</v>
      </c>
      <c r="L1100" s="156">
        <f>J1100*K1100</f>
        <v>2500</v>
      </c>
      <c r="M1100" s="143">
        <v>0</v>
      </c>
      <c r="N1100" s="139">
        <v>45715</v>
      </c>
      <c r="O1100" s="157">
        <f>WEEKNUM(N1100)</f>
        <v>9</v>
      </c>
      <c r="P1100" s="140"/>
      <c r="Q1100" s="140" t="s">
        <v>29</v>
      </c>
      <c r="R1100" s="156">
        <f>J1100*0.25</f>
        <v>250</v>
      </c>
      <c r="S1100" s="156">
        <f>J1100*0.5</f>
        <v>500</v>
      </c>
      <c r="T1100" s="156">
        <f>J1100*0.5</f>
        <v>500</v>
      </c>
      <c r="U1100" s="156">
        <f>J1100*0.5</f>
        <v>500</v>
      </c>
      <c r="V1100" s="156">
        <f>R1100+S1100+T1100+U1100</f>
        <v>1750</v>
      </c>
    </row>
    <row r="1101" spans="1:22" s="128" customFormat="1" ht="15.6" hidden="1" x14ac:dyDescent="0.3">
      <c r="A1101" s="142" t="s">
        <v>481</v>
      </c>
      <c r="B1101" s="142">
        <v>434</v>
      </c>
      <c r="C1101" s="141">
        <v>46050</v>
      </c>
      <c r="D1101" s="140">
        <f>WEEKNUM(C1101)</f>
        <v>5</v>
      </c>
      <c r="E1101" s="140" t="s">
        <v>475</v>
      </c>
      <c r="F1101" s="142" t="s">
        <v>97</v>
      </c>
      <c r="G1101" s="140" t="s">
        <v>480</v>
      </c>
      <c r="H1101" s="142" t="s">
        <v>51</v>
      </c>
      <c r="I1101" s="142" t="s">
        <v>46</v>
      </c>
      <c r="J1101" s="157">
        <v>60</v>
      </c>
      <c r="K1101" s="143">
        <v>19.7</v>
      </c>
      <c r="L1101" s="143">
        <f>J1101*K1101</f>
        <v>1182</v>
      </c>
      <c r="M1101" s="143">
        <f>L1101/2</f>
        <v>591</v>
      </c>
      <c r="N1101" s="141">
        <v>46071</v>
      </c>
      <c r="O1101" s="157">
        <f>WEEKNUM(N1101)</f>
        <v>8</v>
      </c>
      <c r="P1101" s="140"/>
      <c r="Q1101" s="142" t="s">
        <v>29</v>
      </c>
      <c r="R1101" s="156">
        <f>PRODUCT(0.25,J1101)</f>
        <v>15</v>
      </c>
      <c r="S1101" s="143">
        <f>PRODUCT(1.5*J1101)</f>
        <v>90</v>
      </c>
      <c r="T1101" s="156">
        <f>PRODUCT(1.5*J1101)</f>
        <v>90</v>
      </c>
      <c r="U1101" s="156">
        <f>PRODUCT(0.5,J1101)</f>
        <v>30</v>
      </c>
      <c r="V1101" s="143">
        <f>SUM(R1101+S1101+T1101+U1101)</f>
        <v>225</v>
      </c>
    </row>
    <row r="1102" spans="1:22" s="128" customFormat="1" ht="15.6" hidden="1" x14ac:dyDescent="0.3">
      <c r="A1102" s="142" t="s">
        <v>481</v>
      </c>
      <c r="B1102" s="142">
        <v>434</v>
      </c>
      <c r="C1102" s="141">
        <v>46050</v>
      </c>
      <c r="D1102" s="140">
        <f>WEEKNUM(C1102)</f>
        <v>5</v>
      </c>
      <c r="E1102" s="140" t="s">
        <v>475</v>
      </c>
      <c r="F1102" s="142" t="s">
        <v>97</v>
      </c>
      <c r="G1102" s="142" t="s">
        <v>554</v>
      </c>
      <c r="H1102" s="142" t="s">
        <v>555</v>
      </c>
      <c r="I1102" s="142" t="s">
        <v>46</v>
      </c>
      <c r="J1102" s="157">
        <v>60</v>
      </c>
      <c r="K1102" s="143">
        <v>26</v>
      </c>
      <c r="L1102" s="143">
        <f>J1102*K1102</f>
        <v>1560</v>
      </c>
      <c r="M1102" s="143">
        <f>L1102/2</f>
        <v>780</v>
      </c>
      <c r="N1102" s="141">
        <v>46071</v>
      </c>
      <c r="O1102" s="157">
        <f>WEEKNUM(N1102)</f>
        <v>8</v>
      </c>
      <c r="P1102" s="140"/>
      <c r="Q1102" s="142" t="s">
        <v>29</v>
      </c>
      <c r="R1102" s="156">
        <f>PRODUCT(0.25,J1102)</f>
        <v>15</v>
      </c>
      <c r="S1102" s="143">
        <f>PRODUCT(1.5*J1102)</f>
        <v>90</v>
      </c>
      <c r="T1102" s="156">
        <f>PRODUCT(1.5*J1102)</f>
        <v>90</v>
      </c>
      <c r="U1102" s="156">
        <f>PRODUCT(0.5,J1102)</f>
        <v>30</v>
      </c>
      <c r="V1102" s="143">
        <f>SUM(R1102+S1102+T1102+U1102)</f>
        <v>225</v>
      </c>
    </row>
    <row r="1103" spans="1:22" s="128" customFormat="1" ht="15.6" hidden="1" x14ac:dyDescent="0.3">
      <c r="A1103" s="142" t="s">
        <v>481</v>
      </c>
      <c r="B1103" s="142">
        <v>434</v>
      </c>
      <c r="C1103" s="141">
        <v>46050</v>
      </c>
      <c r="D1103" s="140">
        <f>WEEKNUM(C1103)</f>
        <v>5</v>
      </c>
      <c r="E1103" s="140" t="s">
        <v>475</v>
      </c>
      <c r="F1103" s="142" t="s">
        <v>97</v>
      </c>
      <c r="G1103" s="142" t="s">
        <v>646</v>
      </c>
      <c r="H1103" s="140" t="s">
        <v>494</v>
      </c>
      <c r="I1103" s="142" t="s">
        <v>46</v>
      </c>
      <c r="J1103" s="157">
        <v>70</v>
      </c>
      <c r="K1103" s="143">
        <v>22.5</v>
      </c>
      <c r="L1103" s="143">
        <f>J1103*K1103</f>
        <v>1575</v>
      </c>
      <c r="M1103" s="143">
        <f>L1103/2</f>
        <v>787.5</v>
      </c>
      <c r="N1103" s="141">
        <v>46071</v>
      </c>
      <c r="O1103" s="157">
        <f>WEEKNUM(N1103)</f>
        <v>8</v>
      </c>
      <c r="P1103" s="140"/>
      <c r="Q1103" s="142" t="s">
        <v>29</v>
      </c>
      <c r="R1103" s="156">
        <f>PRODUCT(0.25,J1103)</f>
        <v>17.5</v>
      </c>
      <c r="S1103" s="143">
        <f>PRODUCT(1.5*J1103)</f>
        <v>105</v>
      </c>
      <c r="T1103" s="156">
        <f>PRODUCT(1.5*J1103)</f>
        <v>105</v>
      </c>
      <c r="U1103" s="156">
        <f>PRODUCT(0.5,J1103)</f>
        <v>35</v>
      </c>
      <c r="V1103" s="143">
        <f>SUM(R1103+S1103+T1103+U1103)</f>
        <v>262.5</v>
      </c>
    </row>
    <row r="1104" spans="1:22" s="128" customFormat="1" ht="15.6" hidden="1" x14ac:dyDescent="0.3">
      <c r="A1104" s="142" t="s">
        <v>477</v>
      </c>
      <c r="B1104" s="142">
        <v>1040</v>
      </c>
      <c r="C1104" s="141">
        <v>46051</v>
      </c>
      <c r="D1104" s="140">
        <f>WEEKNUM(C1104)</f>
        <v>5</v>
      </c>
      <c r="E1104" s="140" t="s">
        <v>475</v>
      </c>
      <c r="F1104" s="142" t="s">
        <v>888</v>
      </c>
      <c r="G1104" s="142" t="s">
        <v>784</v>
      </c>
      <c r="H1104" s="142" t="s">
        <v>304</v>
      </c>
      <c r="I1104" s="142" t="s">
        <v>61</v>
      </c>
      <c r="J1104" s="157">
        <v>300</v>
      </c>
      <c r="K1104" s="143">
        <v>26.5</v>
      </c>
      <c r="L1104" s="143">
        <f>J1104*K1104</f>
        <v>7950</v>
      </c>
      <c r="M1104" s="143">
        <v>3975</v>
      </c>
      <c r="N1104" s="141">
        <v>46078</v>
      </c>
      <c r="O1104" s="157">
        <f>WEEKNUM(N1104)</f>
        <v>9</v>
      </c>
      <c r="P1104" s="140"/>
      <c r="Q1104" s="142" t="s">
        <v>29</v>
      </c>
      <c r="R1104" s="156">
        <f>PRODUCT(0.25,J1104)</f>
        <v>75</v>
      </c>
      <c r="S1104" s="143">
        <f>PRODUCT(1.5*J1104)</f>
        <v>450</v>
      </c>
      <c r="T1104" s="156">
        <f>PRODUCT(1.5*J1104)</f>
        <v>450</v>
      </c>
      <c r="U1104" s="156">
        <f>PRODUCT(0.5,J1104)</f>
        <v>150</v>
      </c>
      <c r="V1104" s="143">
        <f>SUM(R1104+S1104+T1104+U1104)</f>
        <v>1125</v>
      </c>
    </row>
    <row r="1105" spans="1:22" s="128" customFormat="1" ht="15.6" hidden="1" x14ac:dyDescent="0.3">
      <c r="A1105" s="142" t="s">
        <v>481</v>
      </c>
      <c r="B1105" s="142">
        <v>1036</v>
      </c>
      <c r="C1105" s="141">
        <v>46051</v>
      </c>
      <c r="D1105" s="140">
        <f>WEEKNUM(C1105)</f>
        <v>5</v>
      </c>
      <c r="E1105" s="142" t="s">
        <v>498</v>
      </c>
      <c r="F1105" s="142" t="s">
        <v>956</v>
      </c>
      <c r="G1105" s="142" t="s">
        <v>487</v>
      </c>
      <c r="H1105" s="142" t="s">
        <v>51</v>
      </c>
      <c r="I1105" s="142" t="s">
        <v>46</v>
      </c>
      <c r="J1105" s="157">
        <v>200</v>
      </c>
      <c r="K1105" s="143">
        <v>23.5</v>
      </c>
      <c r="L1105" s="143">
        <f>J1105*K1105</f>
        <v>4700</v>
      </c>
      <c r="M1105" s="143">
        <v>4700</v>
      </c>
      <c r="N1105" s="141">
        <v>46077</v>
      </c>
      <c r="O1105" s="157">
        <f>WEEKNUM(N1105)</f>
        <v>9</v>
      </c>
      <c r="P1105" s="140"/>
      <c r="Q1105" s="142" t="s">
        <v>29</v>
      </c>
      <c r="R1105" s="156">
        <f>PRODUCT(0.25,J1105)</f>
        <v>50</v>
      </c>
      <c r="S1105" s="143">
        <f>PRODUCT(1.5*J1105)</f>
        <v>300</v>
      </c>
      <c r="T1105" s="156">
        <f>PRODUCT(1.5*J1105)</f>
        <v>300</v>
      </c>
      <c r="U1105" s="156">
        <f>PRODUCT(0.5,J1105)</f>
        <v>100</v>
      </c>
      <c r="V1105" s="143">
        <f>SUM(R1105+S1105+T1105+U1105)</f>
        <v>750</v>
      </c>
    </row>
    <row r="1106" spans="1:22" s="128" customFormat="1" ht="15.6" hidden="1" x14ac:dyDescent="0.3">
      <c r="A1106" s="142" t="s">
        <v>481</v>
      </c>
      <c r="B1106" s="142">
        <v>1036</v>
      </c>
      <c r="C1106" s="141">
        <v>46051</v>
      </c>
      <c r="D1106" s="140">
        <f>WEEKNUM(C1106)</f>
        <v>5</v>
      </c>
      <c r="E1106" s="142" t="s">
        <v>498</v>
      </c>
      <c r="F1106" s="142" t="s">
        <v>956</v>
      </c>
      <c r="G1106" s="142" t="s">
        <v>958</v>
      </c>
      <c r="H1106" s="142" t="s">
        <v>60</v>
      </c>
      <c r="I1106" s="142" t="s">
        <v>61</v>
      </c>
      <c r="J1106" s="157">
        <v>100</v>
      </c>
      <c r="K1106" s="143">
        <v>14.5</v>
      </c>
      <c r="L1106" s="143">
        <f>J1106*K1106</f>
        <v>1450</v>
      </c>
      <c r="M1106" s="143">
        <v>1450</v>
      </c>
      <c r="N1106" s="141">
        <v>46077</v>
      </c>
      <c r="O1106" s="157">
        <f>WEEKNUM(N1106)</f>
        <v>9</v>
      </c>
      <c r="P1106" s="140"/>
      <c r="Q1106" s="142" t="s">
        <v>29</v>
      </c>
      <c r="R1106" s="156">
        <f>PRODUCT(0.25,J1106)</f>
        <v>25</v>
      </c>
      <c r="S1106" s="143">
        <f>PRODUCT(1.5*J1106)</f>
        <v>150</v>
      </c>
      <c r="T1106" s="156">
        <f>PRODUCT(1.5*J1106)</f>
        <v>150</v>
      </c>
      <c r="U1106" s="156">
        <f>PRODUCT(0.5,J1106)</f>
        <v>50</v>
      </c>
      <c r="V1106" s="143">
        <f>SUM(R1106+S1106+T1106+U1106)</f>
        <v>375</v>
      </c>
    </row>
    <row r="1107" spans="1:22" s="128" customFormat="1" ht="15.6" hidden="1" x14ac:dyDescent="0.3">
      <c r="A1107" s="142" t="s">
        <v>481</v>
      </c>
      <c r="B1107" s="142">
        <v>436</v>
      </c>
      <c r="C1107" s="141">
        <v>46055</v>
      </c>
      <c r="D1107" s="140">
        <f>WEEKNUM(C1107)</f>
        <v>6</v>
      </c>
      <c r="E1107" s="140" t="s">
        <v>475</v>
      </c>
      <c r="F1107" s="142" t="s">
        <v>862</v>
      </c>
      <c r="G1107" s="142" t="s">
        <v>495</v>
      </c>
      <c r="H1107" s="140" t="s">
        <v>494</v>
      </c>
      <c r="I1107" s="142" t="s">
        <v>46</v>
      </c>
      <c r="J1107" s="157">
        <v>100</v>
      </c>
      <c r="K1107" s="143">
        <v>15</v>
      </c>
      <c r="L1107" s="143">
        <f>J1107*K1107</f>
        <v>1500</v>
      </c>
      <c r="M1107" s="143">
        <v>750</v>
      </c>
      <c r="N1107" s="141">
        <v>46079</v>
      </c>
      <c r="O1107" s="157">
        <f>WEEKNUM(N1107)</f>
        <v>9</v>
      </c>
      <c r="P1107" s="140"/>
      <c r="Q1107" s="142" t="s">
        <v>29</v>
      </c>
      <c r="R1107" s="156">
        <f>PRODUCT(0.25,J1107)</f>
        <v>25</v>
      </c>
      <c r="S1107" s="143">
        <f>PRODUCT(1.5*J1107)</f>
        <v>150</v>
      </c>
      <c r="T1107" s="156">
        <f>PRODUCT(1.5*J1107)</f>
        <v>150</v>
      </c>
      <c r="U1107" s="156">
        <f>PRODUCT(0.5,J1107)</f>
        <v>50</v>
      </c>
      <c r="V1107" s="143">
        <f>SUM(R1107+S1107+T1107+U1107)</f>
        <v>375</v>
      </c>
    </row>
    <row r="1108" spans="1:22" s="128" customFormat="1" ht="15.6" hidden="1" x14ac:dyDescent="0.3">
      <c r="A1108" s="142" t="s">
        <v>481</v>
      </c>
      <c r="B1108" s="142">
        <v>438</v>
      </c>
      <c r="C1108" s="141">
        <v>46055</v>
      </c>
      <c r="D1108" s="140">
        <f>WEEKNUM(C1108)</f>
        <v>6</v>
      </c>
      <c r="E1108" s="140" t="s">
        <v>475</v>
      </c>
      <c r="F1108" s="142" t="s">
        <v>971</v>
      </c>
      <c r="G1108" s="142" t="s">
        <v>515</v>
      </c>
      <c r="H1108" s="142" t="s">
        <v>60</v>
      </c>
      <c r="I1108" s="142" t="s">
        <v>61</v>
      </c>
      <c r="J1108" s="157">
        <v>500</v>
      </c>
      <c r="K1108" s="143">
        <v>15.5</v>
      </c>
      <c r="L1108" s="143">
        <f>J1108*K1108</f>
        <v>7750</v>
      </c>
      <c r="M1108" s="143">
        <v>2418</v>
      </c>
      <c r="N1108" s="141">
        <v>46084</v>
      </c>
      <c r="O1108" s="157">
        <f>WEEKNUM(N1108)</f>
        <v>10</v>
      </c>
      <c r="P1108" s="140"/>
      <c r="Q1108" s="142" t="s">
        <v>29</v>
      </c>
      <c r="R1108" s="156">
        <f>PRODUCT(0.25,J1108)</f>
        <v>125</v>
      </c>
      <c r="S1108" s="143">
        <f>PRODUCT(1.5*J1108)</f>
        <v>750</v>
      </c>
      <c r="T1108" s="156">
        <f>PRODUCT(1.5*J1108)</f>
        <v>750</v>
      </c>
      <c r="U1108" s="156">
        <f>PRODUCT(0.5,J1108)</f>
        <v>250</v>
      </c>
      <c r="V1108" s="143">
        <f>SUM(R1108+S1108+T1108+U1108)</f>
        <v>1875</v>
      </c>
    </row>
    <row r="1109" spans="1:22" s="128" customFormat="1" ht="15.6" hidden="1" x14ac:dyDescent="0.3">
      <c r="A1109" s="142" t="s">
        <v>481</v>
      </c>
      <c r="B1109" s="142">
        <v>437</v>
      </c>
      <c r="C1109" s="141">
        <v>46055</v>
      </c>
      <c r="D1109" s="140">
        <f>WEEKNUM(C1109)</f>
        <v>6</v>
      </c>
      <c r="E1109" s="142" t="s">
        <v>498</v>
      </c>
      <c r="F1109" s="142" t="s">
        <v>992</v>
      </c>
      <c r="G1109" s="142" t="s">
        <v>908</v>
      </c>
      <c r="H1109" s="142" t="s">
        <v>909</v>
      </c>
      <c r="I1109" s="142" t="s">
        <v>46</v>
      </c>
      <c r="J1109" s="157">
        <v>100</v>
      </c>
      <c r="K1109" s="143">
        <v>7</v>
      </c>
      <c r="L1109" s="143">
        <f>J1109*K1109</f>
        <v>700</v>
      </c>
      <c r="M1109" s="143">
        <v>0</v>
      </c>
      <c r="N1109" s="141">
        <v>46078</v>
      </c>
      <c r="O1109" s="157">
        <f>WEEKNUM(N1109)</f>
        <v>9</v>
      </c>
      <c r="P1109" s="140"/>
      <c r="Q1109" s="142" t="s">
        <v>29</v>
      </c>
      <c r="R1109" s="156">
        <f>PRODUCT(0.25,J1109)</f>
        <v>25</v>
      </c>
      <c r="S1109" s="143">
        <f>PRODUCT(1.5*J1109)</f>
        <v>150</v>
      </c>
      <c r="T1109" s="156">
        <f>PRODUCT(1.5*J1109)</f>
        <v>150</v>
      </c>
      <c r="U1109" s="156">
        <f>PRODUCT(0.5,J1109)</f>
        <v>50</v>
      </c>
      <c r="V1109" s="143">
        <f>SUM(R1109+S1109+T1109+U1109)</f>
        <v>375</v>
      </c>
    </row>
    <row r="1110" spans="1:22" s="128" customFormat="1" ht="15.6" hidden="1" x14ac:dyDescent="0.3">
      <c r="A1110" s="142" t="s">
        <v>481</v>
      </c>
      <c r="B1110" s="142">
        <v>437</v>
      </c>
      <c r="C1110" s="141">
        <v>46055</v>
      </c>
      <c r="D1110" s="140">
        <f>WEEKNUM(C1110)</f>
        <v>6</v>
      </c>
      <c r="E1110" s="142" t="s">
        <v>498</v>
      </c>
      <c r="F1110" s="142" t="s">
        <v>992</v>
      </c>
      <c r="G1110" s="142" t="s">
        <v>515</v>
      </c>
      <c r="H1110" s="142" t="s">
        <v>60</v>
      </c>
      <c r="I1110" s="142" t="s">
        <v>61</v>
      </c>
      <c r="J1110" s="157">
        <v>100</v>
      </c>
      <c r="K1110" s="143">
        <v>19.899999999999999</v>
      </c>
      <c r="L1110" s="143">
        <f>J1110*K1110</f>
        <v>1989.9999999999998</v>
      </c>
      <c r="M1110" s="143">
        <v>0</v>
      </c>
      <c r="N1110" s="141">
        <v>46078</v>
      </c>
      <c r="O1110" s="157">
        <f>WEEKNUM(N1110)</f>
        <v>9</v>
      </c>
      <c r="P1110" s="140"/>
      <c r="Q1110" s="142" t="s">
        <v>29</v>
      </c>
      <c r="R1110" s="156">
        <f>PRODUCT(0.25,J1110)</f>
        <v>25</v>
      </c>
      <c r="S1110" s="143">
        <f>PRODUCT(1.5*J1110)</f>
        <v>150</v>
      </c>
      <c r="T1110" s="156">
        <f>PRODUCT(1.5*J1110)</f>
        <v>150</v>
      </c>
      <c r="U1110" s="156">
        <f>PRODUCT(0.5,J1110)</f>
        <v>50</v>
      </c>
      <c r="V1110" s="143">
        <f>SUM(R1110+S1110+T1110+U1110)</f>
        <v>375</v>
      </c>
    </row>
    <row r="1111" spans="1:22" s="128" customFormat="1" ht="15.6" hidden="1" x14ac:dyDescent="0.3">
      <c r="A1111" s="142" t="s">
        <v>477</v>
      </c>
      <c r="B1111" s="142">
        <v>400</v>
      </c>
      <c r="C1111" s="141">
        <v>46056</v>
      </c>
      <c r="D1111" s="140">
        <f>WEEKNUM(C1111)</f>
        <v>6</v>
      </c>
      <c r="E1111" s="140" t="s">
        <v>475</v>
      </c>
      <c r="F1111" s="142" t="s">
        <v>551</v>
      </c>
      <c r="G1111" s="142" t="s">
        <v>546</v>
      </c>
      <c r="H1111" s="140" t="s">
        <v>494</v>
      </c>
      <c r="I1111" s="142" t="s">
        <v>46</v>
      </c>
      <c r="J1111" s="157">
        <v>100</v>
      </c>
      <c r="K1111" s="143">
        <v>15</v>
      </c>
      <c r="L1111" s="143">
        <f>J1111*K1111</f>
        <v>1500</v>
      </c>
      <c r="M1111" s="143">
        <v>1500</v>
      </c>
      <c r="N1111" s="141">
        <v>46083</v>
      </c>
      <c r="O1111" s="157">
        <f>WEEKNUM(N1111)</f>
        <v>10</v>
      </c>
      <c r="P1111" s="140"/>
      <c r="Q1111" s="142" t="s">
        <v>29</v>
      </c>
      <c r="R1111" s="143">
        <f>PRODUCT(0.5*J1111)</f>
        <v>50</v>
      </c>
      <c r="S1111" s="143">
        <f>J1111*1.5</f>
        <v>150</v>
      </c>
      <c r="T1111" s="143">
        <f>J1111*1.5</f>
        <v>150</v>
      </c>
      <c r="U1111" s="143">
        <f>J1111*0.5</f>
        <v>50</v>
      </c>
      <c r="V1111" s="143">
        <f>U1111+T1111+S1111+R1111</f>
        <v>400</v>
      </c>
    </row>
    <row r="1112" spans="1:22" s="128" customFormat="1" ht="15.6" hidden="1" x14ac:dyDescent="0.3">
      <c r="A1112" s="142" t="s">
        <v>477</v>
      </c>
      <c r="B1112" s="142">
        <v>400</v>
      </c>
      <c r="C1112" s="141">
        <v>46056</v>
      </c>
      <c r="D1112" s="140">
        <f>WEEKNUM(C1112)</f>
        <v>6</v>
      </c>
      <c r="E1112" s="140" t="s">
        <v>475</v>
      </c>
      <c r="F1112" s="142" t="s">
        <v>551</v>
      </c>
      <c r="G1112" s="142" t="s">
        <v>311</v>
      </c>
      <c r="H1112" s="142" t="s">
        <v>51</v>
      </c>
      <c r="I1112" s="142" t="s">
        <v>46</v>
      </c>
      <c r="J1112" s="157">
        <v>100</v>
      </c>
      <c r="K1112" s="143">
        <v>16</v>
      </c>
      <c r="L1112" s="143">
        <f>J1112*K1112</f>
        <v>1600</v>
      </c>
      <c r="M1112" s="143">
        <v>1600</v>
      </c>
      <c r="N1112" s="141">
        <v>46083</v>
      </c>
      <c r="O1112" s="157">
        <f>WEEKNUM(N1112)</f>
        <v>10</v>
      </c>
      <c r="P1112" s="140"/>
      <c r="Q1112" s="142" t="s">
        <v>29</v>
      </c>
      <c r="R1112" s="143">
        <f>PRODUCT(0.5*J1112)</f>
        <v>50</v>
      </c>
      <c r="S1112" s="143">
        <f>J1112*1.5</f>
        <v>150</v>
      </c>
      <c r="T1112" s="143">
        <f>J1112*1.5</f>
        <v>150</v>
      </c>
      <c r="U1112" s="143">
        <f>J1112*0.5</f>
        <v>50</v>
      </c>
      <c r="V1112" s="143">
        <f>U1112+T1112+S1112+R1112</f>
        <v>400</v>
      </c>
    </row>
    <row r="1113" spans="1:22" s="128" customFormat="1" ht="15.6" hidden="1" x14ac:dyDescent="0.3">
      <c r="A1113" s="142" t="s">
        <v>477</v>
      </c>
      <c r="B1113" s="142">
        <v>1042</v>
      </c>
      <c r="C1113" s="141">
        <v>46056</v>
      </c>
      <c r="D1113" s="140">
        <f>WEEKNUM(C1113)</f>
        <v>6</v>
      </c>
      <c r="E1113" s="142" t="s">
        <v>498</v>
      </c>
      <c r="F1113" s="140" t="s">
        <v>459</v>
      </c>
      <c r="G1113" s="142" t="s">
        <v>908</v>
      </c>
      <c r="H1113" s="142" t="s">
        <v>909</v>
      </c>
      <c r="I1113" s="142" t="s">
        <v>46</v>
      </c>
      <c r="J1113" s="157">
        <v>500</v>
      </c>
      <c r="K1113" s="143">
        <v>6</v>
      </c>
      <c r="L1113" s="143">
        <f>J1113*K1113</f>
        <v>3000</v>
      </c>
      <c r="M1113" s="143">
        <v>3000</v>
      </c>
      <c r="N1113" s="141">
        <v>46080</v>
      </c>
      <c r="O1113" s="157">
        <f>WEEKNUM(N1113)</f>
        <v>9</v>
      </c>
      <c r="P1113" s="140"/>
      <c r="Q1113" s="142" t="s">
        <v>29</v>
      </c>
      <c r="R1113" s="156">
        <f>PRODUCT(0.25,J1113)</f>
        <v>125</v>
      </c>
      <c r="S1113" s="143">
        <f>PRODUCT(1.5*J1113)</f>
        <v>750</v>
      </c>
      <c r="T1113" s="156">
        <f>PRODUCT(1.5*J1113)</f>
        <v>750</v>
      </c>
      <c r="U1113" s="156">
        <f>PRODUCT(0.5,J1113)</f>
        <v>250</v>
      </c>
      <c r="V1113" s="143">
        <f>SUM(R1113+S1113+T1113+U1113)</f>
        <v>1875</v>
      </c>
    </row>
    <row r="1114" spans="1:22" s="128" customFormat="1" ht="15.6" hidden="1" x14ac:dyDescent="0.3">
      <c r="A1114" s="142" t="s">
        <v>481</v>
      </c>
      <c r="B1114" s="142">
        <v>439</v>
      </c>
      <c r="C1114" s="141">
        <v>46056</v>
      </c>
      <c r="D1114" s="140">
        <f>WEEKNUM(C1114)</f>
        <v>6</v>
      </c>
      <c r="E1114" s="140" t="s">
        <v>475</v>
      </c>
      <c r="F1114" s="142" t="s">
        <v>886</v>
      </c>
      <c r="G1114" s="142" t="s">
        <v>487</v>
      </c>
      <c r="H1114" s="142" t="s">
        <v>51</v>
      </c>
      <c r="I1114" s="142" t="s">
        <v>46</v>
      </c>
      <c r="J1114" s="157">
        <v>100</v>
      </c>
      <c r="K1114" s="143">
        <v>27</v>
      </c>
      <c r="L1114" s="143">
        <f>J1114*K1114</f>
        <v>2700</v>
      </c>
      <c r="M1114" s="143">
        <v>2700</v>
      </c>
      <c r="N1114" s="141">
        <v>46078</v>
      </c>
      <c r="O1114" s="157">
        <f>WEEKNUM(N1114)</f>
        <v>9</v>
      </c>
      <c r="P1114" s="140"/>
      <c r="Q1114" s="142" t="s">
        <v>29</v>
      </c>
      <c r="R1114" s="143">
        <f>PRODUCT(0.5*J1114)</f>
        <v>50</v>
      </c>
      <c r="S1114" s="143">
        <f>J1114*1.5</f>
        <v>150</v>
      </c>
      <c r="T1114" s="143">
        <f>J1114*1.5</f>
        <v>150</v>
      </c>
      <c r="U1114" s="143">
        <f>J1114*0.5</f>
        <v>50</v>
      </c>
      <c r="V1114" s="143">
        <f>SUM(R1114+S1114+T1114+U1114)</f>
        <v>400</v>
      </c>
    </row>
    <row r="1115" spans="1:22" s="128" customFormat="1" ht="15.6" hidden="1" x14ac:dyDescent="0.3">
      <c r="A1115" s="142" t="s">
        <v>481</v>
      </c>
      <c r="B1115" s="142">
        <v>439</v>
      </c>
      <c r="C1115" s="141">
        <v>46056</v>
      </c>
      <c r="D1115" s="140">
        <f>WEEKNUM(C1115)</f>
        <v>6</v>
      </c>
      <c r="E1115" s="140" t="s">
        <v>475</v>
      </c>
      <c r="F1115" s="142" t="s">
        <v>886</v>
      </c>
      <c r="G1115" s="142" t="s">
        <v>495</v>
      </c>
      <c r="H1115" s="140" t="s">
        <v>494</v>
      </c>
      <c r="I1115" s="142" t="s">
        <v>46</v>
      </c>
      <c r="J1115" s="157">
        <v>100</v>
      </c>
      <c r="K1115" s="143">
        <v>17</v>
      </c>
      <c r="L1115" s="143">
        <f>J1115*K1115</f>
        <v>1700</v>
      </c>
      <c r="M1115" s="143">
        <v>1700</v>
      </c>
      <c r="N1115" s="141">
        <v>46078</v>
      </c>
      <c r="O1115" s="157">
        <f>WEEKNUM(N1115)</f>
        <v>9</v>
      </c>
      <c r="P1115" s="140"/>
      <c r="Q1115" s="142" t="s">
        <v>29</v>
      </c>
      <c r="R1115" s="143">
        <f>PRODUCT(0.5*J1115)</f>
        <v>50</v>
      </c>
      <c r="S1115" s="143">
        <f>J1115*1.5</f>
        <v>150</v>
      </c>
      <c r="T1115" s="143">
        <f>J1115*1.5</f>
        <v>150</v>
      </c>
      <c r="U1115" s="143">
        <f>J1115*0.5</f>
        <v>50</v>
      </c>
      <c r="V1115" s="143">
        <f>SUM(R1115+S1115+T1115+U1115)</f>
        <v>400</v>
      </c>
    </row>
    <row r="1116" spans="1:22" s="128" customFormat="1" ht="15.6" hidden="1" x14ac:dyDescent="0.3">
      <c r="A1116" s="142" t="s">
        <v>477</v>
      </c>
      <c r="B1116" s="142">
        <v>1043</v>
      </c>
      <c r="C1116" s="141">
        <v>46057</v>
      </c>
      <c r="D1116" s="140">
        <f>WEEKNUM(C1116)</f>
        <v>6</v>
      </c>
      <c r="E1116" s="140" t="s">
        <v>475</v>
      </c>
      <c r="F1116" s="140" t="s">
        <v>568</v>
      </c>
      <c r="G1116" s="142" t="s">
        <v>583</v>
      </c>
      <c r="H1116" s="142" t="s">
        <v>583</v>
      </c>
      <c r="I1116" s="142" t="s">
        <v>61</v>
      </c>
      <c r="J1116" s="157">
        <v>50</v>
      </c>
      <c r="K1116" s="143">
        <v>42</v>
      </c>
      <c r="L1116" s="143">
        <f>J1116*K1116</f>
        <v>2100</v>
      </c>
      <c r="M1116" s="143">
        <v>2100</v>
      </c>
      <c r="N1116" s="141">
        <v>46087</v>
      </c>
      <c r="O1116" s="157">
        <f>WEEKNUM(N1116)</f>
        <v>10</v>
      </c>
      <c r="P1116" s="140"/>
      <c r="Q1116" s="142" t="s">
        <v>29</v>
      </c>
      <c r="R1116" s="143">
        <f>PRODUCT(0.5*J1116)</f>
        <v>25</v>
      </c>
      <c r="S1116" s="143">
        <f>J1116*1.5</f>
        <v>75</v>
      </c>
      <c r="T1116" s="143">
        <f>J1116*1.5</f>
        <v>75</v>
      </c>
      <c r="U1116" s="143">
        <f>J1116*0.5</f>
        <v>25</v>
      </c>
      <c r="V1116" s="143">
        <f>U1116+T1116+S1116+R1116</f>
        <v>200</v>
      </c>
    </row>
    <row r="1117" spans="1:22" s="128" customFormat="1" ht="15.6" hidden="1" x14ac:dyDescent="0.3">
      <c r="A1117" s="142" t="s">
        <v>477</v>
      </c>
      <c r="B1117" s="142">
        <v>441</v>
      </c>
      <c r="C1117" s="141">
        <v>46057</v>
      </c>
      <c r="D1117" s="140">
        <f>WEEKNUM(C1117)</f>
        <v>6</v>
      </c>
      <c r="E1117" s="140" t="s">
        <v>475</v>
      </c>
      <c r="F1117" s="142" t="s">
        <v>694</v>
      </c>
      <c r="G1117" s="142" t="s">
        <v>695</v>
      </c>
      <c r="H1117" s="142" t="s">
        <v>304</v>
      </c>
      <c r="I1117" s="142" t="s">
        <v>61</v>
      </c>
      <c r="J1117" s="157">
        <v>100</v>
      </c>
      <c r="K1117" s="143">
        <v>14.5</v>
      </c>
      <c r="L1117" s="143">
        <f>J1117*K1117</f>
        <v>1450</v>
      </c>
      <c r="M1117" s="143">
        <f>L1117/2</f>
        <v>725</v>
      </c>
      <c r="N1117" s="141">
        <v>46078</v>
      </c>
      <c r="O1117" s="157">
        <f>WEEKNUM(N1117)</f>
        <v>9</v>
      </c>
      <c r="P1117" s="140"/>
      <c r="Q1117" s="142" t="s">
        <v>29</v>
      </c>
      <c r="R1117" s="143">
        <f>PRODUCT(0.25*J1117)</f>
        <v>25</v>
      </c>
      <c r="S1117" s="143">
        <f>J1117*1.5</f>
        <v>150</v>
      </c>
      <c r="T1117" s="143">
        <f>J1117*1.5</f>
        <v>150</v>
      </c>
      <c r="U1117" s="143">
        <f>J1117*0.5</f>
        <v>50</v>
      </c>
      <c r="V1117" s="143">
        <f>U1117+T1117+S1117+R1117</f>
        <v>375</v>
      </c>
    </row>
    <row r="1118" spans="1:22" s="128" customFormat="1" ht="15.6" hidden="1" x14ac:dyDescent="0.3">
      <c r="A1118" s="142" t="s">
        <v>477</v>
      </c>
      <c r="B1118" s="142">
        <v>441</v>
      </c>
      <c r="C1118" s="141">
        <v>46057</v>
      </c>
      <c r="D1118" s="140">
        <f>WEEKNUM(C1118)</f>
        <v>6</v>
      </c>
      <c r="E1118" s="140" t="s">
        <v>475</v>
      </c>
      <c r="F1118" s="142" t="s">
        <v>694</v>
      </c>
      <c r="G1118" s="142" t="s">
        <v>546</v>
      </c>
      <c r="H1118" s="140" t="s">
        <v>494</v>
      </c>
      <c r="I1118" s="142" t="s">
        <v>46</v>
      </c>
      <c r="J1118" s="157">
        <v>150</v>
      </c>
      <c r="K1118" s="143">
        <v>17</v>
      </c>
      <c r="L1118" s="143">
        <f>J1118*K1118</f>
        <v>2550</v>
      </c>
      <c r="M1118" s="143">
        <f>L1118/2</f>
        <v>1275</v>
      </c>
      <c r="N1118" s="141">
        <v>46078</v>
      </c>
      <c r="O1118" s="157">
        <f>WEEKNUM(N1118)</f>
        <v>9</v>
      </c>
      <c r="P1118" s="140"/>
      <c r="Q1118" s="142" t="s">
        <v>29</v>
      </c>
      <c r="R1118" s="143">
        <f>PRODUCT(0.25*J1118)</f>
        <v>37.5</v>
      </c>
      <c r="S1118" s="143">
        <f>J1118*1.5</f>
        <v>225</v>
      </c>
      <c r="T1118" s="143">
        <f>J1118*1.5</f>
        <v>225</v>
      </c>
      <c r="U1118" s="143">
        <f>J1118*0.5</f>
        <v>75</v>
      </c>
      <c r="V1118" s="143">
        <f>U1118+T1118+S1118+R1118</f>
        <v>562.5</v>
      </c>
    </row>
    <row r="1119" spans="1:22" s="128" customFormat="1" ht="15.6" hidden="1" x14ac:dyDescent="0.3">
      <c r="A1119" s="142" t="s">
        <v>477</v>
      </c>
      <c r="B1119" s="142">
        <v>441</v>
      </c>
      <c r="C1119" s="141">
        <v>46057</v>
      </c>
      <c r="D1119" s="140">
        <f>WEEKNUM(C1119)</f>
        <v>6</v>
      </c>
      <c r="E1119" s="140" t="s">
        <v>475</v>
      </c>
      <c r="F1119" s="142" t="s">
        <v>694</v>
      </c>
      <c r="G1119" s="142" t="s">
        <v>311</v>
      </c>
      <c r="H1119" s="142" t="s">
        <v>51</v>
      </c>
      <c r="I1119" s="142" t="s">
        <v>46</v>
      </c>
      <c r="J1119" s="157">
        <v>150</v>
      </c>
      <c r="K1119" s="143">
        <v>14.8</v>
      </c>
      <c r="L1119" s="143">
        <f>J1119*K1119</f>
        <v>2220</v>
      </c>
      <c r="M1119" s="143">
        <f>L1119/2</f>
        <v>1110</v>
      </c>
      <c r="N1119" s="141">
        <v>46078</v>
      </c>
      <c r="O1119" s="157">
        <f>WEEKNUM(N1119)</f>
        <v>9</v>
      </c>
      <c r="P1119" s="140"/>
      <c r="Q1119" s="142" t="s">
        <v>29</v>
      </c>
      <c r="R1119" s="143">
        <f>PRODUCT(0.25*J1119)</f>
        <v>37.5</v>
      </c>
      <c r="S1119" s="143">
        <f>J1119*1.5</f>
        <v>225</v>
      </c>
      <c r="T1119" s="143">
        <f>J1119*1.5</f>
        <v>225</v>
      </c>
      <c r="U1119" s="143">
        <f>J1119*0.5</f>
        <v>75</v>
      </c>
      <c r="V1119" s="143">
        <f>U1119+T1119+S1119+R1119</f>
        <v>562.5</v>
      </c>
    </row>
    <row r="1120" spans="1:22" s="128" customFormat="1" ht="15.6" hidden="1" x14ac:dyDescent="0.3">
      <c r="A1120" s="142" t="s">
        <v>486</v>
      </c>
      <c r="B1120" s="142">
        <v>468</v>
      </c>
      <c r="C1120" s="141">
        <v>46058</v>
      </c>
      <c r="D1120" s="140">
        <f>WEEKNUM(C1120)</f>
        <v>6</v>
      </c>
      <c r="E1120" s="140" t="s">
        <v>475</v>
      </c>
      <c r="F1120" s="142" t="s">
        <v>644</v>
      </c>
      <c r="G1120" s="142" t="s">
        <v>311</v>
      </c>
      <c r="H1120" s="142" t="s">
        <v>51</v>
      </c>
      <c r="I1120" s="142" t="s">
        <v>46</v>
      </c>
      <c r="J1120" s="157">
        <v>50</v>
      </c>
      <c r="K1120" s="143">
        <v>17</v>
      </c>
      <c r="L1120" s="143">
        <f>K1120*J1120</f>
        <v>850</v>
      </c>
      <c r="M1120" s="143">
        <v>0</v>
      </c>
      <c r="N1120" s="141">
        <v>46114</v>
      </c>
      <c r="O1120" s="157">
        <f>WEEKNUM(N1120)</f>
        <v>14</v>
      </c>
      <c r="P1120" s="140"/>
      <c r="Q1120" s="142" t="s">
        <v>29</v>
      </c>
      <c r="R1120" s="143">
        <f>PRODUCT(0.25*J1120)</f>
        <v>12.5</v>
      </c>
      <c r="S1120" s="143">
        <f>J1120*1.5</f>
        <v>75</v>
      </c>
      <c r="T1120" s="143">
        <f>J1120*1.5</f>
        <v>75</v>
      </c>
      <c r="U1120" s="143">
        <f>J1120*0.5</f>
        <v>25</v>
      </c>
      <c r="V1120" s="143">
        <f>U1120+T1120+S1120+R1120</f>
        <v>187.5</v>
      </c>
    </row>
    <row r="1121" spans="1:22" s="128" customFormat="1" ht="15.6" hidden="1" x14ac:dyDescent="0.3">
      <c r="A1121" s="142" t="s">
        <v>486</v>
      </c>
      <c r="B1121" s="142">
        <v>468</v>
      </c>
      <c r="C1121" s="141">
        <v>46058</v>
      </c>
      <c r="D1121" s="140">
        <f>WEEKNUM(C1121)</f>
        <v>6</v>
      </c>
      <c r="E1121" s="140" t="s">
        <v>475</v>
      </c>
      <c r="F1121" s="142" t="s">
        <v>644</v>
      </c>
      <c r="G1121" s="142" t="s">
        <v>489</v>
      </c>
      <c r="H1121" s="142" t="s">
        <v>51</v>
      </c>
      <c r="I1121" s="142" t="s">
        <v>61</v>
      </c>
      <c r="J1121" s="157">
        <v>10</v>
      </c>
      <c r="K1121" s="143">
        <v>85</v>
      </c>
      <c r="L1121" s="143">
        <f>K1121*J1121</f>
        <v>850</v>
      </c>
      <c r="M1121" s="143">
        <v>0</v>
      </c>
      <c r="N1121" s="141">
        <v>46114</v>
      </c>
      <c r="O1121" s="157">
        <f>WEEKNUM(N1121)</f>
        <v>14</v>
      </c>
      <c r="P1121" s="140"/>
      <c r="Q1121" s="142" t="s">
        <v>29</v>
      </c>
      <c r="R1121" s="143">
        <f>PRODUCT(0.25*J1121)</f>
        <v>2.5</v>
      </c>
      <c r="S1121" s="143">
        <f>J1121*1.5</f>
        <v>15</v>
      </c>
      <c r="T1121" s="143">
        <f>J1121*1.5</f>
        <v>15</v>
      </c>
      <c r="U1121" s="143">
        <f>J1121*0.5</f>
        <v>5</v>
      </c>
      <c r="V1121" s="143">
        <f>U1121+T1121+S1121+R1121</f>
        <v>37.5</v>
      </c>
    </row>
    <row r="1122" spans="1:22" s="128" customFormat="1" ht="15.6" hidden="1" x14ac:dyDescent="0.3">
      <c r="A1122" s="142" t="s">
        <v>486</v>
      </c>
      <c r="B1122" s="142">
        <v>468</v>
      </c>
      <c r="C1122" s="141">
        <v>46058</v>
      </c>
      <c r="D1122" s="140">
        <f>WEEKNUM(C1122)</f>
        <v>6</v>
      </c>
      <c r="E1122" s="140" t="s">
        <v>475</v>
      </c>
      <c r="F1122" s="142" t="s">
        <v>644</v>
      </c>
      <c r="G1122" s="142" t="s">
        <v>495</v>
      </c>
      <c r="H1122" s="140" t="s">
        <v>494</v>
      </c>
      <c r="I1122" s="142" t="s">
        <v>46</v>
      </c>
      <c r="J1122" s="157">
        <v>50</v>
      </c>
      <c r="K1122" s="143">
        <v>17.5</v>
      </c>
      <c r="L1122" s="143">
        <f>K1122*J1122</f>
        <v>875</v>
      </c>
      <c r="M1122" s="143">
        <v>0</v>
      </c>
      <c r="N1122" s="141">
        <v>46114</v>
      </c>
      <c r="O1122" s="157">
        <f>WEEKNUM(N1122)</f>
        <v>14</v>
      </c>
      <c r="P1122" s="140"/>
      <c r="Q1122" s="142" t="s">
        <v>29</v>
      </c>
      <c r="R1122" s="143">
        <f>PRODUCT(0.25*J1122)</f>
        <v>12.5</v>
      </c>
      <c r="S1122" s="143">
        <f>J1122*1.5</f>
        <v>75</v>
      </c>
      <c r="T1122" s="143">
        <f>J1122*1.5</f>
        <v>75</v>
      </c>
      <c r="U1122" s="143">
        <f>J1122*0.5</f>
        <v>25</v>
      </c>
      <c r="V1122" s="143">
        <f>U1122+T1122+S1122+R1122</f>
        <v>187.5</v>
      </c>
    </row>
    <row r="1123" spans="1:22" s="128" customFormat="1" ht="15.6" hidden="1" x14ac:dyDescent="0.3">
      <c r="A1123" s="142" t="s">
        <v>477</v>
      </c>
      <c r="B1123" s="142">
        <v>1045</v>
      </c>
      <c r="C1123" s="141">
        <v>46058</v>
      </c>
      <c r="D1123" s="140">
        <f>WEEKNUM(C1123)</f>
        <v>6</v>
      </c>
      <c r="E1123" s="140" t="s">
        <v>475</v>
      </c>
      <c r="F1123" s="142" t="s">
        <v>758</v>
      </c>
      <c r="G1123" s="142" t="s">
        <v>759</v>
      </c>
      <c r="H1123" s="142" t="s">
        <v>107</v>
      </c>
      <c r="I1123" s="142" t="s">
        <v>46</v>
      </c>
      <c r="J1123" s="157">
        <v>500</v>
      </c>
      <c r="K1123" s="143">
        <v>2.5</v>
      </c>
      <c r="L1123" s="143">
        <f>J1123*K1123</f>
        <v>1250</v>
      </c>
      <c r="M1123" s="143">
        <f>L1123/2</f>
        <v>625</v>
      </c>
      <c r="N1123" s="141">
        <v>46087</v>
      </c>
      <c r="O1123" s="157">
        <f>WEEKNUM(N1123)</f>
        <v>10</v>
      </c>
      <c r="P1123" s="140"/>
      <c r="Q1123" s="142" t="s">
        <v>29</v>
      </c>
      <c r="R1123" s="143">
        <f>PRODUCT(0.25*J1123)</f>
        <v>125</v>
      </c>
      <c r="S1123" s="143">
        <f>J1123*1.5</f>
        <v>750</v>
      </c>
      <c r="T1123" s="143">
        <f>J1123*1.5</f>
        <v>750</v>
      </c>
      <c r="U1123" s="143">
        <f>J1123*0.5</f>
        <v>250</v>
      </c>
      <c r="V1123" s="143">
        <f>U1123+T1123+S1123+R1123</f>
        <v>1875</v>
      </c>
    </row>
    <row r="1124" spans="1:22" s="128" customFormat="1" ht="15.6" hidden="1" x14ac:dyDescent="0.3">
      <c r="A1124" s="142" t="s">
        <v>477</v>
      </c>
      <c r="B1124" s="142">
        <v>443</v>
      </c>
      <c r="C1124" s="141">
        <v>46059</v>
      </c>
      <c r="D1124" s="140">
        <f>WEEKNUM(C1124)</f>
        <v>6</v>
      </c>
      <c r="E1124" s="140" t="s">
        <v>478</v>
      </c>
      <c r="F1124" s="142" t="s">
        <v>605</v>
      </c>
      <c r="G1124" s="142" t="s">
        <v>606</v>
      </c>
      <c r="H1124" s="140" t="s">
        <v>74</v>
      </c>
      <c r="I1124" s="142" t="s">
        <v>46</v>
      </c>
      <c r="J1124" s="157">
        <v>370</v>
      </c>
      <c r="K1124" s="143">
        <v>35</v>
      </c>
      <c r="L1124" s="143">
        <f>J1124*K1124</f>
        <v>12950</v>
      </c>
      <c r="M1124" s="143">
        <v>7700</v>
      </c>
      <c r="N1124" s="141">
        <v>46090</v>
      </c>
      <c r="O1124" s="157">
        <f>WEEKNUM(N1124)</f>
        <v>11</v>
      </c>
      <c r="P1124" s="140"/>
      <c r="Q1124" s="142" t="s">
        <v>29</v>
      </c>
      <c r="R1124" s="143">
        <f>PRODUCT(0.25*J1124)</f>
        <v>92.5</v>
      </c>
      <c r="S1124" s="143">
        <f>J1124*1.5</f>
        <v>555</v>
      </c>
      <c r="T1124" s="143">
        <f>J1124*1.5</f>
        <v>555</v>
      </c>
      <c r="U1124" s="143">
        <f>J1124*0.5</f>
        <v>185</v>
      </c>
      <c r="V1124" s="143">
        <f>U1124+T1124+S1124+R1124</f>
        <v>1387.5</v>
      </c>
    </row>
    <row r="1125" spans="1:22" s="128" customFormat="1" ht="15.6" hidden="1" x14ac:dyDescent="0.3">
      <c r="A1125" s="142" t="s">
        <v>477</v>
      </c>
      <c r="B1125" s="142">
        <v>442</v>
      </c>
      <c r="C1125" s="141">
        <v>46059</v>
      </c>
      <c r="D1125" s="140">
        <f>WEEKNUM(C1125)</f>
        <v>6</v>
      </c>
      <c r="E1125" s="142" t="s">
        <v>55</v>
      </c>
      <c r="F1125" s="142" t="s">
        <v>652</v>
      </c>
      <c r="G1125" s="142" t="s">
        <v>657</v>
      </c>
      <c r="H1125" s="142" t="s">
        <v>350</v>
      </c>
      <c r="I1125" s="142" t="s">
        <v>46</v>
      </c>
      <c r="J1125" s="157">
        <v>1150</v>
      </c>
      <c r="K1125" s="143">
        <v>6.2</v>
      </c>
      <c r="L1125" s="143">
        <f>J1125*K1125</f>
        <v>7130</v>
      </c>
      <c r="M1125" s="143">
        <v>7130</v>
      </c>
      <c r="N1125" s="141">
        <v>46085</v>
      </c>
      <c r="O1125" s="157">
        <f>WEEKNUM(N1125)</f>
        <v>10</v>
      </c>
      <c r="P1125" s="140"/>
      <c r="Q1125" s="142" t="s">
        <v>29</v>
      </c>
      <c r="R1125" s="143">
        <f>PRODUCT(0.25*J1125)</f>
        <v>287.5</v>
      </c>
      <c r="S1125" s="143">
        <f>J1125*1.5</f>
        <v>1725</v>
      </c>
      <c r="T1125" s="143">
        <f>J1125*1.5</f>
        <v>1725</v>
      </c>
      <c r="U1125" s="143">
        <f>J1125*0.5</f>
        <v>575</v>
      </c>
      <c r="V1125" s="143">
        <f>U1125+T1125+S1125+R1125</f>
        <v>4312.5</v>
      </c>
    </row>
    <row r="1126" spans="1:22" s="128" customFormat="1" ht="15.6" hidden="1" x14ac:dyDescent="0.3">
      <c r="A1126" s="142" t="s">
        <v>486</v>
      </c>
      <c r="B1126" s="142">
        <v>444</v>
      </c>
      <c r="C1126" s="141">
        <v>46062</v>
      </c>
      <c r="D1126" s="140">
        <f>WEEKNUM(C1126)</f>
        <v>7</v>
      </c>
      <c r="E1126" s="140" t="s">
        <v>475</v>
      </c>
      <c r="F1126" s="142" t="s">
        <v>820</v>
      </c>
      <c r="G1126" s="142" t="s">
        <v>515</v>
      </c>
      <c r="H1126" s="142" t="s">
        <v>60</v>
      </c>
      <c r="I1126" s="142" t="s">
        <v>61</v>
      </c>
      <c r="J1126" s="157">
        <v>100</v>
      </c>
      <c r="K1126" s="143">
        <v>15</v>
      </c>
      <c r="L1126" s="143">
        <f>J1126*K1126</f>
        <v>1500</v>
      </c>
      <c r="M1126" s="143">
        <v>0</v>
      </c>
      <c r="N1126" s="141">
        <v>46076</v>
      </c>
      <c r="O1126" s="157">
        <f>WEEKNUM(N1126)</f>
        <v>9</v>
      </c>
      <c r="P1126" s="140"/>
      <c r="Q1126" s="142" t="s">
        <v>29</v>
      </c>
      <c r="R1126" s="143">
        <f>PRODUCT(0.25*J1126)</f>
        <v>25</v>
      </c>
      <c r="S1126" s="143">
        <f>J1126*1.5</f>
        <v>150</v>
      </c>
      <c r="T1126" s="143">
        <f>J1126*1.5</f>
        <v>150</v>
      </c>
      <c r="U1126" s="143">
        <f>J1126*0.5</f>
        <v>50</v>
      </c>
      <c r="V1126" s="143">
        <f>U1126+T1126+S1126+R1126</f>
        <v>375</v>
      </c>
    </row>
    <row r="1127" spans="1:22" s="128" customFormat="1" ht="15.6" hidden="1" x14ac:dyDescent="0.3">
      <c r="A1127" s="142" t="s">
        <v>477</v>
      </c>
      <c r="B1127" s="142">
        <v>1046</v>
      </c>
      <c r="C1127" s="141">
        <v>46062</v>
      </c>
      <c r="D1127" s="140">
        <f>WEEKNUM(C1127)</f>
        <v>7</v>
      </c>
      <c r="E1127" s="142" t="s">
        <v>498</v>
      </c>
      <c r="F1127" s="140" t="s">
        <v>459</v>
      </c>
      <c r="G1127" s="142" t="s">
        <v>218</v>
      </c>
      <c r="H1127" s="140" t="s">
        <v>74</v>
      </c>
      <c r="I1127" s="142" t="s">
        <v>46</v>
      </c>
      <c r="J1127" s="157">
        <v>1000</v>
      </c>
      <c r="K1127" s="143">
        <v>23.5</v>
      </c>
      <c r="L1127" s="143">
        <f>J1127*K1127</f>
        <v>23500</v>
      </c>
      <c r="M1127" s="143">
        <v>23500</v>
      </c>
      <c r="N1127" s="141">
        <v>46086</v>
      </c>
      <c r="O1127" s="157">
        <f>WEEKNUM(N1127)</f>
        <v>10</v>
      </c>
      <c r="P1127" s="140"/>
      <c r="Q1127" s="142" t="s">
        <v>29</v>
      </c>
      <c r="R1127" s="143">
        <f>PRODUCT(0.25*J1127)</f>
        <v>250</v>
      </c>
      <c r="S1127" s="143">
        <f>J1127*1.5</f>
        <v>1500</v>
      </c>
      <c r="T1127" s="143">
        <f>J1127*1.5</f>
        <v>1500</v>
      </c>
      <c r="U1127" s="143">
        <f>J1127*0.5</f>
        <v>500</v>
      </c>
      <c r="V1127" s="143">
        <f>U1127+T1127+S1127+R1127</f>
        <v>3750</v>
      </c>
    </row>
    <row r="1128" spans="1:22" s="128" customFormat="1" ht="15.6" hidden="1" x14ac:dyDescent="0.3">
      <c r="A1128" s="142" t="s">
        <v>477</v>
      </c>
      <c r="B1128" s="142">
        <v>214</v>
      </c>
      <c r="C1128" s="141">
        <v>46063</v>
      </c>
      <c r="D1128" s="140">
        <f>WEEKNUM(C1128)</f>
        <v>7</v>
      </c>
      <c r="E1128" s="142" t="s">
        <v>498</v>
      </c>
      <c r="F1128" s="140" t="s">
        <v>446</v>
      </c>
      <c r="G1128" s="142" t="s">
        <v>487</v>
      </c>
      <c r="H1128" s="142" t="s">
        <v>51</v>
      </c>
      <c r="I1128" s="142" t="s">
        <v>46</v>
      </c>
      <c r="J1128" s="157">
        <v>2000</v>
      </c>
      <c r="K1128" s="143">
        <v>23.5</v>
      </c>
      <c r="L1128" s="143">
        <f>J1128*K1128</f>
        <v>47000</v>
      </c>
      <c r="M1128" s="143">
        <f>L1128</f>
        <v>47000</v>
      </c>
      <c r="N1128" s="141">
        <v>46087</v>
      </c>
      <c r="O1128" s="157">
        <f>WEEKNUM(N1128)</f>
        <v>10</v>
      </c>
      <c r="P1128" s="140"/>
      <c r="Q1128" s="142" t="s">
        <v>29</v>
      </c>
      <c r="R1128" s="143">
        <f>PRODUCT(0.25*J1128)</f>
        <v>500</v>
      </c>
      <c r="S1128" s="143">
        <f>J1128*1.5</f>
        <v>3000</v>
      </c>
      <c r="T1128" s="143">
        <f>J1128*1.5</f>
        <v>3000</v>
      </c>
      <c r="U1128" s="143">
        <f>J1128*0.5</f>
        <v>1000</v>
      </c>
      <c r="V1128" s="143">
        <f>U1128+T1128+S1128+R1128</f>
        <v>7500</v>
      </c>
    </row>
    <row r="1129" spans="1:22" s="128" customFormat="1" ht="15.6" hidden="1" x14ac:dyDescent="0.3">
      <c r="A1129" s="142" t="s">
        <v>477</v>
      </c>
      <c r="B1129" s="142">
        <v>1048</v>
      </c>
      <c r="C1129" s="141">
        <v>46063</v>
      </c>
      <c r="D1129" s="140">
        <f>WEEKNUM(C1129)</f>
        <v>7</v>
      </c>
      <c r="E1129" s="142" t="s">
        <v>498</v>
      </c>
      <c r="F1129" s="140" t="s">
        <v>637</v>
      </c>
      <c r="G1129" s="142" t="s">
        <v>487</v>
      </c>
      <c r="H1129" s="142" t="s">
        <v>51</v>
      </c>
      <c r="I1129" s="142" t="s">
        <v>46</v>
      </c>
      <c r="J1129" s="157">
        <v>250</v>
      </c>
      <c r="K1129" s="143">
        <v>23.5</v>
      </c>
      <c r="L1129" s="143">
        <f>J1129*K1129</f>
        <v>5875</v>
      </c>
      <c r="M1129" s="143">
        <v>5875</v>
      </c>
      <c r="N1129" s="141">
        <v>46097</v>
      </c>
      <c r="O1129" s="157">
        <f>WEEKNUM(N1129)</f>
        <v>12</v>
      </c>
      <c r="P1129" s="140"/>
      <c r="Q1129" s="142" t="s">
        <v>29</v>
      </c>
      <c r="R1129" s="143">
        <f>PRODUCT(0.25*J1129)</f>
        <v>62.5</v>
      </c>
      <c r="S1129" s="143">
        <f>J1129*1.5</f>
        <v>375</v>
      </c>
      <c r="T1129" s="143">
        <f>J1129*1.5</f>
        <v>375</v>
      </c>
      <c r="U1129" s="143">
        <f>J1129*0.5</f>
        <v>125</v>
      </c>
      <c r="V1129" s="143">
        <f>U1129+T1129+S1129+R1129</f>
        <v>937.5</v>
      </c>
    </row>
    <row r="1130" spans="1:22" s="128" customFormat="1" ht="15.6" hidden="1" x14ac:dyDescent="0.3">
      <c r="A1130" s="142" t="s">
        <v>486</v>
      </c>
      <c r="B1130" s="142">
        <v>440</v>
      </c>
      <c r="C1130" s="141">
        <v>46063</v>
      </c>
      <c r="D1130" s="140">
        <f>WEEKNUM(C1130)</f>
        <v>7</v>
      </c>
      <c r="E1130" s="140" t="s">
        <v>475</v>
      </c>
      <c r="F1130" s="142" t="s">
        <v>452</v>
      </c>
      <c r="G1130" s="142" t="s">
        <v>311</v>
      </c>
      <c r="H1130" s="142" t="s">
        <v>51</v>
      </c>
      <c r="I1130" s="142" t="s">
        <v>46</v>
      </c>
      <c r="J1130" s="157">
        <v>100</v>
      </c>
      <c r="K1130" s="143">
        <v>17</v>
      </c>
      <c r="L1130" s="143">
        <f>J1130*K1130</f>
        <v>1700</v>
      </c>
      <c r="M1130" s="143">
        <v>1700</v>
      </c>
      <c r="N1130" s="141">
        <v>46090</v>
      </c>
      <c r="O1130" s="157">
        <f>WEEKNUM(N1130)</f>
        <v>11</v>
      </c>
      <c r="P1130" s="140"/>
      <c r="Q1130" s="142" t="s">
        <v>29</v>
      </c>
      <c r="R1130" s="143">
        <f>PRODUCT(0.25*J1130)</f>
        <v>25</v>
      </c>
      <c r="S1130" s="143">
        <f>J1130*1.5</f>
        <v>150</v>
      </c>
      <c r="T1130" s="143">
        <f>J1130*1.5</f>
        <v>150</v>
      </c>
      <c r="U1130" s="143">
        <f>J1130*0.5</f>
        <v>50</v>
      </c>
      <c r="V1130" s="143">
        <f>U1130+T1130+S1130+R1130</f>
        <v>375</v>
      </c>
    </row>
    <row r="1131" spans="1:22" s="128" customFormat="1" ht="15.6" hidden="1" x14ac:dyDescent="0.3">
      <c r="A1131" s="142" t="s">
        <v>486</v>
      </c>
      <c r="B1131" s="142">
        <v>440</v>
      </c>
      <c r="C1131" s="141">
        <v>46063</v>
      </c>
      <c r="D1131" s="140">
        <f>WEEKNUM(C1131)</f>
        <v>7</v>
      </c>
      <c r="E1131" s="140" t="s">
        <v>475</v>
      </c>
      <c r="F1131" s="142" t="s">
        <v>452</v>
      </c>
      <c r="G1131" s="142" t="s">
        <v>554</v>
      </c>
      <c r="H1131" s="142" t="s">
        <v>555</v>
      </c>
      <c r="I1131" s="142" t="s">
        <v>46</v>
      </c>
      <c r="J1131" s="157">
        <v>100</v>
      </c>
      <c r="K1131" s="143">
        <v>28</v>
      </c>
      <c r="L1131" s="143">
        <f>J1131*K1131</f>
        <v>2800</v>
      </c>
      <c r="M1131" s="143">
        <v>2800</v>
      </c>
      <c r="N1131" s="141">
        <v>46090</v>
      </c>
      <c r="O1131" s="157">
        <f>WEEKNUM(N1131)</f>
        <v>11</v>
      </c>
      <c r="P1131" s="140"/>
      <c r="Q1131" s="142" t="s">
        <v>29</v>
      </c>
      <c r="R1131" s="143">
        <f>PRODUCT(0.25*J1131)</f>
        <v>25</v>
      </c>
      <c r="S1131" s="143">
        <f>J1131*1.5</f>
        <v>150</v>
      </c>
      <c r="T1131" s="143">
        <f>J1131*1.5</f>
        <v>150</v>
      </c>
      <c r="U1131" s="143">
        <f>J1131*0.5</f>
        <v>50</v>
      </c>
      <c r="V1131" s="143">
        <f>U1131+T1131+S1131+R1131</f>
        <v>375</v>
      </c>
    </row>
    <row r="1132" spans="1:22" s="128" customFormat="1" ht="15.6" hidden="1" x14ac:dyDescent="0.3">
      <c r="A1132" s="142" t="s">
        <v>477</v>
      </c>
      <c r="B1132" s="142">
        <v>448</v>
      </c>
      <c r="C1132" s="141">
        <v>46065</v>
      </c>
      <c r="D1132" s="140">
        <f>WEEKNUM(C1132)</f>
        <v>7</v>
      </c>
      <c r="E1132" s="140" t="s">
        <v>475</v>
      </c>
      <c r="F1132" s="142" t="s">
        <v>855</v>
      </c>
      <c r="G1132" s="142" t="s">
        <v>859</v>
      </c>
      <c r="H1132" s="142" t="s">
        <v>340</v>
      </c>
      <c r="I1132" s="142" t="s">
        <v>61</v>
      </c>
      <c r="J1132" s="157">
        <v>5</v>
      </c>
      <c r="K1132" s="143">
        <v>75</v>
      </c>
      <c r="L1132" s="143">
        <f>J1132*K1132</f>
        <v>375</v>
      </c>
      <c r="M1132" s="143">
        <v>375</v>
      </c>
      <c r="N1132" s="141">
        <v>46073</v>
      </c>
      <c r="O1132" s="157">
        <f>WEEKNUM(N1132)</f>
        <v>8</v>
      </c>
      <c r="P1132" s="140"/>
      <c r="Q1132" s="142" t="s">
        <v>29</v>
      </c>
      <c r="R1132" s="143">
        <f>PRODUCT(0.25*J1132)</f>
        <v>1.25</v>
      </c>
      <c r="S1132" s="143">
        <f>J1132*1.5</f>
        <v>7.5</v>
      </c>
      <c r="T1132" s="143">
        <f>J1132*1.5</f>
        <v>7.5</v>
      </c>
      <c r="U1132" s="143">
        <f>J1132*0.5</f>
        <v>2.5</v>
      </c>
      <c r="V1132" s="143">
        <f>U1132+T1132+S1132+R1132</f>
        <v>18.75</v>
      </c>
    </row>
    <row r="1133" spans="1:22" s="128" customFormat="1" ht="15.6" hidden="1" x14ac:dyDescent="0.3">
      <c r="A1133" s="142" t="s">
        <v>486</v>
      </c>
      <c r="B1133" s="142">
        <v>445</v>
      </c>
      <c r="C1133" s="141">
        <v>46065</v>
      </c>
      <c r="D1133" s="140">
        <f>WEEKNUM(C1133)</f>
        <v>7</v>
      </c>
      <c r="E1133" s="140" t="s">
        <v>475</v>
      </c>
      <c r="F1133" s="142" t="s">
        <v>860</v>
      </c>
      <c r="G1133" s="142" t="s">
        <v>861</v>
      </c>
      <c r="H1133" s="142" t="s">
        <v>555</v>
      </c>
      <c r="I1133" s="142" t="s">
        <v>46</v>
      </c>
      <c r="J1133" s="157">
        <v>100</v>
      </c>
      <c r="K1133" s="143">
        <v>29</v>
      </c>
      <c r="L1133" s="143">
        <f>J1133*K1133</f>
        <v>2900</v>
      </c>
      <c r="M1133" s="143">
        <f>L1133/2</f>
        <v>1450</v>
      </c>
      <c r="N1133" s="141">
        <v>46093</v>
      </c>
      <c r="O1133" s="157">
        <f>WEEKNUM(N1133)</f>
        <v>11</v>
      </c>
      <c r="P1133" s="140"/>
      <c r="Q1133" s="142" t="s">
        <v>29</v>
      </c>
      <c r="R1133" s="143">
        <f>PRODUCT(0.25*J1133)</f>
        <v>25</v>
      </c>
      <c r="S1133" s="143">
        <f>J1133*1.5</f>
        <v>150</v>
      </c>
      <c r="T1133" s="143">
        <f>J1133*1.5</f>
        <v>150</v>
      </c>
      <c r="U1133" s="143">
        <f>J1133*0.5</f>
        <v>50</v>
      </c>
      <c r="V1133" s="143">
        <f>U1133+T1133+S1133+R1133</f>
        <v>375</v>
      </c>
    </row>
    <row r="1134" spans="1:22" s="128" customFormat="1" ht="15.6" hidden="1" x14ac:dyDescent="0.3">
      <c r="A1134" s="142" t="s">
        <v>486</v>
      </c>
      <c r="B1134" s="142">
        <v>445</v>
      </c>
      <c r="C1134" s="141">
        <v>46065</v>
      </c>
      <c r="D1134" s="140">
        <f>WEEKNUM(C1134)</f>
        <v>7</v>
      </c>
      <c r="E1134" s="140" t="s">
        <v>475</v>
      </c>
      <c r="F1134" s="142" t="s">
        <v>860</v>
      </c>
      <c r="G1134" s="142" t="s">
        <v>311</v>
      </c>
      <c r="H1134" s="142" t="s">
        <v>51</v>
      </c>
      <c r="I1134" s="142" t="s">
        <v>46</v>
      </c>
      <c r="J1134" s="157">
        <v>100</v>
      </c>
      <c r="K1134" s="143">
        <v>17</v>
      </c>
      <c r="L1134" s="143">
        <f>J1134*K1134</f>
        <v>1700</v>
      </c>
      <c r="M1134" s="143">
        <f>L1134/2</f>
        <v>850</v>
      </c>
      <c r="N1134" s="141">
        <v>46093</v>
      </c>
      <c r="O1134" s="157">
        <f>WEEKNUM(N1134)</f>
        <v>11</v>
      </c>
      <c r="P1134" s="140"/>
      <c r="Q1134" s="142" t="s">
        <v>29</v>
      </c>
      <c r="R1134" s="143">
        <f>PRODUCT(0.25*J1134)</f>
        <v>25</v>
      </c>
      <c r="S1134" s="143">
        <f>J1134*1.5</f>
        <v>150</v>
      </c>
      <c r="T1134" s="143">
        <f>J1134*1.5</f>
        <v>150</v>
      </c>
      <c r="U1134" s="143">
        <f>J1134*0.5</f>
        <v>50</v>
      </c>
      <c r="V1134" s="143">
        <f>U1134+T1134+S1134+R1134</f>
        <v>375</v>
      </c>
    </row>
    <row r="1135" spans="1:22" s="128" customFormat="1" ht="15.6" hidden="1" x14ac:dyDescent="0.3">
      <c r="A1135" s="142" t="s">
        <v>477</v>
      </c>
      <c r="B1135" s="142">
        <v>1049</v>
      </c>
      <c r="C1135" s="141">
        <v>46066</v>
      </c>
      <c r="D1135" s="140">
        <f>WEEKNUM(C1135)</f>
        <v>7</v>
      </c>
      <c r="E1135" s="140" t="s">
        <v>478</v>
      </c>
      <c r="F1135" s="142" t="s">
        <v>832</v>
      </c>
      <c r="G1135" s="142" t="s">
        <v>839</v>
      </c>
      <c r="H1135" s="142" t="s">
        <v>95</v>
      </c>
      <c r="I1135" s="142" t="s">
        <v>46</v>
      </c>
      <c r="J1135" s="157">
        <v>300</v>
      </c>
      <c r="K1135" s="143">
        <v>6.5</v>
      </c>
      <c r="L1135" s="143">
        <f>J1135*K1135</f>
        <v>1950</v>
      </c>
      <c r="M1135" s="143">
        <f>L1135/2</f>
        <v>975</v>
      </c>
      <c r="N1135" s="141">
        <v>46094</v>
      </c>
      <c r="O1135" s="157">
        <f>WEEKNUM(N1135)</f>
        <v>11</v>
      </c>
      <c r="P1135" s="140"/>
      <c r="Q1135" s="142" t="s">
        <v>29</v>
      </c>
      <c r="R1135" s="143">
        <f>PRODUCT(0.25*J1135)</f>
        <v>75</v>
      </c>
      <c r="S1135" s="143">
        <f>J1135*1.5</f>
        <v>450</v>
      </c>
      <c r="T1135" s="143">
        <f>J1135*1.5</f>
        <v>450</v>
      </c>
      <c r="U1135" s="143">
        <f>J1135*0.5</f>
        <v>150</v>
      </c>
      <c r="V1135" s="143">
        <f>U1135+T1135+S1135+R1135</f>
        <v>1125</v>
      </c>
    </row>
    <row r="1136" spans="1:22" s="128" customFormat="1" ht="15.6" hidden="1" x14ac:dyDescent="0.3">
      <c r="A1136" s="142" t="s">
        <v>477</v>
      </c>
      <c r="B1136" s="142">
        <v>1049</v>
      </c>
      <c r="C1136" s="141">
        <v>46066</v>
      </c>
      <c r="D1136" s="140">
        <f>WEEKNUM(C1136)</f>
        <v>7</v>
      </c>
      <c r="E1136" s="140" t="s">
        <v>478</v>
      </c>
      <c r="F1136" s="142" t="s">
        <v>832</v>
      </c>
      <c r="G1136" s="142" t="s">
        <v>840</v>
      </c>
      <c r="H1136" s="142" t="s">
        <v>95</v>
      </c>
      <c r="I1136" s="142" t="s">
        <v>46</v>
      </c>
      <c r="J1136" s="157">
        <v>100</v>
      </c>
      <c r="K1136" s="143">
        <v>10.7</v>
      </c>
      <c r="L1136" s="143">
        <f>J1136*K1136</f>
        <v>1070</v>
      </c>
      <c r="M1136" s="143">
        <f>L1136/2</f>
        <v>535</v>
      </c>
      <c r="N1136" s="141">
        <v>46094</v>
      </c>
      <c r="O1136" s="157">
        <f>WEEKNUM(N1136)</f>
        <v>11</v>
      </c>
      <c r="P1136" s="140"/>
      <c r="Q1136" s="142" t="s">
        <v>29</v>
      </c>
      <c r="R1136" s="143">
        <f>PRODUCT(0.25*J1136)</f>
        <v>25</v>
      </c>
      <c r="S1136" s="143">
        <f>J1136*1.5</f>
        <v>150</v>
      </c>
      <c r="T1136" s="143">
        <f>J1136*1.5</f>
        <v>150</v>
      </c>
      <c r="U1136" s="143">
        <f>J1136*0.5</f>
        <v>50</v>
      </c>
      <c r="V1136" s="143">
        <f>U1136+T1136+S1136+R1136</f>
        <v>375</v>
      </c>
    </row>
    <row r="1137" spans="1:22" s="128" customFormat="1" ht="15.6" hidden="1" x14ac:dyDescent="0.3">
      <c r="A1137" s="142" t="s">
        <v>477</v>
      </c>
      <c r="B1137" s="142">
        <v>1050</v>
      </c>
      <c r="C1137" s="141">
        <v>46066</v>
      </c>
      <c r="D1137" s="140">
        <f>WEEKNUM(C1137)</f>
        <v>7</v>
      </c>
      <c r="E1137" s="140" t="s">
        <v>475</v>
      </c>
      <c r="F1137" s="142" t="s">
        <v>960</v>
      </c>
      <c r="G1137" s="142" t="s">
        <v>961</v>
      </c>
      <c r="H1137" s="142" t="s">
        <v>51</v>
      </c>
      <c r="I1137" s="142" t="s">
        <v>46</v>
      </c>
      <c r="J1137" s="157">
        <v>5</v>
      </c>
      <c r="K1137" s="143">
        <v>67</v>
      </c>
      <c r="L1137" s="143">
        <f>J1137*K1137</f>
        <v>335</v>
      </c>
      <c r="M1137" s="143">
        <f>L1137/2</f>
        <v>167.5</v>
      </c>
      <c r="N1137" s="141">
        <v>46085</v>
      </c>
      <c r="O1137" s="157">
        <f>WEEKNUM(N1137)</f>
        <v>10</v>
      </c>
      <c r="P1137" s="140"/>
      <c r="Q1137" s="142" t="s">
        <v>29</v>
      </c>
      <c r="R1137" s="143">
        <f>PRODUCT(0.25*J1137)</f>
        <v>1.25</v>
      </c>
      <c r="S1137" s="143">
        <f>J1137*1.5</f>
        <v>7.5</v>
      </c>
      <c r="T1137" s="143">
        <f>J1137*1.5</f>
        <v>7.5</v>
      </c>
      <c r="U1137" s="143">
        <f>J1137*0.5</f>
        <v>2.5</v>
      </c>
      <c r="V1137" s="143">
        <f>U1137+T1137+S1137+R1137</f>
        <v>18.75</v>
      </c>
    </row>
    <row r="1138" spans="1:22" s="128" customFormat="1" ht="15.6" hidden="1" x14ac:dyDescent="0.3">
      <c r="A1138" s="142" t="s">
        <v>477</v>
      </c>
      <c r="B1138" s="142">
        <v>1050</v>
      </c>
      <c r="C1138" s="141">
        <v>46066</v>
      </c>
      <c r="D1138" s="140">
        <f>WEEKNUM(C1138)</f>
        <v>7</v>
      </c>
      <c r="E1138" s="140" t="s">
        <v>475</v>
      </c>
      <c r="F1138" s="142" t="s">
        <v>960</v>
      </c>
      <c r="G1138" s="142" t="s">
        <v>962</v>
      </c>
      <c r="H1138" s="142" t="s">
        <v>340</v>
      </c>
      <c r="I1138" s="142" t="s">
        <v>61</v>
      </c>
      <c r="J1138" s="157">
        <v>57</v>
      </c>
      <c r="K1138" s="143">
        <v>67</v>
      </c>
      <c r="L1138" s="143">
        <f>J1138*K1138</f>
        <v>3819</v>
      </c>
      <c r="M1138" s="143">
        <f>L1138/2</f>
        <v>1909.5</v>
      </c>
      <c r="N1138" s="141">
        <v>46085</v>
      </c>
      <c r="O1138" s="157">
        <f>WEEKNUM(N1138)</f>
        <v>10</v>
      </c>
      <c r="P1138" s="157" t="e">
        <f>WEEKNUM(#REF!)</f>
        <v>#REF!</v>
      </c>
      <c r="Q1138" s="142" t="s">
        <v>29</v>
      </c>
      <c r="R1138" s="143">
        <f>PRODUCT(0.25*J1138)</f>
        <v>14.25</v>
      </c>
      <c r="S1138" s="143">
        <f>J1138*1.5</f>
        <v>85.5</v>
      </c>
      <c r="T1138" s="143">
        <f>J1138*1.5</f>
        <v>85.5</v>
      </c>
      <c r="U1138" s="143">
        <f>J1138*0.5</f>
        <v>28.5</v>
      </c>
      <c r="V1138" s="143">
        <f>U1138+T1138+S1138+R1138</f>
        <v>213.75</v>
      </c>
    </row>
    <row r="1139" spans="1:22" s="128" customFormat="1" ht="15.6" hidden="1" x14ac:dyDescent="0.3">
      <c r="A1139" s="142" t="s">
        <v>477</v>
      </c>
      <c r="B1139" s="142">
        <v>1050</v>
      </c>
      <c r="C1139" s="141">
        <v>46066</v>
      </c>
      <c r="D1139" s="140">
        <f>WEEKNUM(C1139)</f>
        <v>7</v>
      </c>
      <c r="E1139" s="140" t="s">
        <v>475</v>
      </c>
      <c r="F1139" s="142" t="s">
        <v>960</v>
      </c>
      <c r="G1139" s="142" t="s">
        <v>963</v>
      </c>
      <c r="H1139" s="142" t="s">
        <v>340</v>
      </c>
      <c r="I1139" s="142" t="s">
        <v>61</v>
      </c>
      <c r="J1139" s="157">
        <v>12</v>
      </c>
      <c r="K1139" s="143">
        <v>67</v>
      </c>
      <c r="L1139" s="143">
        <f>J1139*K1139</f>
        <v>804</v>
      </c>
      <c r="M1139" s="143">
        <f>L1139/2</f>
        <v>402</v>
      </c>
      <c r="N1139" s="141">
        <v>46085</v>
      </c>
      <c r="O1139" s="157">
        <f>WEEKNUM(N1139)</f>
        <v>10</v>
      </c>
      <c r="P1139" s="140"/>
      <c r="Q1139" s="142" t="s">
        <v>29</v>
      </c>
      <c r="R1139" s="143">
        <f>PRODUCT(0.25*J1139)</f>
        <v>3</v>
      </c>
      <c r="S1139" s="143">
        <f>J1139*1.5</f>
        <v>18</v>
      </c>
      <c r="T1139" s="143">
        <f>J1139*1.5</f>
        <v>18</v>
      </c>
      <c r="U1139" s="143">
        <f>J1139*0.5</f>
        <v>6</v>
      </c>
      <c r="V1139" s="143">
        <f>U1139+T1139+S1139+R1139</f>
        <v>45</v>
      </c>
    </row>
    <row r="1140" spans="1:22" s="128" customFormat="1" ht="15.6" hidden="1" x14ac:dyDescent="0.3">
      <c r="A1140" s="142" t="s">
        <v>477</v>
      </c>
      <c r="B1140" s="142">
        <v>1050</v>
      </c>
      <c r="C1140" s="141">
        <v>46066</v>
      </c>
      <c r="D1140" s="140">
        <f>WEEKNUM(C1140)</f>
        <v>7</v>
      </c>
      <c r="E1140" s="140" t="s">
        <v>475</v>
      </c>
      <c r="F1140" s="142" t="s">
        <v>960</v>
      </c>
      <c r="G1140" s="142" t="s">
        <v>218</v>
      </c>
      <c r="H1140" s="140" t="s">
        <v>74</v>
      </c>
      <c r="I1140" s="142" t="s">
        <v>46</v>
      </c>
      <c r="J1140" s="157">
        <v>15</v>
      </c>
      <c r="K1140" s="143">
        <v>45</v>
      </c>
      <c r="L1140" s="143">
        <f>J1140*K1140</f>
        <v>675</v>
      </c>
      <c r="M1140" s="143">
        <f>L1140/2</f>
        <v>337.5</v>
      </c>
      <c r="N1140" s="141">
        <v>46085</v>
      </c>
      <c r="O1140" s="157">
        <f>WEEKNUM(N1140)</f>
        <v>10</v>
      </c>
      <c r="P1140" s="140"/>
      <c r="Q1140" s="142" t="s">
        <v>29</v>
      </c>
      <c r="R1140" s="143">
        <f>PRODUCT(0.25*J1140)</f>
        <v>3.75</v>
      </c>
      <c r="S1140" s="143">
        <f>J1140*1.5</f>
        <v>22.5</v>
      </c>
      <c r="T1140" s="143">
        <f>J1140*1.5</f>
        <v>22.5</v>
      </c>
      <c r="U1140" s="143">
        <f>J1140*0.5</f>
        <v>7.5</v>
      </c>
      <c r="V1140" s="143">
        <f>U1140+T1140+S1140+R1140</f>
        <v>56.25</v>
      </c>
    </row>
    <row r="1141" spans="1:22" s="128" customFormat="1" ht="15.6" hidden="1" x14ac:dyDescent="0.3">
      <c r="A1141" s="142" t="s">
        <v>477</v>
      </c>
      <c r="B1141" s="142">
        <v>1051</v>
      </c>
      <c r="C1141" s="141">
        <v>46069</v>
      </c>
      <c r="D1141" s="140">
        <f>WEEKNUM(C1141)</f>
        <v>8</v>
      </c>
      <c r="E1141" s="140" t="s">
        <v>475</v>
      </c>
      <c r="F1141" s="140" t="s">
        <v>940</v>
      </c>
      <c r="G1141" s="140" t="s">
        <v>480</v>
      </c>
      <c r="H1141" s="142" t="s">
        <v>51</v>
      </c>
      <c r="I1141" s="142" t="s">
        <v>46</v>
      </c>
      <c r="J1141" s="157">
        <v>300</v>
      </c>
      <c r="K1141" s="143">
        <v>19.5</v>
      </c>
      <c r="L1141" s="143">
        <f>J1141*K1141</f>
        <v>5850</v>
      </c>
      <c r="M1141" s="143">
        <v>5850</v>
      </c>
      <c r="N1141" s="141">
        <v>46083</v>
      </c>
      <c r="O1141" s="157">
        <f>WEEKNUM(N1141)</f>
        <v>10</v>
      </c>
      <c r="P1141" s="140"/>
      <c r="Q1141" s="142" t="s">
        <v>29</v>
      </c>
      <c r="R1141" s="143">
        <f>PRODUCT(0.25*J1141)</f>
        <v>75</v>
      </c>
      <c r="S1141" s="143">
        <f>J1141*1.5</f>
        <v>450</v>
      </c>
      <c r="T1141" s="143">
        <f>J1141*1.5</f>
        <v>450</v>
      </c>
      <c r="U1141" s="143">
        <f>J1141*0.5</f>
        <v>150</v>
      </c>
      <c r="V1141" s="143">
        <f>U1141+T1141+S1141+R1141</f>
        <v>1125</v>
      </c>
    </row>
    <row r="1142" spans="1:22" s="128" customFormat="1" ht="15.6" hidden="1" x14ac:dyDescent="0.3">
      <c r="A1142" s="142" t="s">
        <v>496</v>
      </c>
      <c r="B1142" s="142">
        <v>449</v>
      </c>
      <c r="C1142" s="141">
        <v>46071</v>
      </c>
      <c r="D1142" s="140">
        <f>WEEKNUM(C1142)</f>
        <v>8</v>
      </c>
      <c r="E1142" s="142" t="s">
        <v>68</v>
      </c>
      <c r="F1142" s="142" t="s">
        <v>396</v>
      </c>
      <c r="G1142" s="142" t="s">
        <v>311</v>
      </c>
      <c r="H1142" s="142" t="s">
        <v>51</v>
      </c>
      <c r="I1142" s="142" t="s">
        <v>46</v>
      </c>
      <c r="J1142" s="157">
        <v>5</v>
      </c>
      <c r="K1142" s="143">
        <v>25</v>
      </c>
      <c r="L1142" s="143">
        <f>J1142*K1142</f>
        <v>125</v>
      </c>
      <c r="M1142" s="156">
        <f>L1142</f>
        <v>125</v>
      </c>
      <c r="N1142" s="141">
        <v>46097</v>
      </c>
      <c r="O1142" s="157">
        <f>WEEKNUM(N1142)</f>
        <v>12</v>
      </c>
      <c r="P1142" s="140"/>
      <c r="Q1142" s="142" t="s">
        <v>29</v>
      </c>
      <c r="R1142" s="143">
        <f>PRODUCT(0.25*J1142)</f>
        <v>1.25</v>
      </c>
      <c r="S1142" s="143">
        <f>J1142*1.5</f>
        <v>7.5</v>
      </c>
      <c r="T1142" s="143">
        <f>J1142*1.5</f>
        <v>7.5</v>
      </c>
      <c r="U1142" s="143">
        <f>J1142*0.5</f>
        <v>2.5</v>
      </c>
      <c r="V1142" s="143">
        <f>U1142+T1142+S1142+R1142</f>
        <v>18.75</v>
      </c>
    </row>
    <row r="1143" spans="1:22" s="128" customFormat="1" ht="15.6" hidden="1" x14ac:dyDescent="0.3">
      <c r="A1143" s="142" t="s">
        <v>496</v>
      </c>
      <c r="B1143" s="142">
        <v>449</v>
      </c>
      <c r="C1143" s="141">
        <v>46071</v>
      </c>
      <c r="D1143" s="140">
        <f>WEEKNUM(C1143)</f>
        <v>8</v>
      </c>
      <c r="E1143" s="142" t="s">
        <v>68</v>
      </c>
      <c r="F1143" s="142" t="s">
        <v>396</v>
      </c>
      <c r="G1143" s="142" t="s">
        <v>408</v>
      </c>
      <c r="H1143" s="142" t="s">
        <v>80</v>
      </c>
      <c r="I1143" s="142" t="s">
        <v>46</v>
      </c>
      <c r="J1143" s="157">
        <v>3</v>
      </c>
      <c r="K1143" s="143">
        <v>21</v>
      </c>
      <c r="L1143" s="143">
        <f>J1143*K1143</f>
        <v>63</v>
      </c>
      <c r="M1143" s="156">
        <f>L1143</f>
        <v>63</v>
      </c>
      <c r="N1143" s="141">
        <v>46097</v>
      </c>
      <c r="O1143" s="157">
        <f>WEEKNUM(N1143)</f>
        <v>12</v>
      </c>
      <c r="P1143" s="140"/>
      <c r="Q1143" s="142" t="s">
        <v>29</v>
      </c>
      <c r="R1143" s="143">
        <f>PRODUCT(0.25*J1143)</f>
        <v>0.75</v>
      </c>
      <c r="S1143" s="143">
        <f>J1143*1.5</f>
        <v>4.5</v>
      </c>
      <c r="T1143" s="143">
        <f>J1143*1.5</f>
        <v>4.5</v>
      </c>
      <c r="U1143" s="143">
        <f>J1143*0.5</f>
        <v>1.5</v>
      </c>
      <c r="V1143" s="143">
        <f>U1143+T1143+S1143+R1143</f>
        <v>11.25</v>
      </c>
    </row>
    <row r="1144" spans="1:22" s="128" customFormat="1" ht="15.6" hidden="1" x14ac:dyDescent="0.3">
      <c r="A1144" s="142" t="s">
        <v>496</v>
      </c>
      <c r="B1144" s="142">
        <v>449</v>
      </c>
      <c r="C1144" s="141">
        <v>46071</v>
      </c>
      <c r="D1144" s="140">
        <f>WEEKNUM(C1144)</f>
        <v>8</v>
      </c>
      <c r="E1144" s="142" t="s">
        <v>68</v>
      </c>
      <c r="F1144" s="142" t="s">
        <v>396</v>
      </c>
      <c r="G1144" s="142" t="s">
        <v>301</v>
      </c>
      <c r="H1144" s="140" t="s">
        <v>74</v>
      </c>
      <c r="I1144" s="142" t="s">
        <v>46</v>
      </c>
      <c r="J1144" s="157">
        <v>4</v>
      </c>
      <c r="K1144" s="143">
        <v>36.75</v>
      </c>
      <c r="L1144" s="143">
        <f>J1144*K1144</f>
        <v>147</v>
      </c>
      <c r="M1144" s="156">
        <f>L1144</f>
        <v>147</v>
      </c>
      <c r="N1144" s="141">
        <v>46097</v>
      </c>
      <c r="O1144" s="157">
        <f>WEEKNUM(N1144)</f>
        <v>12</v>
      </c>
      <c r="P1144" s="140"/>
      <c r="Q1144" s="142" t="s">
        <v>29</v>
      </c>
      <c r="R1144" s="143">
        <f>PRODUCT(0.25*J1144)</f>
        <v>1</v>
      </c>
      <c r="S1144" s="143">
        <f>J1144*1.5</f>
        <v>6</v>
      </c>
      <c r="T1144" s="143">
        <f>J1144*1.5</f>
        <v>6</v>
      </c>
      <c r="U1144" s="143">
        <f>J1144*0.5</f>
        <v>2</v>
      </c>
      <c r="V1144" s="143">
        <f>U1144+T1144+S1144+R1144</f>
        <v>15</v>
      </c>
    </row>
    <row r="1145" spans="1:22" s="128" customFormat="1" ht="15.6" hidden="1" x14ac:dyDescent="0.3">
      <c r="A1145" s="142" t="s">
        <v>496</v>
      </c>
      <c r="B1145" s="142">
        <v>449</v>
      </c>
      <c r="C1145" s="141">
        <v>46071</v>
      </c>
      <c r="D1145" s="140">
        <f>WEEKNUM(C1145)</f>
        <v>8</v>
      </c>
      <c r="E1145" s="142" t="s">
        <v>68</v>
      </c>
      <c r="F1145" s="142" t="s">
        <v>396</v>
      </c>
      <c r="G1145" s="140" t="s">
        <v>503</v>
      </c>
      <c r="H1145" s="142" t="s">
        <v>354</v>
      </c>
      <c r="I1145" s="142" t="s">
        <v>46</v>
      </c>
      <c r="J1145" s="157">
        <v>8</v>
      </c>
      <c r="K1145" s="143">
        <v>36.75</v>
      </c>
      <c r="L1145" s="143">
        <f>J1145*K1145</f>
        <v>294</v>
      </c>
      <c r="M1145" s="156">
        <f>L1145</f>
        <v>294</v>
      </c>
      <c r="N1145" s="141">
        <v>46097</v>
      </c>
      <c r="O1145" s="157">
        <f>WEEKNUM(N1145)</f>
        <v>12</v>
      </c>
      <c r="P1145" s="140"/>
      <c r="Q1145" s="142" t="s">
        <v>29</v>
      </c>
      <c r="R1145" s="143">
        <f>PRODUCT(0.25*J1145)</f>
        <v>2</v>
      </c>
      <c r="S1145" s="143">
        <f>J1145*1.5</f>
        <v>12</v>
      </c>
      <c r="T1145" s="143">
        <f>J1145*1.5</f>
        <v>12</v>
      </c>
      <c r="U1145" s="143">
        <f>J1145*0.5</f>
        <v>4</v>
      </c>
      <c r="V1145" s="143">
        <f>U1145+T1145+S1145+R1145</f>
        <v>30</v>
      </c>
    </row>
    <row r="1146" spans="1:22" s="128" customFormat="1" ht="15.6" hidden="1" x14ac:dyDescent="0.3">
      <c r="A1146" s="142" t="s">
        <v>477</v>
      </c>
      <c r="B1146" s="142">
        <v>1052</v>
      </c>
      <c r="C1146" s="141">
        <v>46071</v>
      </c>
      <c r="D1146" s="140">
        <f>WEEKNUM(C1146)</f>
        <v>8</v>
      </c>
      <c r="E1146" s="140" t="s">
        <v>478</v>
      </c>
      <c r="F1146" s="140" t="s">
        <v>444</v>
      </c>
      <c r="G1146" s="130" t="s">
        <v>638</v>
      </c>
      <c r="H1146" s="142" t="s">
        <v>60</v>
      </c>
      <c r="I1146" s="142" t="s">
        <v>61</v>
      </c>
      <c r="J1146" s="157">
        <v>300</v>
      </c>
      <c r="K1146" s="143">
        <v>23</v>
      </c>
      <c r="L1146" s="143">
        <f>J1146*K1146</f>
        <v>6900</v>
      </c>
      <c r="M1146" s="143">
        <v>0</v>
      </c>
      <c r="N1146" s="141">
        <v>46097</v>
      </c>
      <c r="O1146" s="157">
        <f>WEEKNUM(N1146)</f>
        <v>12</v>
      </c>
      <c r="P1146" s="140"/>
      <c r="Q1146" s="142" t="s">
        <v>29</v>
      </c>
      <c r="R1146" s="143">
        <f>PRODUCT(0.25*J1146)</f>
        <v>75</v>
      </c>
      <c r="S1146" s="143">
        <f>J1146*1.5</f>
        <v>450</v>
      </c>
      <c r="T1146" s="143">
        <f>J1146*1.5</f>
        <v>450</v>
      </c>
      <c r="U1146" s="143">
        <f>J1146*0.5</f>
        <v>150</v>
      </c>
      <c r="V1146" s="143">
        <f>U1146+T1146+S1146+R1146</f>
        <v>1125</v>
      </c>
    </row>
    <row r="1147" spans="1:22" s="128" customFormat="1" ht="15.6" hidden="1" x14ac:dyDescent="0.3">
      <c r="A1147" s="142" t="s">
        <v>477</v>
      </c>
      <c r="B1147" s="142">
        <v>450</v>
      </c>
      <c r="C1147" s="141">
        <v>46072</v>
      </c>
      <c r="D1147" s="140">
        <f>WEEKNUM(C1147)</f>
        <v>8</v>
      </c>
      <c r="E1147" s="140" t="s">
        <v>475</v>
      </c>
      <c r="F1147" s="142" t="s">
        <v>525</v>
      </c>
      <c r="G1147" s="140" t="s">
        <v>480</v>
      </c>
      <c r="H1147" s="142" t="s">
        <v>51</v>
      </c>
      <c r="I1147" s="142" t="s">
        <v>46</v>
      </c>
      <c r="J1147" s="157">
        <v>100</v>
      </c>
      <c r="K1147" s="143">
        <v>19.7</v>
      </c>
      <c r="L1147" s="143">
        <f>J1147*K1147</f>
        <v>1970</v>
      </c>
      <c r="M1147" s="143">
        <v>0</v>
      </c>
      <c r="N1147" s="141">
        <v>46091</v>
      </c>
      <c r="O1147" s="157">
        <f>WEEKNUM(N1147)</f>
        <v>11</v>
      </c>
      <c r="P1147" s="140"/>
      <c r="Q1147" s="142" t="s">
        <v>29</v>
      </c>
      <c r="R1147" s="143">
        <f>PRODUCT(0.25*J1147)</f>
        <v>25</v>
      </c>
      <c r="S1147" s="143">
        <f>J1147*1.5</f>
        <v>150</v>
      </c>
      <c r="T1147" s="143">
        <f>J1147*1.5</f>
        <v>150</v>
      </c>
      <c r="U1147" s="143">
        <f>J1147*0.5</f>
        <v>50</v>
      </c>
      <c r="V1147" s="143">
        <f>U1147+T1147+S1147+R1147</f>
        <v>375</v>
      </c>
    </row>
    <row r="1148" spans="1:22" s="128" customFormat="1" ht="15.6" hidden="1" x14ac:dyDescent="0.3">
      <c r="A1148" s="142" t="s">
        <v>477</v>
      </c>
      <c r="B1148" s="142">
        <v>1053</v>
      </c>
      <c r="C1148" s="141">
        <v>46072</v>
      </c>
      <c r="D1148" s="140">
        <f>WEEKNUM(C1148)</f>
        <v>8</v>
      </c>
      <c r="E1148" s="140" t="s">
        <v>475</v>
      </c>
      <c r="F1148" s="140" t="s">
        <v>568</v>
      </c>
      <c r="G1148" s="142" t="s">
        <v>301</v>
      </c>
      <c r="H1148" s="140" t="s">
        <v>74</v>
      </c>
      <c r="I1148" s="142" t="s">
        <v>46</v>
      </c>
      <c r="J1148" s="157">
        <v>108</v>
      </c>
      <c r="K1148" s="143">
        <v>27</v>
      </c>
      <c r="L1148" s="143">
        <f>J1148*K1148</f>
        <v>2916</v>
      </c>
      <c r="M1148" s="143">
        <f>L1148</f>
        <v>2916</v>
      </c>
      <c r="N1148" s="141">
        <v>46097</v>
      </c>
      <c r="O1148" s="157">
        <f>WEEKNUM(N1148)</f>
        <v>12</v>
      </c>
      <c r="P1148" s="140"/>
      <c r="Q1148" s="142" t="s">
        <v>29</v>
      </c>
      <c r="R1148" s="143">
        <f>PRODUCT(0.25*J1148)</f>
        <v>27</v>
      </c>
      <c r="S1148" s="143">
        <f>J1148*1.5</f>
        <v>162</v>
      </c>
      <c r="T1148" s="143">
        <f>J1148*1.5</f>
        <v>162</v>
      </c>
      <c r="U1148" s="143">
        <f>J1148*0.5</f>
        <v>54</v>
      </c>
      <c r="V1148" s="143">
        <f>U1148+T1148+S1148+R1148</f>
        <v>405</v>
      </c>
    </row>
    <row r="1149" spans="1:22" s="128" customFormat="1" ht="15.6" hidden="1" x14ac:dyDescent="0.3">
      <c r="A1149" s="142" t="s">
        <v>477</v>
      </c>
      <c r="B1149" s="142">
        <v>1053</v>
      </c>
      <c r="C1149" s="141">
        <v>46072</v>
      </c>
      <c r="D1149" s="140">
        <f>WEEKNUM(C1149)</f>
        <v>8</v>
      </c>
      <c r="E1149" s="140" t="s">
        <v>475</v>
      </c>
      <c r="F1149" s="140" t="s">
        <v>568</v>
      </c>
      <c r="G1149" s="142" t="s">
        <v>584</v>
      </c>
      <c r="H1149" s="140" t="s">
        <v>74</v>
      </c>
      <c r="I1149" s="142" t="s">
        <v>46</v>
      </c>
      <c r="J1149" s="157">
        <v>2</v>
      </c>
      <c r="K1149" s="143">
        <v>37</v>
      </c>
      <c r="L1149" s="143">
        <f>J1149*K1149</f>
        <v>74</v>
      </c>
      <c r="M1149" s="143">
        <f>L1149</f>
        <v>74</v>
      </c>
      <c r="N1149" s="141">
        <v>46097</v>
      </c>
      <c r="O1149" s="157">
        <f>WEEKNUM(N1149)</f>
        <v>12</v>
      </c>
      <c r="P1149" s="140"/>
      <c r="Q1149" s="142" t="s">
        <v>29</v>
      </c>
      <c r="R1149" s="143">
        <f>PRODUCT(0.25*J1149)</f>
        <v>0.5</v>
      </c>
      <c r="S1149" s="143">
        <f>J1149*1.5</f>
        <v>3</v>
      </c>
      <c r="T1149" s="143">
        <f>J1149*1.5</f>
        <v>3</v>
      </c>
      <c r="U1149" s="143">
        <f>J1149*0.5</f>
        <v>1</v>
      </c>
      <c r="V1149" s="143">
        <f>U1149+T1149+S1149+R1149</f>
        <v>7.5</v>
      </c>
    </row>
    <row r="1150" spans="1:22" s="128" customFormat="1" ht="15.6" hidden="1" x14ac:dyDescent="0.3">
      <c r="A1150" s="142" t="s">
        <v>496</v>
      </c>
      <c r="B1150" s="142">
        <v>451</v>
      </c>
      <c r="C1150" s="141">
        <v>46072</v>
      </c>
      <c r="D1150" s="140">
        <f>WEEKNUM(C1150)</f>
        <v>8</v>
      </c>
      <c r="E1150" s="142" t="s">
        <v>68</v>
      </c>
      <c r="F1150" s="142" t="s">
        <v>373</v>
      </c>
      <c r="G1150" s="142" t="s">
        <v>408</v>
      </c>
      <c r="H1150" s="142" t="s">
        <v>80</v>
      </c>
      <c r="I1150" s="142" t="s">
        <v>46</v>
      </c>
      <c r="J1150" s="157">
        <v>2</v>
      </c>
      <c r="K1150" s="143">
        <v>21</v>
      </c>
      <c r="L1150" s="143">
        <f>J1150*K1150</f>
        <v>42</v>
      </c>
      <c r="M1150" s="156">
        <f>L1150</f>
        <v>42</v>
      </c>
      <c r="N1150" s="141">
        <v>46097</v>
      </c>
      <c r="O1150" s="157">
        <f>WEEKNUM(N1150)</f>
        <v>12</v>
      </c>
      <c r="P1150" s="140"/>
      <c r="Q1150" s="142" t="s">
        <v>29</v>
      </c>
      <c r="R1150" s="143">
        <f>PRODUCT(0.25*J1150)</f>
        <v>0.5</v>
      </c>
      <c r="S1150" s="143">
        <f>J1150*1.5</f>
        <v>3</v>
      </c>
      <c r="T1150" s="143">
        <f>J1150*1.5</f>
        <v>3</v>
      </c>
      <c r="U1150" s="143">
        <f>J1150*0.5</f>
        <v>1</v>
      </c>
      <c r="V1150" s="143">
        <f>U1150+T1150+S1150+R1150</f>
        <v>7.5</v>
      </c>
    </row>
    <row r="1151" spans="1:22" s="128" customFormat="1" ht="15.6" hidden="1" x14ac:dyDescent="0.3">
      <c r="A1151" s="142" t="s">
        <v>496</v>
      </c>
      <c r="B1151" s="142">
        <v>451</v>
      </c>
      <c r="C1151" s="141">
        <v>46072</v>
      </c>
      <c r="D1151" s="140">
        <f>WEEKNUM(C1151)</f>
        <v>8</v>
      </c>
      <c r="E1151" s="142" t="s">
        <v>68</v>
      </c>
      <c r="F1151" s="142" t="s">
        <v>373</v>
      </c>
      <c r="G1151" s="142" t="s">
        <v>311</v>
      </c>
      <c r="H1151" s="142" t="s">
        <v>51</v>
      </c>
      <c r="I1151" s="142" t="s">
        <v>46</v>
      </c>
      <c r="J1151" s="157">
        <v>4</v>
      </c>
      <c r="K1151" s="143">
        <v>25</v>
      </c>
      <c r="L1151" s="143">
        <f>J1151*K1151</f>
        <v>100</v>
      </c>
      <c r="M1151" s="156">
        <f>L1151</f>
        <v>100</v>
      </c>
      <c r="N1151" s="141">
        <v>46097</v>
      </c>
      <c r="O1151" s="157">
        <f>WEEKNUM(N1151)</f>
        <v>12</v>
      </c>
      <c r="P1151" s="140"/>
      <c r="Q1151" s="142" t="s">
        <v>29</v>
      </c>
      <c r="R1151" s="143">
        <f>PRODUCT(0.25*J1151)</f>
        <v>1</v>
      </c>
      <c r="S1151" s="143">
        <f>J1151*1.5</f>
        <v>6</v>
      </c>
      <c r="T1151" s="143">
        <f>J1151*1.5</f>
        <v>6</v>
      </c>
      <c r="U1151" s="143">
        <f>J1151*0.5</f>
        <v>2</v>
      </c>
      <c r="V1151" s="143">
        <f>U1151+T1151+S1151+R1151</f>
        <v>15</v>
      </c>
    </row>
    <row r="1152" spans="1:22" s="128" customFormat="1" ht="15.6" hidden="1" x14ac:dyDescent="0.3">
      <c r="A1152" s="142" t="s">
        <v>496</v>
      </c>
      <c r="B1152" s="142">
        <v>451</v>
      </c>
      <c r="C1152" s="141">
        <v>46072</v>
      </c>
      <c r="D1152" s="140">
        <f>WEEKNUM(C1152)</f>
        <v>8</v>
      </c>
      <c r="E1152" s="142" t="s">
        <v>68</v>
      </c>
      <c r="F1152" s="142" t="s">
        <v>373</v>
      </c>
      <c r="G1152" s="142" t="s">
        <v>374</v>
      </c>
      <c r="H1152" s="140" t="s">
        <v>74</v>
      </c>
      <c r="I1152" s="142" t="s">
        <v>46</v>
      </c>
      <c r="J1152" s="157">
        <v>4</v>
      </c>
      <c r="K1152" s="143">
        <v>47.5</v>
      </c>
      <c r="L1152" s="143">
        <f>J1152*K1152</f>
        <v>190</v>
      </c>
      <c r="M1152" s="156">
        <f>L1152</f>
        <v>190</v>
      </c>
      <c r="N1152" s="141">
        <v>46097</v>
      </c>
      <c r="O1152" s="157">
        <f>WEEKNUM(N1152)</f>
        <v>12</v>
      </c>
      <c r="P1152" s="140"/>
      <c r="Q1152" s="142" t="s">
        <v>29</v>
      </c>
      <c r="R1152" s="143">
        <f>PRODUCT(0.25*J1152)</f>
        <v>1</v>
      </c>
      <c r="S1152" s="143">
        <f>J1152*1.5</f>
        <v>6</v>
      </c>
      <c r="T1152" s="143">
        <f>J1152*1.5</f>
        <v>6</v>
      </c>
      <c r="U1152" s="143">
        <f>J1152*0.5</f>
        <v>2</v>
      </c>
      <c r="V1152" s="143">
        <f>U1152+T1152+S1152+R1152</f>
        <v>15</v>
      </c>
    </row>
    <row r="1153" spans="1:22" s="128" customFormat="1" ht="15.6" hidden="1" x14ac:dyDescent="0.3">
      <c r="A1153" s="142" t="s">
        <v>496</v>
      </c>
      <c r="B1153" s="142">
        <v>451</v>
      </c>
      <c r="C1153" s="141">
        <v>46072</v>
      </c>
      <c r="D1153" s="140">
        <f>WEEKNUM(C1153)</f>
        <v>8</v>
      </c>
      <c r="E1153" s="142" t="s">
        <v>68</v>
      </c>
      <c r="F1153" s="142" t="s">
        <v>373</v>
      </c>
      <c r="G1153" s="140" t="s">
        <v>356</v>
      </c>
      <c r="H1153" s="140" t="s">
        <v>321</v>
      </c>
      <c r="I1153" s="142" t="s">
        <v>46</v>
      </c>
      <c r="J1153" s="157">
        <v>2</v>
      </c>
      <c r="K1153" s="143">
        <v>85</v>
      </c>
      <c r="L1153" s="143">
        <f>J1153*K1153</f>
        <v>170</v>
      </c>
      <c r="M1153" s="156">
        <f>L1153</f>
        <v>170</v>
      </c>
      <c r="N1153" s="141">
        <v>46097</v>
      </c>
      <c r="O1153" s="157">
        <f>WEEKNUM(N1153)</f>
        <v>12</v>
      </c>
      <c r="P1153" s="140"/>
      <c r="Q1153" s="142" t="s">
        <v>29</v>
      </c>
      <c r="R1153" s="143">
        <f>PRODUCT(0.25*J1153)</f>
        <v>0.5</v>
      </c>
      <c r="S1153" s="143">
        <f>J1153*1.5</f>
        <v>3</v>
      </c>
      <c r="T1153" s="143">
        <f>J1153*1.5</f>
        <v>3</v>
      </c>
      <c r="U1153" s="143">
        <f>J1153*0.5</f>
        <v>1</v>
      </c>
      <c r="V1153" s="143">
        <f>U1153+T1153+S1153+R1153</f>
        <v>7.5</v>
      </c>
    </row>
    <row r="1154" spans="1:22" s="128" customFormat="1" ht="15.6" hidden="1" x14ac:dyDescent="0.3">
      <c r="A1154" s="142" t="s">
        <v>496</v>
      </c>
      <c r="B1154" s="142">
        <v>451</v>
      </c>
      <c r="C1154" s="141">
        <v>46072</v>
      </c>
      <c r="D1154" s="140">
        <f>WEEKNUM(C1154)</f>
        <v>8</v>
      </c>
      <c r="E1154" s="142" t="s">
        <v>68</v>
      </c>
      <c r="F1154" s="142" t="s">
        <v>373</v>
      </c>
      <c r="G1154" s="140" t="s">
        <v>503</v>
      </c>
      <c r="H1154" s="142" t="s">
        <v>354</v>
      </c>
      <c r="I1154" s="142" t="s">
        <v>46</v>
      </c>
      <c r="J1154" s="157">
        <v>2</v>
      </c>
      <c r="K1154" s="143">
        <v>36.75</v>
      </c>
      <c r="L1154" s="143">
        <f>J1154*K1154</f>
        <v>73.5</v>
      </c>
      <c r="M1154" s="156">
        <f>L1154</f>
        <v>73.5</v>
      </c>
      <c r="N1154" s="141">
        <v>46097</v>
      </c>
      <c r="O1154" s="157">
        <f>WEEKNUM(N1154)</f>
        <v>12</v>
      </c>
      <c r="P1154" s="140"/>
      <c r="Q1154" s="142" t="s">
        <v>29</v>
      </c>
      <c r="R1154" s="143">
        <f>PRODUCT(0.25*J1154)</f>
        <v>0.5</v>
      </c>
      <c r="S1154" s="143">
        <f>J1154*1.5</f>
        <v>3</v>
      </c>
      <c r="T1154" s="143">
        <f>J1154*1.5</f>
        <v>3</v>
      </c>
      <c r="U1154" s="143">
        <f>J1154*0.5</f>
        <v>1</v>
      </c>
      <c r="V1154" s="143">
        <f>U1154+T1154+S1154+R1154</f>
        <v>7.5</v>
      </c>
    </row>
    <row r="1155" spans="1:22" s="128" customFormat="1" ht="15.6" hidden="1" x14ac:dyDescent="0.3">
      <c r="A1155" s="142" t="s">
        <v>477</v>
      </c>
      <c r="B1155" s="142">
        <v>215</v>
      </c>
      <c r="C1155" s="141">
        <v>46073</v>
      </c>
      <c r="D1155" s="140">
        <f>WEEKNUM(C1155)</f>
        <v>8</v>
      </c>
      <c r="E1155" s="142" t="s">
        <v>498</v>
      </c>
      <c r="F1155" s="140" t="s">
        <v>446</v>
      </c>
      <c r="G1155" s="142" t="s">
        <v>487</v>
      </c>
      <c r="H1155" s="142" t="s">
        <v>51</v>
      </c>
      <c r="I1155" s="142" t="s">
        <v>46</v>
      </c>
      <c r="J1155" s="157">
        <v>400</v>
      </c>
      <c r="K1155" s="143">
        <v>23.5</v>
      </c>
      <c r="L1155" s="143">
        <f>K1155*J1155</f>
        <v>9400</v>
      </c>
      <c r="M1155" s="143">
        <f>L1155</f>
        <v>9400</v>
      </c>
      <c r="N1155" s="141">
        <v>46087</v>
      </c>
      <c r="O1155" s="157">
        <f>WEEKNUM(N1155)</f>
        <v>10</v>
      </c>
      <c r="P1155" s="140"/>
      <c r="Q1155" s="142" t="s">
        <v>29</v>
      </c>
      <c r="R1155" s="143">
        <f>PRODUCT(0.25*J1155)</f>
        <v>100</v>
      </c>
      <c r="S1155" s="143">
        <f>J1155*1.5</f>
        <v>600</v>
      </c>
      <c r="T1155" s="143">
        <f>J1155*1.5</f>
        <v>600</v>
      </c>
      <c r="U1155" s="143">
        <f>J1155*0.5</f>
        <v>200</v>
      </c>
      <c r="V1155" s="143">
        <f>U1155+T1155+S1155+R1155</f>
        <v>1500</v>
      </c>
    </row>
    <row r="1156" spans="1:22" s="128" customFormat="1" ht="15.6" hidden="1" x14ac:dyDescent="0.3">
      <c r="A1156" s="142" t="s">
        <v>477</v>
      </c>
      <c r="B1156" s="142">
        <v>1054</v>
      </c>
      <c r="C1156" s="141">
        <v>46073</v>
      </c>
      <c r="D1156" s="140">
        <f>WEEKNUM(C1156)</f>
        <v>8</v>
      </c>
      <c r="E1156" s="142" t="s">
        <v>498</v>
      </c>
      <c r="F1156" s="140" t="s">
        <v>459</v>
      </c>
      <c r="G1156" s="142" t="s">
        <v>487</v>
      </c>
      <c r="H1156" s="142" t="s">
        <v>51</v>
      </c>
      <c r="I1156" s="142" t="s">
        <v>46</v>
      </c>
      <c r="J1156" s="157">
        <v>120</v>
      </c>
      <c r="K1156" s="143">
        <v>25</v>
      </c>
      <c r="L1156" s="143">
        <f>J1156*K1156</f>
        <v>3000</v>
      </c>
      <c r="M1156" s="143">
        <f>L1156</f>
        <v>3000</v>
      </c>
      <c r="N1156" s="141">
        <v>46101</v>
      </c>
      <c r="O1156" s="157">
        <f>WEEKNUM(N1156)</f>
        <v>12</v>
      </c>
      <c r="P1156" s="140"/>
      <c r="Q1156" s="142" t="s">
        <v>29</v>
      </c>
      <c r="R1156" s="143">
        <f>PRODUCT(0.25*J1156)</f>
        <v>30</v>
      </c>
      <c r="S1156" s="143">
        <f>J1156*1.5</f>
        <v>180</v>
      </c>
      <c r="T1156" s="143">
        <f>J1156*1.5</f>
        <v>180</v>
      </c>
      <c r="U1156" s="143">
        <f>J1156*0.5</f>
        <v>60</v>
      </c>
      <c r="V1156" s="143">
        <f>U1156+T1156+S1156+R1156</f>
        <v>450</v>
      </c>
    </row>
    <row r="1157" spans="1:22" s="128" customFormat="1" ht="15.6" hidden="1" x14ac:dyDescent="0.3">
      <c r="A1157" s="142" t="s">
        <v>477</v>
      </c>
      <c r="B1157" s="142">
        <v>1055</v>
      </c>
      <c r="C1157" s="141">
        <v>46073</v>
      </c>
      <c r="D1157" s="140">
        <f>WEEKNUM(C1157)</f>
        <v>8</v>
      </c>
      <c r="E1157" s="142" t="s">
        <v>498</v>
      </c>
      <c r="F1157" s="140" t="s">
        <v>459</v>
      </c>
      <c r="G1157" s="142" t="s">
        <v>898</v>
      </c>
      <c r="H1157" s="140" t="s">
        <v>494</v>
      </c>
      <c r="I1157" s="142" t="s">
        <v>61</v>
      </c>
      <c r="J1157" s="157">
        <v>80</v>
      </c>
      <c r="K1157" s="143">
        <v>19.5</v>
      </c>
      <c r="L1157" s="143">
        <f>K1157*J1157</f>
        <v>1560</v>
      </c>
      <c r="M1157" s="143">
        <f>L1157</f>
        <v>1560</v>
      </c>
      <c r="N1157" s="141">
        <v>46101</v>
      </c>
      <c r="O1157" s="157">
        <f>WEEKNUM(N1157)</f>
        <v>12</v>
      </c>
      <c r="P1157" s="140"/>
      <c r="Q1157" s="142" t="s">
        <v>29</v>
      </c>
      <c r="R1157" s="143">
        <f>PRODUCT(0.25*J1157)</f>
        <v>20</v>
      </c>
      <c r="S1157" s="143">
        <f>J1157*1.5</f>
        <v>120</v>
      </c>
      <c r="T1157" s="143">
        <f>J1157*1.5</f>
        <v>120</v>
      </c>
      <c r="U1157" s="143">
        <f>J1157*0.5</f>
        <v>40</v>
      </c>
      <c r="V1157" s="143">
        <f>U1157+T1157+S1157+R1157</f>
        <v>300</v>
      </c>
    </row>
    <row r="1158" spans="1:22" s="128" customFormat="1" ht="15.6" hidden="1" x14ac:dyDescent="0.3">
      <c r="A1158" s="142" t="s">
        <v>477</v>
      </c>
      <c r="B1158" s="142">
        <v>452</v>
      </c>
      <c r="C1158" s="141">
        <v>46073</v>
      </c>
      <c r="D1158" s="140">
        <f>WEEKNUM(C1158)</f>
        <v>8</v>
      </c>
      <c r="E1158" s="140" t="s">
        <v>475</v>
      </c>
      <c r="F1158" s="142" t="s">
        <v>937</v>
      </c>
      <c r="G1158" s="142" t="s">
        <v>919</v>
      </c>
      <c r="H1158" s="142" t="s">
        <v>60</v>
      </c>
      <c r="I1158" s="142" t="s">
        <v>61</v>
      </c>
      <c r="J1158" s="157">
        <v>100</v>
      </c>
      <c r="K1158" s="143">
        <v>22.5</v>
      </c>
      <c r="L1158" s="143">
        <f>J1158*K1158</f>
        <v>2250</v>
      </c>
      <c r="M1158" s="143">
        <f>L1158</f>
        <v>2250</v>
      </c>
      <c r="N1158" s="141">
        <v>46101</v>
      </c>
      <c r="O1158" s="157">
        <f>WEEKNUM(N1158)</f>
        <v>12</v>
      </c>
      <c r="P1158" s="140"/>
      <c r="Q1158" s="142" t="s">
        <v>29</v>
      </c>
      <c r="R1158" s="143">
        <f>PRODUCT(0.25*J1158)</f>
        <v>25</v>
      </c>
      <c r="S1158" s="143">
        <f>J1158*1.5</f>
        <v>150</v>
      </c>
      <c r="T1158" s="143">
        <f>J1158*1.5</f>
        <v>150</v>
      </c>
      <c r="U1158" s="143">
        <f>J1158*0.5</f>
        <v>50</v>
      </c>
      <c r="V1158" s="143">
        <f>U1158+T1158+S1158+R1158</f>
        <v>375</v>
      </c>
    </row>
    <row r="1159" spans="1:22" s="128" customFormat="1" ht="15.6" hidden="1" x14ac:dyDescent="0.3">
      <c r="A1159" s="142" t="s">
        <v>477</v>
      </c>
      <c r="B1159" s="142">
        <v>438</v>
      </c>
      <c r="C1159" s="141">
        <v>46076</v>
      </c>
      <c r="D1159" s="140">
        <f>WEEKNUM(C1159)</f>
        <v>9</v>
      </c>
      <c r="E1159" s="140" t="s">
        <v>475</v>
      </c>
      <c r="F1159" s="140" t="s">
        <v>761</v>
      </c>
      <c r="G1159" s="142" t="s">
        <v>768</v>
      </c>
      <c r="H1159" s="142" t="s">
        <v>769</v>
      </c>
      <c r="I1159" s="142" t="s">
        <v>61</v>
      </c>
      <c r="J1159" s="157">
        <v>1500</v>
      </c>
      <c r="K1159" s="143">
        <v>10.5</v>
      </c>
      <c r="L1159" s="143">
        <f>J1159*K1159</f>
        <v>15750</v>
      </c>
      <c r="M1159" s="143">
        <f>L1159</f>
        <v>15750</v>
      </c>
      <c r="N1159" s="141">
        <v>46104</v>
      </c>
      <c r="O1159" s="157">
        <f>WEEKNUM(N1159)</f>
        <v>13</v>
      </c>
      <c r="P1159" s="140"/>
      <c r="Q1159" s="142" t="s">
        <v>29</v>
      </c>
      <c r="R1159" s="143">
        <f>PRODUCT(0.25*J1159)</f>
        <v>375</v>
      </c>
      <c r="S1159" s="143">
        <f>J1159*1.5</f>
        <v>2250</v>
      </c>
      <c r="T1159" s="143">
        <f>J1159*1.5</f>
        <v>2250</v>
      </c>
      <c r="U1159" s="143">
        <f>J1159*0.5</f>
        <v>750</v>
      </c>
      <c r="V1159" s="143">
        <f>U1159+T1159+S1159+R1159</f>
        <v>5625</v>
      </c>
    </row>
    <row r="1160" spans="1:22" s="128" customFormat="1" ht="15.6" hidden="1" x14ac:dyDescent="0.3">
      <c r="A1160" s="142" t="s">
        <v>486</v>
      </c>
      <c r="B1160" s="162" t="s">
        <v>613</v>
      </c>
      <c r="C1160" s="141">
        <v>46077</v>
      </c>
      <c r="D1160" s="140">
        <f>WEEKNUM(C1160)</f>
        <v>9</v>
      </c>
      <c r="E1160" s="140" t="s">
        <v>478</v>
      </c>
      <c r="F1160" s="142" t="s">
        <v>612</v>
      </c>
      <c r="G1160" s="142" t="s">
        <v>539</v>
      </c>
      <c r="H1160" s="140" t="s">
        <v>74</v>
      </c>
      <c r="I1160" s="142" t="s">
        <v>46</v>
      </c>
      <c r="J1160" s="157">
        <v>56</v>
      </c>
      <c r="K1160" s="143">
        <v>67</v>
      </c>
      <c r="L1160" s="143">
        <f>J1160*K1160</f>
        <v>3752</v>
      </c>
      <c r="M1160" s="143">
        <f>L1160</f>
        <v>3752</v>
      </c>
      <c r="N1160" s="141">
        <v>46105</v>
      </c>
      <c r="O1160" s="157">
        <f>WEEKNUM(N1160)</f>
        <v>13</v>
      </c>
      <c r="P1160" s="140"/>
      <c r="Q1160" s="142" t="s">
        <v>29</v>
      </c>
      <c r="R1160" s="143">
        <f>PRODUCT(0.25*J1160)</f>
        <v>14</v>
      </c>
      <c r="S1160" s="143">
        <f>J1160*1.5</f>
        <v>84</v>
      </c>
      <c r="T1160" s="143">
        <f>J1160*1.5</f>
        <v>84</v>
      </c>
      <c r="U1160" s="143">
        <f>J1160*0.5</f>
        <v>28</v>
      </c>
      <c r="V1160" s="143">
        <f>U1160+T1160+S1160+R1160</f>
        <v>210</v>
      </c>
    </row>
    <row r="1161" spans="1:22" s="128" customFormat="1" ht="15.6" hidden="1" x14ac:dyDescent="0.3">
      <c r="A1161" s="142" t="s">
        <v>486</v>
      </c>
      <c r="B1161" s="162" t="s">
        <v>613</v>
      </c>
      <c r="C1161" s="141">
        <v>46077</v>
      </c>
      <c r="D1161" s="140">
        <f>WEEKNUM(C1161)</f>
        <v>9</v>
      </c>
      <c r="E1161" s="140" t="s">
        <v>478</v>
      </c>
      <c r="F1161" s="142" t="s">
        <v>612</v>
      </c>
      <c r="G1161" s="142" t="s">
        <v>614</v>
      </c>
      <c r="H1161" s="140" t="s">
        <v>74</v>
      </c>
      <c r="I1161" s="142" t="s">
        <v>46</v>
      </c>
      <c r="J1161" s="157">
        <v>34</v>
      </c>
      <c r="K1161" s="143">
        <v>55</v>
      </c>
      <c r="L1161" s="143">
        <f>J1161*K1161</f>
        <v>1870</v>
      </c>
      <c r="M1161" s="143">
        <f>L1161</f>
        <v>1870</v>
      </c>
      <c r="N1161" s="141">
        <v>46105</v>
      </c>
      <c r="O1161" s="157">
        <f>WEEKNUM(N1161)</f>
        <v>13</v>
      </c>
      <c r="P1161" s="140"/>
      <c r="Q1161" s="142" t="s">
        <v>29</v>
      </c>
      <c r="R1161" s="143">
        <f>PRODUCT(0.25*J1161)</f>
        <v>8.5</v>
      </c>
      <c r="S1161" s="143">
        <f>J1161*1.5</f>
        <v>51</v>
      </c>
      <c r="T1161" s="143">
        <f>J1161*1.5</f>
        <v>51</v>
      </c>
      <c r="U1161" s="143">
        <f>J1161*0.5</f>
        <v>17</v>
      </c>
      <c r="V1161" s="143">
        <f>U1161+T1161+S1161+R1161</f>
        <v>127.5</v>
      </c>
    </row>
    <row r="1162" spans="1:22" s="128" customFormat="1" ht="15.6" hidden="1" x14ac:dyDescent="0.3">
      <c r="A1162" s="142" t="s">
        <v>486</v>
      </c>
      <c r="B1162" s="142">
        <v>454</v>
      </c>
      <c r="C1162" s="141">
        <v>46077</v>
      </c>
      <c r="D1162" s="140">
        <f>WEEKNUM(C1162)</f>
        <v>9</v>
      </c>
      <c r="E1162" s="140" t="s">
        <v>475</v>
      </c>
      <c r="F1162" s="142" t="s">
        <v>969</v>
      </c>
      <c r="G1162" s="142" t="s">
        <v>554</v>
      </c>
      <c r="H1162" s="142" t="s">
        <v>555</v>
      </c>
      <c r="I1162" s="142" t="s">
        <v>46</v>
      </c>
      <c r="J1162" s="157">
        <v>60</v>
      </c>
      <c r="K1162" s="143">
        <v>35</v>
      </c>
      <c r="L1162" s="143">
        <f>K1162*J1162</f>
        <v>2100</v>
      </c>
      <c r="M1162" s="143">
        <v>0</v>
      </c>
      <c r="N1162" s="141">
        <v>46091</v>
      </c>
      <c r="O1162" s="157">
        <f>WEEKNUM(N1162)</f>
        <v>11</v>
      </c>
      <c r="P1162" s="140"/>
      <c r="Q1162" s="142" t="s">
        <v>29</v>
      </c>
      <c r="R1162" s="143">
        <f>PRODUCT(0.25*J1162)</f>
        <v>15</v>
      </c>
      <c r="S1162" s="143">
        <f>J1162*1.5</f>
        <v>90</v>
      </c>
      <c r="T1162" s="143">
        <f>J1162*1.5</f>
        <v>90</v>
      </c>
      <c r="U1162" s="143">
        <f>J1162*0.5</f>
        <v>30</v>
      </c>
      <c r="V1162" s="143">
        <f>U1162+T1162+S1162+R1162</f>
        <v>225</v>
      </c>
    </row>
    <row r="1163" spans="1:22" s="128" customFormat="1" ht="15.6" hidden="1" x14ac:dyDescent="0.3">
      <c r="A1163" s="142" t="s">
        <v>486</v>
      </c>
      <c r="B1163" s="142">
        <v>455</v>
      </c>
      <c r="C1163" s="141">
        <v>46078</v>
      </c>
      <c r="D1163" s="140">
        <f>WEEKNUM(C1163)</f>
        <v>9</v>
      </c>
      <c r="E1163" s="142" t="s">
        <v>498</v>
      </c>
      <c r="F1163" s="142" t="s">
        <v>883</v>
      </c>
      <c r="G1163" s="142" t="s">
        <v>487</v>
      </c>
      <c r="H1163" s="142" t="s">
        <v>51</v>
      </c>
      <c r="I1163" s="142" t="s">
        <v>46</v>
      </c>
      <c r="J1163" s="157">
        <v>227</v>
      </c>
      <c r="K1163" s="143">
        <v>25</v>
      </c>
      <c r="L1163" s="143">
        <f>K1163*J1163</f>
        <v>5675</v>
      </c>
      <c r="M1163" s="143">
        <v>0</v>
      </c>
      <c r="N1163" s="141">
        <v>46106</v>
      </c>
      <c r="O1163" s="157">
        <f>WEEKNUM(N1163)</f>
        <v>13</v>
      </c>
      <c r="P1163" s="140"/>
      <c r="Q1163" s="142" t="s">
        <v>29</v>
      </c>
      <c r="R1163" s="143">
        <f>PRODUCT(0.25*J1163)</f>
        <v>56.75</v>
      </c>
      <c r="S1163" s="143">
        <f>J1163*1.5</f>
        <v>340.5</v>
      </c>
      <c r="T1163" s="143">
        <f>J1163*1.5</f>
        <v>340.5</v>
      </c>
      <c r="U1163" s="143">
        <f>J1163*0.5</f>
        <v>113.5</v>
      </c>
      <c r="V1163" s="143">
        <f>U1163+T1163+S1163+R1163</f>
        <v>851.25</v>
      </c>
    </row>
    <row r="1164" spans="1:22" s="128" customFormat="1" ht="15.6" hidden="1" x14ac:dyDescent="0.3">
      <c r="A1164" s="142" t="s">
        <v>477</v>
      </c>
      <c r="B1164" s="142">
        <v>1073</v>
      </c>
      <c r="C1164" s="141">
        <v>46079</v>
      </c>
      <c r="D1164" s="140">
        <f>WEEKNUM(C1164)</f>
        <v>9</v>
      </c>
      <c r="E1164" s="142" t="s">
        <v>498</v>
      </c>
      <c r="F1164" s="142" t="s">
        <v>550</v>
      </c>
      <c r="G1164" s="142" t="s">
        <v>487</v>
      </c>
      <c r="H1164" s="142" t="s">
        <v>51</v>
      </c>
      <c r="I1164" s="142" t="s">
        <v>46</v>
      </c>
      <c r="J1164" s="157">
        <v>100</v>
      </c>
      <c r="K1164" s="143">
        <v>29.7</v>
      </c>
      <c r="L1164" s="143">
        <f>K1164*J1164</f>
        <v>2970</v>
      </c>
      <c r="M1164" s="143">
        <v>0</v>
      </c>
      <c r="N1164" s="141">
        <v>46107</v>
      </c>
      <c r="O1164" s="157">
        <f>WEEKNUM(N1164)</f>
        <v>13</v>
      </c>
      <c r="P1164" s="140"/>
      <c r="Q1164" s="142" t="s">
        <v>29</v>
      </c>
      <c r="R1164" s="143">
        <f>PRODUCT(0.25*J1164)</f>
        <v>25</v>
      </c>
      <c r="S1164" s="143">
        <f>J1164*1.5</f>
        <v>150</v>
      </c>
      <c r="T1164" s="143">
        <f>J1164*1.5</f>
        <v>150</v>
      </c>
      <c r="U1164" s="143">
        <f>J1164*0.5</f>
        <v>50</v>
      </c>
      <c r="V1164" s="143">
        <f>U1164+T1164+S1164+R1164</f>
        <v>375</v>
      </c>
    </row>
    <row r="1165" spans="1:22" s="128" customFormat="1" ht="15.6" hidden="1" x14ac:dyDescent="0.3">
      <c r="A1165" s="142" t="s">
        <v>477</v>
      </c>
      <c r="B1165" s="142">
        <v>462</v>
      </c>
      <c r="C1165" s="141">
        <v>46079</v>
      </c>
      <c r="D1165" s="140">
        <f>WEEKNUM(C1165)</f>
        <v>9</v>
      </c>
      <c r="E1165" s="140" t="s">
        <v>475</v>
      </c>
      <c r="F1165" s="142" t="s">
        <v>757</v>
      </c>
      <c r="G1165" s="142" t="s">
        <v>495</v>
      </c>
      <c r="H1165" s="140" t="s">
        <v>494</v>
      </c>
      <c r="I1165" s="142" t="s">
        <v>46</v>
      </c>
      <c r="J1165" s="157">
        <v>50</v>
      </c>
      <c r="K1165" s="143">
        <v>18</v>
      </c>
      <c r="L1165" s="143">
        <f>K1165*J1165</f>
        <v>900</v>
      </c>
      <c r="M1165" s="143">
        <f>L1165/2</f>
        <v>450</v>
      </c>
      <c r="N1165" s="141">
        <v>46108</v>
      </c>
      <c r="O1165" s="157">
        <f>WEEKNUM(N1165)</f>
        <v>13</v>
      </c>
      <c r="P1165" s="140"/>
      <c r="Q1165" s="142" t="s">
        <v>29</v>
      </c>
      <c r="R1165" s="143">
        <f>PRODUCT(0.25*J1165)</f>
        <v>12.5</v>
      </c>
      <c r="S1165" s="143">
        <f>J1165*1.5</f>
        <v>75</v>
      </c>
      <c r="T1165" s="143">
        <f>J1165*1.5</f>
        <v>75</v>
      </c>
      <c r="U1165" s="143">
        <f>J1165*0.5</f>
        <v>25</v>
      </c>
      <c r="V1165" s="143">
        <f>U1165+T1165+S1165+R1165</f>
        <v>187.5</v>
      </c>
    </row>
    <row r="1166" spans="1:22" s="128" customFormat="1" ht="15.6" hidden="1" x14ac:dyDescent="0.3">
      <c r="A1166" s="142" t="s">
        <v>477</v>
      </c>
      <c r="B1166" s="142">
        <v>462</v>
      </c>
      <c r="C1166" s="141">
        <v>46079</v>
      </c>
      <c r="D1166" s="140">
        <f>WEEKNUM(C1166)</f>
        <v>9</v>
      </c>
      <c r="E1166" s="140" t="s">
        <v>475</v>
      </c>
      <c r="F1166" s="142" t="s">
        <v>757</v>
      </c>
      <c r="G1166" s="140" t="s">
        <v>480</v>
      </c>
      <c r="H1166" s="142" t="s">
        <v>51</v>
      </c>
      <c r="I1166" s="142" t="s">
        <v>46</v>
      </c>
      <c r="J1166" s="157">
        <v>50</v>
      </c>
      <c r="K1166" s="143">
        <v>19.899999999999999</v>
      </c>
      <c r="L1166" s="143">
        <f>K1166*J1166</f>
        <v>994.99999999999989</v>
      </c>
      <c r="M1166" s="143">
        <f>L1166/2</f>
        <v>497.49999999999994</v>
      </c>
      <c r="N1166" s="141">
        <v>46108</v>
      </c>
      <c r="O1166" s="157">
        <f>WEEKNUM(N1166)</f>
        <v>13</v>
      </c>
      <c r="P1166" s="140"/>
      <c r="Q1166" s="142" t="s">
        <v>29</v>
      </c>
      <c r="R1166" s="143">
        <f>PRODUCT(0.25*J1166)</f>
        <v>12.5</v>
      </c>
      <c r="S1166" s="143">
        <f>J1166*1.5</f>
        <v>75</v>
      </c>
      <c r="T1166" s="143">
        <f>J1166*1.5</f>
        <v>75</v>
      </c>
      <c r="U1166" s="143">
        <f>J1166*0.5</f>
        <v>25</v>
      </c>
      <c r="V1166" s="143">
        <f>U1166+T1166+S1166+R1166</f>
        <v>187.5</v>
      </c>
    </row>
    <row r="1167" spans="1:22" s="128" customFormat="1" ht="15.6" hidden="1" x14ac:dyDescent="0.3">
      <c r="A1167" s="142" t="s">
        <v>486</v>
      </c>
      <c r="B1167" s="142">
        <v>457</v>
      </c>
      <c r="C1167" s="141">
        <v>46079</v>
      </c>
      <c r="D1167" s="140">
        <f>WEEKNUM(C1167)</f>
        <v>9</v>
      </c>
      <c r="E1167" s="140" t="s">
        <v>475</v>
      </c>
      <c r="F1167" s="142" t="s">
        <v>451</v>
      </c>
      <c r="G1167" s="142" t="s">
        <v>846</v>
      </c>
      <c r="H1167" s="140" t="s">
        <v>74</v>
      </c>
      <c r="I1167" s="142" t="s">
        <v>46</v>
      </c>
      <c r="J1167" s="157">
        <v>50</v>
      </c>
      <c r="K1167" s="143">
        <v>39</v>
      </c>
      <c r="L1167" s="143">
        <f>K1167*J1167</f>
        <v>1950</v>
      </c>
      <c r="M1167" s="143">
        <f>L1167/2</f>
        <v>975</v>
      </c>
      <c r="N1167" s="141">
        <v>46107</v>
      </c>
      <c r="O1167" s="157">
        <f>WEEKNUM(N1167)</f>
        <v>13</v>
      </c>
      <c r="P1167" s="140"/>
      <c r="Q1167" s="142" t="s">
        <v>29</v>
      </c>
      <c r="R1167" s="143">
        <f>PRODUCT(0.25*J1167)</f>
        <v>12.5</v>
      </c>
      <c r="S1167" s="143">
        <f>J1167*1.5</f>
        <v>75</v>
      </c>
      <c r="T1167" s="143">
        <f>J1167*1.5</f>
        <v>75</v>
      </c>
      <c r="U1167" s="143">
        <f>J1167*0.5</f>
        <v>25</v>
      </c>
      <c r="V1167" s="143">
        <f>U1167+T1167+S1167+R1167</f>
        <v>187.5</v>
      </c>
    </row>
    <row r="1168" spans="1:22" s="128" customFormat="1" ht="15.6" hidden="1" x14ac:dyDescent="0.3">
      <c r="A1168" s="142" t="s">
        <v>486</v>
      </c>
      <c r="B1168" s="142">
        <v>457</v>
      </c>
      <c r="C1168" s="141">
        <v>46079</v>
      </c>
      <c r="D1168" s="140">
        <f>WEEKNUM(C1168)</f>
        <v>9</v>
      </c>
      <c r="E1168" s="140" t="s">
        <v>475</v>
      </c>
      <c r="F1168" s="142" t="s">
        <v>451</v>
      </c>
      <c r="G1168" s="142" t="s">
        <v>847</v>
      </c>
      <c r="H1168" s="140" t="s">
        <v>74</v>
      </c>
      <c r="I1168" s="142" t="s">
        <v>46</v>
      </c>
      <c r="J1168" s="157">
        <v>50</v>
      </c>
      <c r="K1168" s="143">
        <v>42.5</v>
      </c>
      <c r="L1168" s="143">
        <f>K1168*J1168</f>
        <v>2125</v>
      </c>
      <c r="M1168" s="143">
        <f>L1168/2</f>
        <v>1062.5</v>
      </c>
      <c r="N1168" s="141">
        <v>46107</v>
      </c>
      <c r="O1168" s="157">
        <f>WEEKNUM(N1168)</f>
        <v>13</v>
      </c>
      <c r="P1168" s="140"/>
      <c r="Q1168" s="142" t="s">
        <v>29</v>
      </c>
      <c r="R1168" s="143">
        <f>PRODUCT(0.25*J1168)</f>
        <v>12.5</v>
      </c>
      <c r="S1168" s="143">
        <f>J1168*1.5</f>
        <v>75</v>
      </c>
      <c r="T1168" s="143">
        <f>J1168*1.5</f>
        <v>75</v>
      </c>
      <c r="U1168" s="143">
        <f>J1168*0.5</f>
        <v>25</v>
      </c>
      <c r="V1168" s="143">
        <f>U1168+T1168+S1168+R1168</f>
        <v>187.5</v>
      </c>
    </row>
    <row r="1169" spans="1:22" s="128" customFormat="1" ht="15.6" hidden="1" x14ac:dyDescent="0.3">
      <c r="A1169" s="142" t="s">
        <v>486</v>
      </c>
      <c r="B1169" s="142">
        <v>457</v>
      </c>
      <c r="C1169" s="141">
        <v>46079</v>
      </c>
      <c r="D1169" s="140">
        <f>WEEKNUM(C1169)</f>
        <v>9</v>
      </c>
      <c r="E1169" s="140" t="s">
        <v>475</v>
      </c>
      <c r="F1169" s="142" t="s">
        <v>451</v>
      </c>
      <c r="G1169" s="142" t="s">
        <v>848</v>
      </c>
      <c r="H1169" s="140" t="s">
        <v>74</v>
      </c>
      <c r="I1169" s="142" t="s">
        <v>46</v>
      </c>
      <c r="J1169" s="157">
        <v>100</v>
      </c>
      <c r="K1169" s="143">
        <v>42.5</v>
      </c>
      <c r="L1169" s="143">
        <f>K1169*J1169</f>
        <v>4250</v>
      </c>
      <c r="M1169" s="143">
        <f>L1169/2</f>
        <v>2125</v>
      </c>
      <c r="N1169" s="141">
        <v>46107</v>
      </c>
      <c r="O1169" s="157">
        <f>WEEKNUM(N1169)</f>
        <v>13</v>
      </c>
      <c r="P1169" s="140"/>
      <c r="Q1169" s="142" t="s">
        <v>29</v>
      </c>
      <c r="R1169" s="143">
        <f>PRODUCT(0.25*J1169)</f>
        <v>25</v>
      </c>
      <c r="S1169" s="143">
        <f>J1169*1.5</f>
        <v>150</v>
      </c>
      <c r="T1169" s="143">
        <f>J1169*1.5</f>
        <v>150</v>
      </c>
      <c r="U1169" s="143">
        <f>J1169*0.5</f>
        <v>50</v>
      </c>
      <c r="V1169" s="143">
        <f>U1169+T1169+S1169+R1169</f>
        <v>375</v>
      </c>
    </row>
    <row r="1170" spans="1:22" s="128" customFormat="1" ht="15.6" hidden="1" x14ac:dyDescent="0.3">
      <c r="A1170" s="142" t="s">
        <v>486</v>
      </c>
      <c r="B1170" s="142">
        <v>457</v>
      </c>
      <c r="C1170" s="141">
        <v>46079</v>
      </c>
      <c r="D1170" s="140">
        <f>WEEKNUM(C1170)</f>
        <v>9</v>
      </c>
      <c r="E1170" s="140" t="s">
        <v>475</v>
      </c>
      <c r="F1170" s="142" t="s">
        <v>451</v>
      </c>
      <c r="G1170" s="142" t="s">
        <v>849</v>
      </c>
      <c r="H1170" s="140" t="s">
        <v>74</v>
      </c>
      <c r="I1170" s="142" t="s">
        <v>46</v>
      </c>
      <c r="J1170" s="157">
        <v>50</v>
      </c>
      <c r="K1170" s="143">
        <v>26.5</v>
      </c>
      <c r="L1170" s="143">
        <f>K1170*J1170</f>
        <v>1325</v>
      </c>
      <c r="M1170" s="143">
        <f>L1170/2</f>
        <v>662.5</v>
      </c>
      <c r="N1170" s="141">
        <v>46107</v>
      </c>
      <c r="O1170" s="157">
        <f>WEEKNUM(N1170)</f>
        <v>13</v>
      </c>
      <c r="P1170" s="140"/>
      <c r="Q1170" s="142" t="s">
        <v>29</v>
      </c>
      <c r="R1170" s="143">
        <f>PRODUCT(0.25*J1170)</f>
        <v>12.5</v>
      </c>
      <c r="S1170" s="143">
        <f>J1170*1.5</f>
        <v>75</v>
      </c>
      <c r="T1170" s="143">
        <f>J1170*1.5</f>
        <v>75</v>
      </c>
      <c r="U1170" s="143">
        <f>J1170*0.5</f>
        <v>25</v>
      </c>
      <c r="V1170" s="143">
        <f>U1170+T1170+S1170+R1170</f>
        <v>187.5</v>
      </c>
    </row>
    <row r="1171" spans="1:22" s="128" customFormat="1" ht="15.6" hidden="1" x14ac:dyDescent="0.3">
      <c r="A1171" s="142" t="s">
        <v>486</v>
      </c>
      <c r="B1171" s="142">
        <v>456</v>
      </c>
      <c r="C1171" s="141">
        <v>46079</v>
      </c>
      <c r="D1171" s="140">
        <f>WEEKNUM(C1171)</f>
        <v>9</v>
      </c>
      <c r="E1171" s="142" t="s">
        <v>68</v>
      </c>
      <c r="F1171" s="142" t="s">
        <v>397</v>
      </c>
      <c r="G1171" s="142" t="s">
        <v>374</v>
      </c>
      <c r="H1171" s="140" t="s">
        <v>74</v>
      </c>
      <c r="I1171" s="142" t="s">
        <v>46</v>
      </c>
      <c r="J1171" s="157">
        <v>2</v>
      </c>
      <c r="K1171" s="143">
        <v>47.5</v>
      </c>
      <c r="L1171" s="143">
        <f>J1171*K1171</f>
        <v>95</v>
      </c>
      <c r="M1171" s="156">
        <f>L1171</f>
        <v>95</v>
      </c>
      <c r="N1171" s="141">
        <v>46080</v>
      </c>
      <c r="O1171" s="157">
        <f>WEEKNUM(N1171)</f>
        <v>9</v>
      </c>
      <c r="P1171" s="140"/>
      <c r="Q1171" s="142" t="s">
        <v>29</v>
      </c>
      <c r="R1171" s="143">
        <f>PRODUCT(0.25*J1171)</f>
        <v>0.5</v>
      </c>
      <c r="S1171" s="143">
        <f>J1171*1.5</f>
        <v>3</v>
      </c>
      <c r="T1171" s="143">
        <f>J1171*1.5</f>
        <v>3</v>
      </c>
      <c r="U1171" s="143">
        <f>J1171*0.5</f>
        <v>1</v>
      </c>
      <c r="V1171" s="143">
        <f>U1171+T1171+S1171+R1171</f>
        <v>7.5</v>
      </c>
    </row>
    <row r="1172" spans="1:22" s="128" customFormat="1" ht="15.6" hidden="1" x14ac:dyDescent="0.3">
      <c r="A1172" s="142" t="s">
        <v>486</v>
      </c>
      <c r="B1172" s="142">
        <v>456</v>
      </c>
      <c r="C1172" s="141">
        <v>46079</v>
      </c>
      <c r="D1172" s="140">
        <f>WEEKNUM(C1172)</f>
        <v>9</v>
      </c>
      <c r="E1172" s="142" t="s">
        <v>68</v>
      </c>
      <c r="F1172" s="142" t="s">
        <v>397</v>
      </c>
      <c r="G1172" s="140" t="s">
        <v>503</v>
      </c>
      <c r="H1172" s="142" t="s">
        <v>354</v>
      </c>
      <c r="I1172" s="142" t="s">
        <v>46</v>
      </c>
      <c r="J1172" s="157">
        <v>8</v>
      </c>
      <c r="K1172" s="143">
        <v>36.75</v>
      </c>
      <c r="L1172" s="143">
        <f>K1172*J1172</f>
        <v>294</v>
      </c>
      <c r="M1172" s="156">
        <f>L1172</f>
        <v>294</v>
      </c>
      <c r="N1172" s="141">
        <v>46080</v>
      </c>
      <c r="O1172" s="157">
        <f>WEEKNUM(N1172)</f>
        <v>9</v>
      </c>
      <c r="P1172" s="140"/>
      <c r="Q1172" s="142" t="s">
        <v>29</v>
      </c>
      <c r="R1172" s="143">
        <f>PRODUCT(0.25*J1172)</f>
        <v>2</v>
      </c>
      <c r="S1172" s="143">
        <f>J1172*1.5</f>
        <v>12</v>
      </c>
      <c r="T1172" s="143">
        <f>J1172*1.5</f>
        <v>12</v>
      </c>
      <c r="U1172" s="143">
        <f>J1172*0.5</f>
        <v>4</v>
      </c>
      <c r="V1172" s="143">
        <f>U1172+T1172+S1172+R1172</f>
        <v>30</v>
      </c>
    </row>
    <row r="1173" spans="1:22" s="128" customFormat="1" ht="15.6" hidden="1" x14ac:dyDescent="0.3">
      <c r="A1173" s="142" t="s">
        <v>486</v>
      </c>
      <c r="B1173" s="142">
        <v>456</v>
      </c>
      <c r="C1173" s="141">
        <v>46079</v>
      </c>
      <c r="D1173" s="140">
        <f>WEEKNUM(C1173)</f>
        <v>9</v>
      </c>
      <c r="E1173" s="142" t="s">
        <v>68</v>
      </c>
      <c r="F1173" s="142" t="s">
        <v>397</v>
      </c>
      <c r="G1173" s="142" t="s">
        <v>311</v>
      </c>
      <c r="H1173" s="142" t="s">
        <v>51</v>
      </c>
      <c r="I1173" s="142" t="s">
        <v>46</v>
      </c>
      <c r="J1173" s="157">
        <v>4</v>
      </c>
      <c r="K1173" s="143">
        <v>25</v>
      </c>
      <c r="L1173" s="143">
        <f>K1173*J1173</f>
        <v>100</v>
      </c>
      <c r="M1173" s="156">
        <f>L1173</f>
        <v>100</v>
      </c>
      <c r="N1173" s="141">
        <v>46080</v>
      </c>
      <c r="O1173" s="157">
        <f>WEEKNUM(N1173)</f>
        <v>9</v>
      </c>
      <c r="P1173" s="140"/>
      <c r="Q1173" s="142" t="s">
        <v>29</v>
      </c>
      <c r="R1173" s="143">
        <f>PRODUCT(0.25*J1173)</f>
        <v>1</v>
      </c>
      <c r="S1173" s="143">
        <f>J1173*1.5</f>
        <v>6</v>
      </c>
      <c r="T1173" s="143">
        <f>J1173*1.5</f>
        <v>6</v>
      </c>
      <c r="U1173" s="143">
        <f>J1173*0.5</f>
        <v>2</v>
      </c>
      <c r="V1173" s="143">
        <f>U1173+T1173+S1173+R1173</f>
        <v>15</v>
      </c>
    </row>
    <row r="1174" spans="1:22" s="128" customFormat="1" ht="15.6" hidden="1" x14ac:dyDescent="0.3">
      <c r="A1174" s="142" t="s">
        <v>477</v>
      </c>
      <c r="B1174" s="142">
        <v>459</v>
      </c>
      <c r="C1174" s="141">
        <v>46079</v>
      </c>
      <c r="D1174" s="140">
        <f>WEEKNUM(C1174)</f>
        <v>9</v>
      </c>
      <c r="E1174" s="140" t="s">
        <v>475</v>
      </c>
      <c r="F1174" s="142" t="s">
        <v>989</v>
      </c>
      <c r="G1174" s="140" t="s">
        <v>480</v>
      </c>
      <c r="H1174" s="142" t="s">
        <v>51</v>
      </c>
      <c r="I1174" s="142" t="s">
        <v>46</v>
      </c>
      <c r="J1174" s="157">
        <v>100</v>
      </c>
      <c r="K1174" s="143">
        <v>19.5</v>
      </c>
      <c r="L1174" s="143">
        <f>K1174*J1174</f>
        <v>1950</v>
      </c>
      <c r="M1174" s="143">
        <f>L1174/2</f>
        <v>975</v>
      </c>
      <c r="N1174" s="141">
        <v>46107</v>
      </c>
      <c r="O1174" s="157">
        <f>WEEKNUM(N1174)</f>
        <v>13</v>
      </c>
      <c r="P1174" s="140"/>
      <c r="Q1174" s="142" t="s">
        <v>29</v>
      </c>
      <c r="R1174" s="143">
        <f>PRODUCT(0.25*J1174)</f>
        <v>25</v>
      </c>
      <c r="S1174" s="143">
        <f>J1174*1.5</f>
        <v>150</v>
      </c>
      <c r="T1174" s="143">
        <f>J1174*1.5</f>
        <v>150</v>
      </c>
      <c r="U1174" s="143">
        <f>J1174*0.5</f>
        <v>50</v>
      </c>
      <c r="V1174" s="143">
        <f>U1174+T1174+S1174+R1174</f>
        <v>375</v>
      </c>
    </row>
    <row r="1175" spans="1:22" s="128" customFormat="1" ht="15.6" hidden="1" x14ac:dyDescent="0.3">
      <c r="A1175" s="142" t="s">
        <v>477</v>
      </c>
      <c r="B1175" s="142">
        <v>463</v>
      </c>
      <c r="C1175" s="141">
        <v>46083</v>
      </c>
      <c r="D1175" s="140">
        <f>WEEKNUM(C1175)</f>
        <v>10</v>
      </c>
      <c r="E1175" s="140" t="s">
        <v>475</v>
      </c>
      <c r="F1175" s="142" t="s">
        <v>517</v>
      </c>
      <c r="G1175" s="142" t="s">
        <v>515</v>
      </c>
      <c r="H1175" s="142" t="s">
        <v>60</v>
      </c>
      <c r="I1175" s="142" t="s">
        <v>61</v>
      </c>
      <c r="J1175" s="157">
        <v>300</v>
      </c>
      <c r="K1175" s="143">
        <v>15.9</v>
      </c>
      <c r="L1175" s="143">
        <f>K1175*J1175</f>
        <v>4770</v>
      </c>
      <c r="M1175" s="143">
        <v>0</v>
      </c>
      <c r="N1175" s="141">
        <v>46111</v>
      </c>
      <c r="O1175" s="157">
        <f>WEEKNUM(N1175)</f>
        <v>14</v>
      </c>
      <c r="P1175" s="140"/>
      <c r="Q1175" s="142" t="s">
        <v>29</v>
      </c>
      <c r="R1175" s="143">
        <f>PRODUCT(0.25*J1175)</f>
        <v>75</v>
      </c>
      <c r="S1175" s="143">
        <f>J1175*1.5</f>
        <v>450</v>
      </c>
      <c r="T1175" s="143">
        <f>J1175*1.5</f>
        <v>450</v>
      </c>
      <c r="U1175" s="143">
        <f>J1175*0.5</f>
        <v>150</v>
      </c>
      <c r="V1175" s="143">
        <f>U1175+T1175+S1175+R1175</f>
        <v>1125</v>
      </c>
    </row>
    <row r="1176" spans="1:22" s="128" customFormat="1" ht="15.6" hidden="1" x14ac:dyDescent="0.3">
      <c r="A1176" s="142" t="s">
        <v>477</v>
      </c>
      <c r="B1176" s="142">
        <v>464</v>
      </c>
      <c r="C1176" s="141">
        <v>46083</v>
      </c>
      <c r="D1176" s="140">
        <f>WEEKNUM(C1176)</f>
        <v>10</v>
      </c>
      <c r="E1176" s="140" t="s">
        <v>475</v>
      </c>
      <c r="F1176" s="142" t="s">
        <v>538</v>
      </c>
      <c r="G1176" s="142" t="s">
        <v>301</v>
      </c>
      <c r="H1176" s="142" t="s">
        <v>74</v>
      </c>
      <c r="I1176" s="142" t="s">
        <v>46</v>
      </c>
      <c r="J1176" s="157">
        <v>30</v>
      </c>
      <c r="K1176" s="143">
        <v>37</v>
      </c>
      <c r="L1176" s="143">
        <f>K1176*J1176</f>
        <v>1110</v>
      </c>
      <c r="M1176" s="143">
        <f>L1176</f>
        <v>1110</v>
      </c>
      <c r="N1176" s="141">
        <v>46111</v>
      </c>
      <c r="O1176" s="157">
        <f>WEEKNUM(N1176)</f>
        <v>14</v>
      </c>
      <c r="P1176" s="140"/>
      <c r="Q1176" s="142" t="s">
        <v>29</v>
      </c>
      <c r="R1176" s="143">
        <f>PRODUCT(0.25*J1176)</f>
        <v>7.5</v>
      </c>
      <c r="S1176" s="143">
        <f>J1176*1.5</f>
        <v>45</v>
      </c>
      <c r="T1176" s="143">
        <f>J1176*1.5</f>
        <v>45</v>
      </c>
      <c r="U1176" s="143">
        <f>J1176*0.5</f>
        <v>15</v>
      </c>
      <c r="V1176" s="143">
        <f>U1176+T1176+S1176+R1176</f>
        <v>112.5</v>
      </c>
    </row>
    <row r="1177" spans="1:22" s="128" customFormat="1" ht="15.6" hidden="1" x14ac:dyDescent="0.3">
      <c r="A1177" s="142" t="s">
        <v>477</v>
      </c>
      <c r="B1177" s="142">
        <v>464</v>
      </c>
      <c r="C1177" s="141">
        <v>46083</v>
      </c>
      <c r="D1177" s="140">
        <f>WEEKNUM(C1177)</f>
        <v>10</v>
      </c>
      <c r="E1177" s="140" t="s">
        <v>475</v>
      </c>
      <c r="F1177" s="142" t="s">
        <v>538</v>
      </c>
      <c r="G1177" s="142" t="s">
        <v>539</v>
      </c>
      <c r="H1177" s="142" t="s">
        <v>340</v>
      </c>
      <c r="I1177" s="142" t="s">
        <v>46</v>
      </c>
      <c r="J1177" s="157">
        <v>10</v>
      </c>
      <c r="K1177" s="143">
        <v>75</v>
      </c>
      <c r="L1177" s="143">
        <f>K1177*J1177</f>
        <v>750</v>
      </c>
      <c r="M1177" s="143">
        <f>L1177</f>
        <v>750</v>
      </c>
      <c r="N1177" s="141">
        <v>46111</v>
      </c>
      <c r="O1177" s="157">
        <f>WEEKNUM(N1177)</f>
        <v>14</v>
      </c>
      <c r="P1177" s="140"/>
      <c r="Q1177" s="142" t="s">
        <v>29</v>
      </c>
      <c r="R1177" s="143">
        <f>PRODUCT(0.25*J1177)</f>
        <v>2.5</v>
      </c>
      <c r="S1177" s="143">
        <f>J1177*1.5</f>
        <v>15</v>
      </c>
      <c r="T1177" s="143">
        <f>J1177*1.5</f>
        <v>15</v>
      </c>
      <c r="U1177" s="143">
        <f>J1177*0.5</f>
        <v>5</v>
      </c>
      <c r="V1177" s="143">
        <f>U1177+T1177+S1177+R1177</f>
        <v>37.5</v>
      </c>
    </row>
    <row r="1178" spans="1:22" s="128" customFormat="1" ht="15.6" hidden="1" x14ac:dyDescent="0.3">
      <c r="A1178" s="142" t="s">
        <v>477</v>
      </c>
      <c r="B1178" s="142">
        <v>1058</v>
      </c>
      <c r="C1178" s="141">
        <v>46083</v>
      </c>
      <c r="D1178" s="140">
        <f>WEEKNUM(C1178)</f>
        <v>10</v>
      </c>
      <c r="E1178" s="142" t="s">
        <v>498</v>
      </c>
      <c r="F1178" s="140" t="s">
        <v>459</v>
      </c>
      <c r="G1178" s="142" t="s">
        <v>906</v>
      </c>
      <c r="H1178" s="142" t="s">
        <v>907</v>
      </c>
      <c r="I1178" s="142" t="s">
        <v>46</v>
      </c>
      <c r="J1178" s="157">
        <v>1500</v>
      </c>
      <c r="K1178" s="143">
        <v>15.7</v>
      </c>
      <c r="L1178" s="143">
        <f>K1178*J1178</f>
        <v>23550</v>
      </c>
      <c r="M1178" s="143">
        <v>23550</v>
      </c>
      <c r="N1178" s="141">
        <v>46108</v>
      </c>
      <c r="O1178" s="157">
        <f>WEEKNUM(N1178)</f>
        <v>13</v>
      </c>
      <c r="P1178" s="140"/>
      <c r="Q1178" s="142" t="s">
        <v>29</v>
      </c>
      <c r="R1178" s="143">
        <f>PRODUCT(0.25*J1178)</f>
        <v>375</v>
      </c>
      <c r="S1178" s="143">
        <f>J1178*1.5</f>
        <v>2250</v>
      </c>
      <c r="T1178" s="143">
        <f>J1178*1.5</f>
        <v>2250</v>
      </c>
      <c r="U1178" s="143">
        <f>J1178*0.5</f>
        <v>750</v>
      </c>
      <c r="V1178" s="143">
        <f>U1178+T1178+S1178+R1178</f>
        <v>5625</v>
      </c>
    </row>
    <row r="1179" spans="1:22" s="128" customFormat="1" ht="15.6" hidden="1" x14ac:dyDescent="0.3">
      <c r="A1179" s="142" t="s">
        <v>496</v>
      </c>
      <c r="B1179" s="142">
        <v>465</v>
      </c>
      <c r="C1179" s="141">
        <v>46084</v>
      </c>
      <c r="D1179" s="140">
        <f>WEEKNUM(C1179)</f>
        <v>10</v>
      </c>
      <c r="E1179" s="142" t="s">
        <v>68</v>
      </c>
      <c r="F1179" s="195" t="s">
        <v>319</v>
      </c>
      <c r="G1179" s="142" t="s">
        <v>301</v>
      </c>
      <c r="H1179" s="142" t="s">
        <v>74</v>
      </c>
      <c r="I1179" s="142" t="s">
        <v>46</v>
      </c>
      <c r="J1179" s="157">
        <v>6</v>
      </c>
      <c r="K1179" s="143">
        <v>36.75</v>
      </c>
      <c r="L1179" s="143">
        <f>K1179*J1179</f>
        <v>220.5</v>
      </c>
      <c r="M1179" s="156">
        <f>L1179</f>
        <v>220.5</v>
      </c>
      <c r="N1179" s="141">
        <v>46087</v>
      </c>
      <c r="O1179" s="157">
        <f>WEEKNUM(N1179)</f>
        <v>10</v>
      </c>
      <c r="P1179" s="140"/>
      <c r="Q1179" s="142" t="s">
        <v>29</v>
      </c>
      <c r="R1179" s="143">
        <f>PRODUCT(0.25*J1179)</f>
        <v>1.5</v>
      </c>
      <c r="S1179" s="143">
        <f>J1179*1.5</f>
        <v>9</v>
      </c>
      <c r="T1179" s="143">
        <f>J1179*1.5</f>
        <v>9</v>
      </c>
      <c r="U1179" s="143">
        <f>J1179*0.5</f>
        <v>3</v>
      </c>
      <c r="V1179" s="143">
        <f>U1179+T1179+S1179+R1179</f>
        <v>22.5</v>
      </c>
    </row>
    <row r="1180" spans="1:22" s="128" customFormat="1" ht="15.6" hidden="1" x14ac:dyDescent="0.3">
      <c r="A1180" s="142" t="s">
        <v>496</v>
      </c>
      <c r="B1180" s="142">
        <v>465</v>
      </c>
      <c r="C1180" s="141">
        <v>46084</v>
      </c>
      <c r="D1180" s="140">
        <f>WEEKNUM(C1180)</f>
        <v>10</v>
      </c>
      <c r="E1180" s="142" t="s">
        <v>68</v>
      </c>
      <c r="F1180" s="195" t="s">
        <v>319</v>
      </c>
      <c r="G1180" s="140" t="s">
        <v>503</v>
      </c>
      <c r="H1180" s="142" t="s">
        <v>354</v>
      </c>
      <c r="I1180" s="142" t="s">
        <v>46</v>
      </c>
      <c r="J1180" s="157">
        <v>15</v>
      </c>
      <c r="K1180" s="143">
        <v>36.75</v>
      </c>
      <c r="L1180" s="143">
        <f>K1180*J1180</f>
        <v>551.25</v>
      </c>
      <c r="M1180" s="156">
        <f>L1180</f>
        <v>551.25</v>
      </c>
      <c r="N1180" s="141">
        <v>46087</v>
      </c>
      <c r="O1180" s="157">
        <f>WEEKNUM(N1180)</f>
        <v>10</v>
      </c>
      <c r="P1180" s="140"/>
      <c r="Q1180" s="142" t="s">
        <v>29</v>
      </c>
      <c r="R1180" s="143">
        <f>PRODUCT(0.25*J1180)</f>
        <v>3.75</v>
      </c>
      <c r="S1180" s="143">
        <f>J1180*1.5</f>
        <v>22.5</v>
      </c>
      <c r="T1180" s="143">
        <f>J1180*1.5</f>
        <v>22.5</v>
      </c>
      <c r="U1180" s="143">
        <f>J1180*0.5</f>
        <v>7.5</v>
      </c>
      <c r="V1180" s="143">
        <f>U1180+T1180+S1180+R1180</f>
        <v>56.25</v>
      </c>
    </row>
    <row r="1181" spans="1:22" s="128" customFormat="1" ht="15.6" hidden="1" x14ac:dyDescent="0.3">
      <c r="A1181" s="142" t="s">
        <v>496</v>
      </c>
      <c r="B1181" s="142">
        <v>465</v>
      </c>
      <c r="C1181" s="141">
        <v>46084</v>
      </c>
      <c r="D1181" s="140">
        <f>WEEKNUM(C1181)</f>
        <v>10</v>
      </c>
      <c r="E1181" s="142" t="s">
        <v>68</v>
      </c>
      <c r="F1181" s="195" t="s">
        <v>319</v>
      </c>
      <c r="G1181" s="142" t="s">
        <v>311</v>
      </c>
      <c r="H1181" s="142" t="s">
        <v>51</v>
      </c>
      <c r="I1181" s="142" t="s">
        <v>46</v>
      </c>
      <c r="J1181" s="157">
        <v>4</v>
      </c>
      <c r="K1181" s="143">
        <v>25</v>
      </c>
      <c r="L1181" s="143">
        <f>K1181*J1181</f>
        <v>100</v>
      </c>
      <c r="M1181" s="156">
        <f>L1181</f>
        <v>100</v>
      </c>
      <c r="N1181" s="141">
        <v>46087</v>
      </c>
      <c r="O1181" s="157">
        <f>WEEKNUM(N1181)</f>
        <v>10</v>
      </c>
      <c r="P1181" s="140"/>
      <c r="Q1181" s="142" t="s">
        <v>29</v>
      </c>
      <c r="R1181" s="143">
        <f>PRODUCT(0.25*J1181)</f>
        <v>1</v>
      </c>
      <c r="S1181" s="143">
        <f>J1181*1.5</f>
        <v>6</v>
      </c>
      <c r="T1181" s="143">
        <f>J1181*1.5</f>
        <v>6</v>
      </c>
      <c r="U1181" s="143">
        <f>J1181*0.5</f>
        <v>2</v>
      </c>
      <c r="V1181" s="143">
        <f>U1181+T1181+S1181+R1181</f>
        <v>15</v>
      </c>
    </row>
    <row r="1182" spans="1:22" s="128" customFormat="1" ht="15.6" hidden="1" x14ac:dyDescent="0.3">
      <c r="A1182" s="142" t="s">
        <v>477</v>
      </c>
      <c r="B1182" s="142">
        <v>1060</v>
      </c>
      <c r="C1182" s="141">
        <v>46084</v>
      </c>
      <c r="D1182" s="140">
        <f>WEEKNUM(C1182)</f>
        <v>10</v>
      </c>
      <c r="E1182" s="140" t="s">
        <v>475</v>
      </c>
      <c r="F1182" s="142" t="s">
        <v>843</v>
      </c>
      <c r="G1182" s="142" t="s">
        <v>301</v>
      </c>
      <c r="H1182" s="142" t="s">
        <v>74</v>
      </c>
      <c r="I1182" s="142" t="s">
        <v>46</v>
      </c>
      <c r="J1182" s="157">
        <v>100</v>
      </c>
      <c r="K1182" s="143">
        <v>28</v>
      </c>
      <c r="L1182" s="143">
        <f>K1182*J1182</f>
        <v>2800</v>
      </c>
      <c r="M1182" s="143">
        <f>L1182/2</f>
        <v>1400</v>
      </c>
      <c r="N1182" s="141">
        <v>46112</v>
      </c>
      <c r="O1182" s="157">
        <f>WEEKNUM(N1182)</f>
        <v>14</v>
      </c>
      <c r="P1182" s="140"/>
      <c r="Q1182" s="142" t="s">
        <v>29</v>
      </c>
      <c r="R1182" s="143">
        <f>PRODUCT(0.25*J1182)</f>
        <v>25</v>
      </c>
      <c r="S1182" s="143">
        <f>J1182*1.5</f>
        <v>150</v>
      </c>
      <c r="T1182" s="143">
        <f>J1182*1.5</f>
        <v>150</v>
      </c>
      <c r="U1182" s="143">
        <f>J1182*0.5</f>
        <v>50</v>
      </c>
      <c r="V1182" s="143">
        <f>U1182+T1182+S1182+R1182</f>
        <v>375</v>
      </c>
    </row>
    <row r="1183" spans="1:22" s="128" customFormat="1" ht="15.6" hidden="1" x14ac:dyDescent="0.3">
      <c r="A1183" s="142" t="s">
        <v>486</v>
      </c>
      <c r="B1183" s="142">
        <v>466</v>
      </c>
      <c r="C1183" s="141">
        <v>46085</v>
      </c>
      <c r="D1183" s="140">
        <f>WEEKNUM(C1183)</f>
        <v>10</v>
      </c>
      <c r="E1183" s="140" t="s">
        <v>475</v>
      </c>
      <c r="F1183" s="142" t="s">
        <v>738</v>
      </c>
      <c r="G1183" s="140" t="s">
        <v>480</v>
      </c>
      <c r="H1183" s="142" t="s">
        <v>51</v>
      </c>
      <c r="I1183" s="142" t="s">
        <v>46</v>
      </c>
      <c r="J1183" s="157">
        <v>200</v>
      </c>
      <c r="K1183" s="143">
        <v>25</v>
      </c>
      <c r="L1183" s="143">
        <f>K1183*J1183</f>
        <v>5000</v>
      </c>
      <c r="M1183" s="143">
        <f>L1183</f>
        <v>5000</v>
      </c>
      <c r="N1183" s="141">
        <v>46113</v>
      </c>
      <c r="O1183" s="157">
        <f>WEEKNUM(N1183)</f>
        <v>14</v>
      </c>
      <c r="P1183" s="140"/>
      <c r="Q1183" s="142" t="s">
        <v>29</v>
      </c>
      <c r="R1183" s="143">
        <f>PRODUCT(0.25*J1183)</f>
        <v>50</v>
      </c>
      <c r="S1183" s="143">
        <f>J1183*1.5</f>
        <v>300</v>
      </c>
      <c r="T1183" s="143">
        <f>J1183*1.5</f>
        <v>300</v>
      </c>
      <c r="U1183" s="143">
        <f>J1183*0.5</f>
        <v>100</v>
      </c>
      <c r="V1183" s="143">
        <f>U1183+T1183+S1183+R1183</f>
        <v>750</v>
      </c>
    </row>
    <row r="1184" spans="1:22" s="128" customFormat="1" ht="15.6" hidden="1" x14ac:dyDescent="0.3">
      <c r="A1184" s="142" t="s">
        <v>486</v>
      </c>
      <c r="B1184" s="142">
        <v>427</v>
      </c>
      <c r="C1184" s="141">
        <v>46085</v>
      </c>
      <c r="D1184" s="140">
        <f>WEEKNUM(C1184)</f>
        <v>10</v>
      </c>
      <c r="E1184" s="140" t="s">
        <v>475</v>
      </c>
      <c r="F1184" s="142" t="s">
        <v>888</v>
      </c>
      <c r="G1184" s="142" t="s">
        <v>218</v>
      </c>
      <c r="H1184" s="142" t="s">
        <v>51</v>
      </c>
      <c r="I1184" s="142" t="s">
        <v>46</v>
      </c>
      <c r="J1184" s="157">
        <v>50</v>
      </c>
      <c r="K1184" s="143">
        <v>35</v>
      </c>
      <c r="L1184" s="143">
        <f>K1184*J1184</f>
        <v>1750</v>
      </c>
      <c r="M1184" s="143">
        <v>0</v>
      </c>
      <c r="N1184" s="141">
        <v>46113</v>
      </c>
      <c r="O1184" s="157">
        <f>WEEKNUM(N1184)</f>
        <v>14</v>
      </c>
      <c r="P1184" s="140"/>
      <c r="Q1184" s="142" t="s">
        <v>29</v>
      </c>
      <c r="R1184" s="143">
        <f>PRODUCT(0.25*J1184)</f>
        <v>12.5</v>
      </c>
      <c r="S1184" s="143">
        <f>J1184*1.5</f>
        <v>75</v>
      </c>
      <c r="T1184" s="143">
        <f>J1184*1.5</f>
        <v>75</v>
      </c>
      <c r="U1184" s="143">
        <f>J1184*0.5</f>
        <v>25</v>
      </c>
      <c r="V1184" s="143">
        <f>U1184+T1184+S1184+R1184</f>
        <v>187.5</v>
      </c>
    </row>
    <row r="1185" spans="1:22" s="128" customFormat="1" ht="15.6" hidden="1" x14ac:dyDescent="0.3">
      <c r="A1185" s="142" t="s">
        <v>477</v>
      </c>
      <c r="B1185" s="142">
        <v>1062</v>
      </c>
      <c r="C1185" s="141">
        <v>46085</v>
      </c>
      <c r="D1185" s="140">
        <f>WEEKNUM(C1185)</f>
        <v>10</v>
      </c>
      <c r="E1185" s="140" t="s">
        <v>475</v>
      </c>
      <c r="F1185" s="142" t="s">
        <v>888</v>
      </c>
      <c r="G1185" s="142" t="s">
        <v>784</v>
      </c>
      <c r="H1185" s="142" t="s">
        <v>304</v>
      </c>
      <c r="I1185" s="142" t="s">
        <v>61</v>
      </c>
      <c r="J1185" s="157">
        <v>500</v>
      </c>
      <c r="K1185" s="143">
        <v>26.5</v>
      </c>
      <c r="L1185" s="143">
        <f>K1185*J1185</f>
        <v>13250</v>
      </c>
      <c r="M1185" s="143">
        <v>6625</v>
      </c>
      <c r="N1185" s="141">
        <v>46115</v>
      </c>
      <c r="O1185" s="157">
        <f>WEEKNUM(N1185)</f>
        <v>14</v>
      </c>
      <c r="P1185" s="140"/>
      <c r="Q1185" s="142" t="s">
        <v>29</v>
      </c>
      <c r="R1185" s="143">
        <f>PRODUCT(0.25*J1185)</f>
        <v>125</v>
      </c>
      <c r="S1185" s="143">
        <f>J1185*1.5</f>
        <v>750</v>
      </c>
      <c r="T1185" s="143">
        <f>J1185*1.5</f>
        <v>750</v>
      </c>
      <c r="U1185" s="143">
        <f>J1185*0.5</f>
        <v>250</v>
      </c>
      <c r="V1185" s="143">
        <f>U1185+T1185+S1185+R1185</f>
        <v>1875</v>
      </c>
    </row>
    <row r="1186" spans="1:22" s="128" customFormat="1" ht="15.6" hidden="1" x14ac:dyDescent="0.3">
      <c r="A1186" s="142" t="s">
        <v>486</v>
      </c>
      <c r="B1186" s="142">
        <v>467</v>
      </c>
      <c r="C1186" s="141">
        <v>46085</v>
      </c>
      <c r="D1186" s="140">
        <f>WEEKNUM(C1186)</f>
        <v>10</v>
      </c>
      <c r="E1186" s="140" t="s">
        <v>475</v>
      </c>
      <c r="F1186" s="142" t="s">
        <v>635</v>
      </c>
      <c r="G1186" s="142" t="s">
        <v>515</v>
      </c>
      <c r="H1186" s="142" t="s">
        <v>60</v>
      </c>
      <c r="I1186" s="142" t="s">
        <v>61</v>
      </c>
      <c r="J1186" s="157">
        <v>200</v>
      </c>
      <c r="K1186" s="143">
        <v>14.99</v>
      </c>
      <c r="L1186" s="143">
        <f>K1186*J1186</f>
        <v>2998</v>
      </c>
      <c r="M1186" s="143">
        <v>0</v>
      </c>
      <c r="N1186" s="141">
        <v>46114</v>
      </c>
      <c r="O1186" s="157">
        <f>WEEKNUM(N1186)</f>
        <v>14</v>
      </c>
      <c r="P1186" s="140"/>
      <c r="Q1186" s="142" t="s">
        <v>29</v>
      </c>
      <c r="R1186" s="143">
        <f>PRODUCT(0.25*J1186)</f>
        <v>50</v>
      </c>
      <c r="S1186" s="143">
        <f>J1186*1.5</f>
        <v>300</v>
      </c>
      <c r="T1186" s="143">
        <f>J1186*1.5</f>
        <v>300</v>
      </c>
      <c r="U1186" s="143">
        <f>J1186*0.5</f>
        <v>100</v>
      </c>
      <c r="V1186" s="143">
        <f>U1186+T1186+S1186+R1186</f>
        <v>750</v>
      </c>
    </row>
    <row r="1187" spans="1:22" s="128" customFormat="1" ht="15.6" hidden="1" x14ac:dyDescent="0.3">
      <c r="A1187" s="142" t="s">
        <v>486</v>
      </c>
      <c r="B1187" s="142">
        <v>471</v>
      </c>
      <c r="C1187" s="141">
        <v>46086</v>
      </c>
      <c r="D1187" s="140">
        <f>WEEKNUM(C1187)</f>
        <v>10</v>
      </c>
      <c r="E1187" s="140" t="s">
        <v>475</v>
      </c>
      <c r="F1187" s="142" t="s">
        <v>634</v>
      </c>
      <c r="G1187" s="142" t="s">
        <v>515</v>
      </c>
      <c r="H1187" s="142" t="s">
        <v>60</v>
      </c>
      <c r="I1187" s="142" t="s">
        <v>61</v>
      </c>
      <c r="J1187" s="157">
        <v>100</v>
      </c>
      <c r="K1187" s="143">
        <v>18</v>
      </c>
      <c r="L1187" s="143">
        <f>K1187*J1187</f>
        <v>1800</v>
      </c>
      <c r="M1187" s="143">
        <v>0</v>
      </c>
      <c r="N1187" s="141">
        <v>46119</v>
      </c>
      <c r="O1187" s="157">
        <f>WEEKNUM(N1187)</f>
        <v>15</v>
      </c>
      <c r="P1187" s="140"/>
      <c r="Q1187" s="142" t="s">
        <v>29</v>
      </c>
      <c r="R1187" s="143">
        <f>PRODUCT(0.25*J1187)</f>
        <v>25</v>
      </c>
      <c r="S1187" s="143">
        <f>J1187*1.5</f>
        <v>150</v>
      </c>
      <c r="T1187" s="143">
        <f>J1187*1.5</f>
        <v>150</v>
      </c>
      <c r="U1187" s="143">
        <f>J1187*0.5</f>
        <v>50</v>
      </c>
      <c r="V1187" s="143">
        <f>U1187+T1187+S1187+R1187</f>
        <v>375</v>
      </c>
    </row>
    <row r="1188" spans="1:22" s="128" customFormat="1" ht="15.6" hidden="1" x14ac:dyDescent="0.3">
      <c r="A1188" s="142" t="s">
        <v>477</v>
      </c>
      <c r="B1188" s="142">
        <v>1072</v>
      </c>
      <c r="C1188" s="141">
        <v>46086</v>
      </c>
      <c r="D1188" s="140">
        <f>WEEKNUM(C1188)</f>
        <v>10</v>
      </c>
      <c r="E1188" s="142" t="s">
        <v>55</v>
      </c>
      <c r="F1188" s="142" t="s">
        <v>652</v>
      </c>
      <c r="G1188" s="140" t="s">
        <v>658</v>
      </c>
      <c r="H1188" s="142" t="s">
        <v>304</v>
      </c>
      <c r="I1188" s="142" t="s">
        <v>46</v>
      </c>
      <c r="J1188" s="157">
        <v>5000</v>
      </c>
      <c r="K1188" s="143">
        <v>8.1999999999999993</v>
      </c>
      <c r="L1188" s="143">
        <f>K1188*J1188</f>
        <v>41000</v>
      </c>
      <c r="M1188" s="143">
        <f>L1188</f>
        <v>41000</v>
      </c>
      <c r="N1188" s="141">
        <v>46114</v>
      </c>
      <c r="O1188" s="157">
        <f>WEEKNUM(N1188)</f>
        <v>14</v>
      </c>
      <c r="P1188" s="140"/>
      <c r="Q1188" s="142" t="s">
        <v>29</v>
      </c>
      <c r="R1188" s="143">
        <f>PRODUCT(0.25*J1188)</f>
        <v>1250</v>
      </c>
      <c r="S1188" s="143">
        <f>J1188*1.5</f>
        <v>7500</v>
      </c>
      <c r="T1188" s="143">
        <f>J1188*1.5</f>
        <v>7500</v>
      </c>
      <c r="U1188" s="143">
        <f>J1188*0.5</f>
        <v>2500</v>
      </c>
      <c r="V1188" s="143">
        <f>U1188+T1188+S1188+R1188</f>
        <v>18750</v>
      </c>
    </row>
    <row r="1189" spans="1:22" s="128" customFormat="1" ht="15.6" hidden="1" x14ac:dyDescent="0.3">
      <c r="A1189" s="142" t="s">
        <v>477</v>
      </c>
      <c r="B1189" s="142">
        <v>1063</v>
      </c>
      <c r="C1189" s="141">
        <v>46086</v>
      </c>
      <c r="D1189" s="140">
        <f>WEEKNUM(C1189)</f>
        <v>10</v>
      </c>
      <c r="E1189" s="142" t="s">
        <v>55</v>
      </c>
      <c r="F1189" s="142" t="s">
        <v>652</v>
      </c>
      <c r="G1189" s="142" t="s">
        <v>659</v>
      </c>
      <c r="H1189" s="142" t="s">
        <v>304</v>
      </c>
      <c r="I1189" s="142" t="s">
        <v>61</v>
      </c>
      <c r="J1189" s="157">
        <v>9000</v>
      </c>
      <c r="K1189" s="143">
        <v>11</v>
      </c>
      <c r="L1189" s="143">
        <f>K1189*J1189</f>
        <v>99000</v>
      </c>
      <c r="M1189" s="143">
        <f>L1189</f>
        <v>99000</v>
      </c>
      <c r="N1189" s="141">
        <v>46118</v>
      </c>
      <c r="O1189" s="157">
        <f>WEEKNUM(N1189)</f>
        <v>15</v>
      </c>
      <c r="P1189" s="140"/>
      <c r="Q1189" s="142" t="s">
        <v>29</v>
      </c>
      <c r="R1189" s="143">
        <f>PRODUCT(0.25*J1189)</f>
        <v>2250</v>
      </c>
      <c r="S1189" s="143">
        <f>J1189*1.5</f>
        <v>13500</v>
      </c>
      <c r="T1189" s="143">
        <f>J1189*1.5</f>
        <v>13500</v>
      </c>
      <c r="U1189" s="143">
        <f>J1189*0.5</f>
        <v>4500</v>
      </c>
      <c r="V1189" s="143">
        <f>U1189+T1189+S1189+R1189</f>
        <v>33750</v>
      </c>
    </row>
    <row r="1190" spans="1:22" s="128" customFormat="1" ht="15.6" hidden="1" x14ac:dyDescent="0.3">
      <c r="A1190" s="142" t="s">
        <v>477</v>
      </c>
      <c r="B1190" s="142">
        <v>1064</v>
      </c>
      <c r="C1190" s="141">
        <v>46086</v>
      </c>
      <c r="D1190" s="140">
        <f>WEEKNUM(C1190)</f>
        <v>10</v>
      </c>
      <c r="E1190" s="140" t="s">
        <v>475</v>
      </c>
      <c r="F1190" s="142" t="s">
        <v>888</v>
      </c>
      <c r="G1190" s="140" t="s">
        <v>480</v>
      </c>
      <c r="H1190" s="142" t="s">
        <v>51</v>
      </c>
      <c r="I1190" s="142" t="s">
        <v>46</v>
      </c>
      <c r="J1190" s="157">
        <v>350</v>
      </c>
      <c r="K1190" s="143">
        <v>17.5</v>
      </c>
      <c r="L1190" s="143">
        <f>K1190*J1190</f>
        <v>6125</v>
      </c>
      <c r="M1190" s="143">
        <v>6125</v>
      </c>
      <c r="N1190" s="141">
        <v>46114</v>
      </c>
      <c r="O1190" s="157">
        <f>WEEKNUM(N1190)</f>
        <v>14</v>
      </c>
      <c r="P1190" s="140"/>
      <c r="Q1190" s="142" t="s">
        <v>29</v>
      </c>
      <c r="R1190" s="143">
        <f>PRODUCT(0.25*J1190)</f>
        <v>87.5</v>
      </c>
      <c r="S1190" s="143">
        <f>J1190*1.5</f>
        <v>525</v>
      </c>
      <c r="T1190" s="143">
        <f>J1190*1.5</f>
        <v>525</v>
      </c>
      <c r="U1190" s="143">
        <f>J1190*0.5</f>
        <v>175</v>
      </c>
      <c r="V1190" s="143">
        <f>U1190+T1190+S1190+R1190</f>
        <v>1312.5</v>
      </c>
    </row>
    <row r="1191" spans="1:22" s="128" customFormat="1" ht="15.6" hidden="1" x14ac:dyDescent="0.3">
      <c r="A1191" s="142" t="s">
        <v>477</v>
      </c>
      <c r="B1191" s="142">
        <v>1064</v>
      </c>
      <c r="C1191" s="141">
        <v>46086</v>
      </c>
      <c r="D1191" s="140">
        <f>WEEKNUM(C1191)</f>
        <v>10</v>
      </c>
      <c r="E1191" s="140" t="s">
        <v>475</v>
      </c>
      <c r="F1191" s="142" t="s">
        <v>888</v>
      </c>
      <c r="G1191" s="142" t="s">
        <v>783</v>
      </c>
      <c r="H1191" s="140" t="s">
        <v>494</v>
      </c>
      <c r="I1191" s="142" t="s">
        <v>46</v>
      </c>
      <c r="J1191" s="157">
        <v>200</v>
      </c>
      <c r="K1191" s="143">
        <v>26.5</v>
      </c>
      <c r="L1191" s="143">
        <f>K1191*J1191</f>
        <v>5300</v>
      </c>
      <c r="M1191" s="143">
        <v>5300</v>
      </c>
      <c r="N1191" s="141">
        <v>46114</v>
      </c>
      <c r="O1191" s="157">
        <f>WEEKNUM(N1191)</f>
        <v>14</v>
      </c>
      <c r="P1191" s="140"/>
      <c r="Q1191" s="142" t="s">
        <v>29</v>
      </c>
      <c r="R1191" s="143">
        <f>PRODUCT(0.25*J1191)</f>
        <v>50</v>
      </c>
      <c r="S1191" s="143">
        <f>J1191*1.5</f>
        <v>300</v>
      </c>
      <c r="T1191" s="143">
        <f>J1191*1.5</f>
        <v>300</v>
      </c>
      <c r="U1191" s="143">
        <f>J1191*0.5</f>
        <v>100</v>
      </c>
      <c r="V1191" s="143">
        <f>U1191+T1191+S1191+R1191</f>
        <v>750</v>
      </c>
    </row>
    <row r="1192" spans="1:22" s="128" customFormat="1" ht="15.6" hidden="1" x14ac:dyDescent="0.3">
      <c r="A1192" s="142" t="s">
        <v>477</v>
      </c>
      <c r="B1192" s="142">
        <v>1064</v>
      </c>
      <c r="C1192" s="141">
        <v>46086</v>
      </c>
      <c r="D1192" s="140">
        <f>WEEKNUM(C1192)</f>
        <v>10</v>
      </c>
      <c r="E1192" s="140" t="s">
        <v>475</v>
      </c>
      <c r="F1192" s="142" t="s">
        <v>888</v>
      </c>
      <c r="G1192" s="142" t="s">
        <v>893</v>
      </c>
      <c r="H1192" s="142" t="s">
        <v>892</v>
      </c>
      <c r="I1192" s="142" t="s">
        <v>61</v>
      </c>
      <c r="J1192" s="157">
        <v>500</v>
      </c>
      <c r="K1192" s="143">
        <v>14.5</v>
      </c>
      <c r="L1192" s="143">
        <f>K1192*J1192</f>
        <v>7250</v>
      </c>
      <c r="M1192" s="143">
        <v>7250</v>
      </c>
      <c r="N1192" s="141">
        <v>46114</v>
      </c>
      <c r="O1192" s="157">
        <f>WEEKNUM(N1192)</f>
        <v>14</v>
      </c>
      <c r="P1192" s="140"/>
      <c r="Q1192" s="142" t="s">
        <v>29</v>
      </c>
      <c r="R1192" s="143">
        <f>PRODUCT(0.25*J1192)</f>
        <v>125</v>
      </c>
      <c r="S1192" s="143">
        <f>J1192*1.5</f>
        <v>750</v>
      </c>
      <c r="T1192" s="143">
        <f>J1192*1.5</f>
        <v>750</v>
      </c>
      <c r="U1192" s="143">
        <f>J1192*0.5</f>
        <v>250</v>
      </c>
      <c r="V1192" s="143">
        <f>U1192+T1192+S1192+R1192</f>
        <v>1875</v>
      </c>
    </row>
    <row r="1193" spans="1:22" s="128" customFormat="1" ht="15.6" hidden="1" x14ac:dyDescent="0.3">
      <c r="A1193" s="142" t="s">
        <v>477</v>
      </c>
      <c r="B1193" s="142">
        <v>1064</v>
      </c>
      <c r="C1193" s="141">
        <v>46086</v>
      </c>
      <c r="D1193" s="140">
        <f>WEEKNUM(C1193)</f>
        <v>10</v>
      </c>
      <c r="E1193" s="140" t="s">
        <v>475</v>
      </c>
      <c r="F1193" s="142" t="s">
        <v>888</v>
      </c>
      <c r="G1193" s="142" t="s">
        <v>894</v>
      </c>
      <c r="H1193" s="142" t="s">
        <v>892</v>
      </c>
      <c r="I1193" s="142" t="s">
        <v>61</v>
      </c>
      <c r="J1193" s="157">
        <v>500</v>
      </c>
      <c r="K1193" s="143">
        <v>13</v>
      </c>
      <c r="L1193" s="143">
        <f>K1193*J1193</f>
        <v>6500</v>
      </c>
      <c r="M1193" s="143">
        <f>L1193</f>
        <v>6500</v>
      </c>
      <c r="N1193" s="141">
        <v>46114</v>
      </c>
      <c r="O1193" s="157">
        <f>WEEKNUM(N1193)</f>
        <v>14</v>
      </c>
      <c r="P1193" s="140"/>
      <c r="Q1193" s="142" t="s">
        <v>29</v>
      </c>
      <c r="R1193" s="143"/>
      <c r="S1193" s="143"/>
      <c r="T1193" s="143"/>
      <c r="U1193" s="143"/>
      <c r="V1193" s="143"/>
    </row>
    <row r="1194" spans="1:22" s="128" customFormat="1" ht="15.6" hidden="1" x14ac:dyDescent="0.3">
      <c r="A1194" s="142" t="s">
        <v>477</v>
      </c>
      <c r="B1194" s="142">
        <v>1064</v>
      </c>
      <c r="C1194" s="141">
        <v>46086</v>
      </c>
      <c r="D1194" s="140">
        <f>WEEKNUM(C1194)</f>
        <v>10</v>
      </c>
      <c r="E1194" s="140" t="s">
        <v>475</v>
      </c>
      <c r="F1194" s="142" t="s">
        <v>888</v>
      </c>
      <c r="G1194" s="142" t="s">
        <v>578</v>
      </c>
      <c r="H1194" s="142" t="s">
        <v>354</v>
      </c>
      <c r="I1194" s="142" t="s">
        <v>46</v>
      </c>
      <c r="J1194" s="157">
        <v>400</v>
      </c>
      <c r="K1194" s="143">
        <v>24.5</v>
      </c>
      <c r="L1194" s="143">
        <f>K1194*J1194</f>
        <v>9800</v>
      </c>
      <c r="M1194" s="143">
        <v>196</v>
      </c>
      <c r="N1194" s="141">
        <v>46114</v>
      </c>
      <c r="O1194" s="157">
        <f>WEEKNUM(N1194)</f>
        <v>14</v>
      </c>
      <c r="P1194" s="140"/>
      <c r="Q1194" s="163" t="s">
        <v>29</v>
      </c>
      <c r="R1194" s="143">
        <f>PRODUCT(0.25*J1194)</f>
        <v>100</v>
      </c>
      <c r="S1194" s="143">
        <f>J1194*1.5</f>
        <v>600</v>
      </c>
      <c r="T1194" s="143">
        <f>J1194*1.5</f>
        <v>600</v>
      </c>
      <c r="U1194" s="143">
        <f>J1194*0.5</f>
        <v>200</v>
      </c>
      <c r="V1194" s="143">
        <f>U1194+T1194+S1194+R1194</f>
        <v>1500</v>
      </c>
    </row>
    <row r="1195" spans="1:22" s="128" customFormat="1" ht="15.6" hidden="1" x14ac:dyDescent="0.3">
      <c r="A1195" s="142" t="s">
        <v>477</v>
      </c>
      <c r="B1195" s="142">
        <v>1064</v>
      </c>
      <c r="C1195" s="141">
        <v>46086</v>
      </c>
      <c r="D1195" s="140">
        <f>WEEKNUM(C1195)</f>
        <v>10</v>
      </c>
      <c r="E1195" s="140" t="s">
        <v>475</v>
      </c>
      <c r="F1195" s="142" t="s">
        <v>888</v>
      </c>
      <c r="G1195" s="142" t="s">
        <v>301</v>
      </c>
      <c r="H1195" s="142" t="s">
        <v>74</v>
      </c>
      <c r="I1195" s="142" t="s">
        <v>46</v>
      </c>
      <c r="J1195" s="157">
        <v>400</v>
      </c>
      <c r="K1195" s="143">
        <v>24.5</v>
      </c>
      <c r="L1195" s="143">
        <f>K1195*J1195</f>
        <v>9800</v>
      </c>
      <c r="M1195" s="143">
        <v>220.86</v>
      </c>
      <c r="N1195" s="141">
        <v>46114</v>
      </c>
      <c r="O1195" s="157">
        <f>WEEKNUM(N1195)</f>
        <v>14</v>
      </c>
      <c r="P1195" s="140"/>
      <c r="Q1195" s="142" t="s">
        <v>29</v>
      </c>
      <c r="R1195" s="143">
        <f>PRODUCT(0.25*J1195)</f>
        <v>100</v>
      </c>
      <c r="S1195" s="143">
        <f>J1195*1.5</f>
        <v>600</v>
      </c>
      <c r="T1195" s="143">
        <f>J1195*1.5</f>
        <v>600</v>
      </c>
      <c r="U1195" s="143">
        <f>J1195*0.5</f>
        <v>200</v>
      </c>
      <c r="V1195" s="143">
        <f>U1195+T1195+S1195+R1195</f>
        <v>1500</v>
      </c>
    </row>
    <row r="1196" spans="1:22" s="128" customFormat="1" ht="15.6" hidden="1" x14ac:dyDescent="0.3">
      <c r="A1196" s="142" t="s">
        <v>496</v>
      </c>
      <c r="B1196" s="142">
        <v>469</v>
      </c>
      <c r="C1196" s="141">
        <v>46086</v>
      </c>
      <c r="D1196" s="140">
        <f>WEEKNUM(C1196)</f>
        <v>10</v>
      </c>
      <c r="E1196" s="142" t="s">
        <v>68</v>
      </c>
      <c r="F1196" s="142" t="s">
        <v>362</v>
      </c>
      <c r="G1196" s="142" t="s">
        <v>339</v>
      </c>
      <c r="H1196" s="142" t="s">
        <v>340</v>
      </c>
      <c r="I1196" s="142" t="s">
        <v>61</v>
      </c>
      <c r="J1196" s="157">
        <v>2</v>
      </c>
      <c r="K1196" s="143">
        <v>65</v>
      </c>
      <c r="L1196" s="143">
        <f>K1196*J1196</f>
        <v>130</v>
      </c>
      <c r="M1196" s="156">
        <f>L1196</f>
        <v>130</v>
      </c>
      <c r="N1196" s="141">
        <v>46094</v>
      </c>
      <c r="O1196" s="157">
        <f>WEEKNUM(N1196)</f>
        <v>11</v>
      </c>
      <c r="P1196" s="140"/>
      <c r="Q1196" s="142" t="s">
        <v>29</v>
      </c>
      <c r="R1196" s="143">
        <f>PRODUCT(0.25*J1196)</f>
        <v>0.5</v>
      </c>
      <c r="S1196" s="143">
        <f>J1196*1.5</f>
        <v>3</v>
      </c>
      <c r="T1196" s="143">
        <f>J1196*1.5</f>
        <v>3</v>
      </c>
      <c r="U1196" s="143">
        <f>J1196*0.5</f>
        <v>1</v>
      </c>
      <c r="V1196" s="143">
        <f>U1196+T1196+S1196+R1196</f>
        <v>7.5</v>
      </c>
    </row>
    <row r="1197" spans="1:22" s="128" customFormat="1" ht="15.6" hidden="1" x14ac:dyDescent="0.3">
      <c r="A1197" s="142" t="s">
        <v>496</v>
      </c>
      <c r="B1197" s="142">
        <v>469</v>
      </c>
      <c r="C1197" s="141">
        <v>46086</v>
      </c>
      <c r="D1197" s="140">
        <f>WEEKNUM(C1197)</f>
        <v>10</v>
      </c>
      <c r="E1197" s="142" t="s">
        <v>68</v>
      </c>
      <c r="F1197" s="142" t="s">
        <v>362</v>
      </c>
      <c r="G1197" s="142" t="s">
        <v>408</v>
      </c>
      <c r="H1197" s="142" t="s">
        <v>80</v>
      </c>
      <c r="I1197" s="142" t="s">
        <v>46</v>
      </c>
      <c r="J1197" s="157">
        <v>5</v>
      </c>
      <c r="K1197" s="143">
        <v>21</v>
      </c>
      <c r="L1197" s="143">
        <f>K1197*J1197</f>
        <v>105</v>
      </c>
      <c r="M1197" s="156">
        <f>L1197</f>
        <v>105</v>
      </c>
      <c r="N1197" s="141">
        <v>46094</v>
      </c>
      <c r="O1197" s="157">
        <f>WEEKNUM(N1197)</f>
        <v>11</v>
      </c>
      <c r="P1197" s="140"/>
      <c r="Q1197" s="142" t="s">
        <v>29</v>
      </c>
      <c r="R1197" s="143">
        <f>PRODUCT(0.25*J1197)</f>
        <v>1.25</v>
      </c>
      <c r="S1197" s="143">
        <f>J1197*1.5</f>
        <v>7.5</v>
      </c>
      <c r="T1197" s="143">
        <f>J1197*1.5</f>
        <v>7.5</v>
      </c>
      <c r="U1197" s="143">
        <f>J1197*0.5</f>
        <v>2.5</v>
      </c>
      <c r="V1197" s="143">
        <f>U1197+T1197+S1197+R1197</f>
        <v>18.75</v>
      </c>
    </row>
    <row r="1198" spans="1:22" s="128" customFormat="1" ht="15.6" hidden="1" x14ac:dyDescent="0.3">
      <c r="A1198" s="142" t="s">
        <v>496</v>
      </c>
      <c r="B1198" s="142">
        <v>469</v>
      </c>
      <c r="C1198" s="141">
        <v>46086</v>
      </c>
      <c r="D1198" s="140">
        <f>WEEKNUM(C1198)</f>
        <v>10</v>
      </c>
      <c r="E1198" s="142" t="s">
        <v>68</v>
      </c>
      <c r="F1198" s="142" t="s">
        <v>362</v>
      </c>
      <c r="G1198" s="142" t="s">
        <v>301</v>
      </c>
      <c r="H1198" s="142" t="s">
        <v>74</v>
      </c>
      <c r="I1198" s="142" t="s">
        <v>46</v>
      </c>
      <c r="J1198" s="157">
        <v>8</v>
      </c>
      <c r="K1198" s="143">
        <v>36.75</v>
      </c>
      <c r="L1198" s="143">
        <f>K1198*J1198</f>
        <v>294</v>
      </c>
      <c r="M1198" s="156">
        <f>L1198</f>
        <v>294</v>
      </c>
      <c r="N1198" s="141">
        <v>46094</v>
      </c>
      <c r="O1198" s="157">
        <f>WEEKNUM(N1198)</f>
        <v>11</v>
      </c>
      <c r="P1198" s="155">
        <f>YEAR(O1198)</f>
        <v>1900</v>
      </c>
      <c r="Q1198" s="142" t="s">
        <v>29</v>
      </c>
      <c r="R1198" s="143">
        <f>PRODUCT(0.25*J1198)</f>
        <v>2</v>
      </c>
      <c r="S1198" s="143">
        <f>J1198*1.5</f>
        <v>12</v>
      </c>
      <c r="T1198" s="143">
        <f>J1198*1.5</f>
        <v>12</v>
      </c>
      <c r="U1198" s="143">
        <f>J1198*0.5</f>
        <v>4</v>
      </c>
      <c r="V1198" s="143">
        <f>U1198+T1198+S1198+R1198</f>
        <v>30</v>
      </c>
    </row>
    <row r="1199" spans="1:22" s="128" customFormat="1" ht="15.6" hidden="1" x14ac:dyDescent="0.3">
      <c r="A1199" s="142" t="s">
        <v>496</v>
      </c>
      <c r="B1199" s="142">
        <v>469</v>
      </c>
      <c r="C1199" s="141">
        <v>46086</v>
      </c>
      <c r="D1199" s="140">
        <f>WEEKNUM(C1199)</f>
        <v>10</v>
      </c>
      <c r="E1199" s="142" t="s">
        <v>68</v>
      </c>
      <c r="F1199" s="142" t="s">
        <v>362</v>
      </c>
      <c r="G1199" s="140" t="s">
        <v>503</v>
      </c>
      <c r="H1199" s="142" t="s">
        <v>354</v>
      </c>
      <c r="I1199" s="142" t="s">
        <v>46</v>
      </c>
      <c r="J1199" s="157">
        <v>8</v>
      </c>
      <c r="K1199" s="143">
        <v>36.75</v>
      </c>
      <c r="L1199" s="143">
        <f>K1199*J1199</f>
        <v>294</v>
      </c>
      <c r="M1199" s="156">
        <f>L1199</f>
        <v>294</v>
      </c>
      <c r="N1199" s="141">
        <v>46094</v>
      </c>
      <c r="O1199" s="157">
        <f>WEEKNUM(N1199)</f>
        <v>11</v>
      </c>
      <c r="P1199" s="140"/>
      <c r="Q1199" s="142" t="s">
        <v>29</v>
      </c>
      <c r="R1199" s="143">
        <f>PRODUCT(0.25*J1199)</f>
        <v>2</v>
      </c>
      <c r="S1199" s="143">
        <f>J1199*1.5</f>
        <v>12</v>
      </c>
      <c r="T1199" s="143">
        <f>J1199*1.5</f>
        <v>12</v>
      </c>
      <c r="U1199" s="143">
        <f>J1199*0.5</f>
        <v>4</v>
      </c>
      <c r="V1199" s="143">
        <f>U1199+T1199+S1199+R1199</f>
        <v>30</v>
      </c>
    </row>
    <row r="1200" spans="1:22" s="128" customFormat="1" ht="15.6" hidden="1" x14ac:dyDescent="0.3">
      <c r="A1200" s="142" t="s">
        <v>486</v>
      </c>
      <c r="B1200" s="142">
        <v>473</v>
      </c>
      <c r="C1200" s="141">
        <v>46087</v>
      </c>
      <c r="D1200" s="140">
        <f>WEEKNUM(C1200)</f>
        <v>10</v>
      </c>
      <c r="E1200" s="140" t="s">
        <v>475</v>
      </c>
      <c r="F1200" s="142" t="s">
        <v>492</v>
      </c>
      <c r="G1200" s="142" t="s">
        <v>311</v>
      </c>
      <c r="H1200" s="142" t="s">
        <v>51</v>
      </c>
      <c r="I1200" s="142" t="s">
        <v>46</v>
      </c>
      <c r="J1200" s="157">
        <v>50</v>
      </c>
      <c r="K1200" s="143">
        <v>20</v>
      </c>
      <c r="L1200" s="143">
        <f>K1200*J1200</f>
        <v>1000</v>
      </c>
      <c r="M1200" s="143">
        <v>0</v>
      </c>
      <c r="N1200" s="141">
        <v>46119</v>
      </c>
      <c r="O1200" s="157">
        <f>WEEKNUM(N1200)</f>
        <v>15</v>
      </c>
      <c r="P1200" s="140"/>
      <c r="Q1200" s="142" t="s">
        <v>29</v>
      </c>
      <c r="R1200" s="143">
        <f>PRODUCT(0.25*J1200)</f>
        <v>12.5</v>
      </c>
      <c r="S1200" s="143">
        <f>J1200*1.5</f>
        <v>75</v>
      </c>
      <c r="T1200" s="143">
        <f>J1200*1.5</f>
        <v>75</v>
      </c>
      <c r="U1200" s="143">
        <f>J1200*0.5</f>
        <v>25</v>
      </c>
      <c r="V1200" s="143">
        <f>U1200+T1200+S1200+R1200</f>
        <v>187.5</v>
      </c>
    </row>
    <row r="1201" spans="1:22" s="128" customFormat="1" ht="15.6" hidden="1" x14ac:dyDescent="0.3">
      <c r="A1201" s="142" t="s">
        <v>486</v>
      </c>
      <c r="B1201" s="142">
        <v>473</v>
      </c>
      <c r="C1201" s="141">
        <v>46087</v>
      </c>
      <c r="D1201" s="140">
        <f>WEEKNUM(C1201)</f>
        <v>10</v>
      </c>
      <c r="E1201" s="140" t="s">
        <v>475</v>
      </c>
      <c r="F1201" s="142" t="s">
        <v>492</v>
      </c>
      <c r="G1201" s="142" t="s">
        <v>495</v>
      </c>
      <c r="H1201" s="140" t="s">
        <v>494</v>
      </c>
      <c r="I1201" s="142" t="s">
        <v>46</v>
      </c>
      <c r="J1201" s="157">
        <v>50</v>
      </c>
      <c r="K1201" s="143">
        <v>20</v>
      </c>
      <c r="L1201" s="143">
        <f>K1201*J1201</f>
        <v>1000</v>
      </c>
      <c r="M1201" s="143">
        <v>0</v>
      </c>
      <c r="N1201" s="141">
        <v>46119</v>
      </c>
      <c r="O1201" s="157">
        <f>WEEKNUM(N1201)</f>
        <v>15</v>
      </c>
      <c r="P1201" s="140"/>
      <c r="Q1201" s="142" t="s">
        <v>29</v>
      </c>
      <c r="R1201" s="143">
        <f>PRODUCT(0.25*J1201)</f>
        <v>12.5</v>
      </c>
      <c r="S1201" s="143">
        <f>J1201*1.5</f>
        <v>75</v>
      </c>
      <c r="T1201" s="143">
        <f>J1201*1.5</f>
        <v>75</v>
      </c>
      <c r="U1201" s="143">
        <f>J1201*0.5</f>
        <v>25</v>
      </c>
      <c r="V1201" s="143">
        <f>U1201+T1201+S1201+R1201</f>
        <v>187.5</v>
      </c>
    </row>
    <row r="1202" spans="1:22" s="128" customFormat="1" ht="15.6" hidden="1" x14ac:dyDescent="0.3">
      <c r="A1202" s="142" t="s">
        <v>477</v>
      </c>
      <c r="B1202" s="142">
        <v>216</v>
      </c>
      <c r="C1202" s="141">
        <v>46087</v>
      </c>
      <c r="D1202" s="140">
        <f>WEEKNUM(C1202)</f>
        <v>10</v>
      </c>
      <c r="E1202" s="142" t="s">
        <v>498</v>
      </c>
      <c r="F1202" s="140" t="s">
        <v>446</v>
      </c>
      <c r="G1202" s="142" t="s">
        <v>599</v>
      </c>
      <c r="H1202" s="142" t="s">
        <v>51</v>
      </c>
      <c r="I1202" s="142" t="s">
        <v>46</v>
      </c>
      <c r="J1202" s="157">
        <v>3000</v>
      </c>
      <c r="K1202" s="143">
        <v>23.5</v>
      </c>
      <c r="L1202" s="143">
        <f>K1202*J1202</f>
        <v>70500</v>
      </c>
      <c r="M1202" s="143">
        <f>L1202</f>
        <v>70500</v>
      </c>
      <c r="N1202" s="141">
        <v>46118</v>
      </c>
      <c r="O1202" s="157">
        <f>WEEKNUM(N1202)</f>
        <v>15</v>
      </c>
      <c r="P1202" s="140"/>
      <c r="Q1202" s="142" t="s">
        <v>29</v>
      </c>
      <c r="R1202" s="143">
        <f>PRODUCT(0.25*J1202)</f>
        <v>750</v>
      </c>
      <c r="S1202" s="143">
        <f>J1202*1.5</f>
        <v>4500</v>
      </c>
      <c r="T1202" s="143">
        <f>J1202*1.5</f>
        <v>4500</v>
      </c>
      <c r="U1202" s="143">
        <f>J1202*0.5</f>
        <v>1500</v>
      </c>
      <c r="V1202" s="143">
        <f>U1202+T1202+S1202+R1202</f>
        <v>11250</v>
      </c>
    </row>
    <row r="1203" spans="1:22" s="128" customFormat="1" ht="15.6" hidden="1" x14ac:dyDescent="0.3">
      <c r="A1203" s="142" t="s">
        <v>477</v>
      </c>
      <c r="B1203" s="142">
        <v>1067</v>
      </c>
      <c r="C1203" s="141">
        <v>46087</v>
      </c>
      <c r="D1203" s="140">
        <f>WEEKNUM(C1203)</f>
        <v>10</v>
      </c>
      <c r="E1203" s="142" t="s">
        <v>498</v>
      </c>
      <c r="F1203" s="140" t="s">
        <v>637</v>
      </c>
      <c r="G1203" s="142" t="s">
        <v>559</v>
      </c>
      <c r="H1203" s="142" t="s">
        <v>38</v>
      </c>
      <c r="I1203" s="142" t="s">
        <v>61</v>
      </c>
      <c r="J1203" s="157">
        <v>60</v>
      </c>
      <c r="K1203" s="143">
        <v>55</v>
      </c>
      <c r="L1203" s="143">
        <f>K1203*J1203</f>
        <v>3300</v>
      </c>
      <c r="M1203" s="143">
        <f>L1203</f>
        <v>3300</v>
      </c>
      <c r="N1203" s="141">
        <v>46119</v>
      </c>
      <c r="O1203" s="157">
        <f>WEEKNUM(N1203)</f>
        <v>15</v>
      </c>
      <c r="P1203" s="140"/>
      <c r="Q1203" s="142" t="s">
        <v>29</v>
      </c>
      <c r="R1203" s="143">
        <f>PRODUCT(0.25*J1203)</f>
        <v>15</v>
      </c>
      <c r="S1203" s="143">
        <f>J1203*1.5</f>
        <v>90</v>
      </c>
      <c r="T1203" s="143">
        <f>J1203*1.5</f>
        <v>90</v>
      </c>
      <c r="U1203" s="143">
        <f>J1203*0.5</f>
        <v>30</v>
      </c>
      <c r="V1203" s="143">
        <f>U1203+T1203+S1203+R1203</f>
        <v>225</v>
      </c>
    </row>
    <row r="1204" spans="1:22" s="128" customFormat="1" ht="15.6" hidden="1" x14ac:dyDescent="0.3">
      <c r="A1204" s="142" t="s">
        <v>477</v>
      </c>
      <c r="B1204" s="142">
        <v>1068</v>
      </c>
      <c r="C1204" s="141">
        <v>46087</v>
      </c>
      <c r="D1204" s="140">
        <f>WEEKNUM(C1204)</f>
        <v>10</v>
      </c>
      <c r="E1204" s="142" t="s">
        <v>498</v>
      </c>
      <c r="F1204" s="140" t="s">
        <v>637</v>
      </c>
      <c r="G1204" s="142" t="s">
        <v>559</v>
      </c>
      <c r="H1204" s="142" t="s">
        <v>38</v>
      </c>
      <c r="I1204" s="142" t="s">
        <v>61</v>
      </c>
      <c r="J1204" s="157">
        <v>50</v>
      </c>
      <c r="K1204" s="143">
        <v>45</v>
      </c>
      <c r="L1204" s="143">
        <f>K1204*J1204</f>
        <v>2250</v>
      </c>
      <c r="M1204" s="143">
        <f>L1204</f>
        <v>2250</v>
      </c>
      <c r="N1204" s="141">
        <v>46119</v>
      </c>
      <c r="O1204" s="157">
        <f>WEEKNUM(N1204)</f>
        <v>15</v>
      </c>
      <c r="P1204" s="140"/>
      <c r="Q1204" s="142" t="s">
        <v>29</v>
      </c>
      <c r="R1204" s="143">
        <f>PRODUCT(0.25*J1204)</f>
        <v>12.5</v>
      </c>
      <c r="S1204" s="143">
        <f>J1204*1.5</f>
        <v>75</v>
      </c>
      <c r="T1204" s="143">
        <f>J1204*1.5</f>
        <v>75</v>
      </c>
      <c r="U1204" s="143">
        <f>J1204*0.5</f>
        <v>25</v>
      </c>
      <c r="V1204" s="143">
        <f>U1204+T1204+S1204+R1204</f>
        <v>187.5</v>
      </c>
    </row>
    <row r="1205" spans="1:22" s="128" customFormat="1" ht="15.6" hidden="1" x14ac:dyDescent="0.3">
      <c r="A1205" s="142" t="s">
        <v>477</v>
      </c>
      <c r="B1205" s="142">
        <v>1065</v>
      </c>
      <c r="C1205" s="141">
        <v>46087</v>
      </c>
      <c r="D1205" s="140">
        <f>WEEKNUM(C1205)</f>
        <v>10</v>
      </c>
      <c r="E1205" s="140" t="s">
        <v>475</v>
      </c>
      <c r="F1205" s="140" t="s">
        <v>809</v>
      </c>
      <c r="G1205" s="142" t="s">
        <v>506</v>
      </c>
      <c r="H1205" s="142" t="s">
        <v>74</v>
      </c>
      <c r="I1205" s="142" t="s">
        <v>46</v>
      </c>
      <c r="J1205" s="157">
        <v>100</v>
      </c>
      <c r="K1205" s="143">
        <v>24.5</v>
      </c>
      <c r="L1205" s="143">
        <f>K1205*J1205</f>
        <v>2450</v>
      </c>
      <c r="M1205" s="143">
        <f>L1205</f>
        <v>2450</v>
      </c>
      <c r="N1205" s="141">
        <v>46119</v>
      </c>
      <c r="O1205" s="157">
        <f>WEEKNUM(N1205)</f>
        <v>15</v>
      </c>
      <c r="P1205" s="140"/>
      <c r="Q1205" s="142" t="s">
        <v>29</v>
      </c>
      <c r="R1205" s="143">
        <f>PRODUCT(0.25*J1205)</f>
        <v>25</v>
      </c>
      <c r="S1205" s="143">
        <f>J1205*1.5</f>
        <v>150</v>
      </c>
      <c r="T1205" s="143">
        <f>J1205*1.5</f>
        <v>150</v>
      </c>
      <c r="U1205" s="143">
        <f>J1205*0.5</f>
        <v>50</v>
      </c>
      <c r="V1205" s="143">
        <f>U1205+T1205+S1205+R1205</f>
        <v>375</v>
      </c>
    </row>
    <row r="1206" spans="1:22" s="128" customFormat="1" ht="15.6" hidden="1" x14ac:dyDescent="0.3">
      <c r="A1206" s="142" t="s">
        <v>477</v>
      </c>
      <c r="B1206" s="142">
        <v>1065</v>
      </c>
      <c r="C1206" s="141">
        <v>46087</v>
      </c>
      <c r="D1206" s="140">
        <f>WEEKNUM(C1206)</f>
        <v>10</v>
      </c>
      <c r="E1206" s="140" t="s">
        <v>475</v>
      </c>
      <c r="F1206" s="140" t="s">
        <v>809</v>
      </c>
      <c r="G1206" s="142" t="s">
        <v>810</v>
      </c>
      <c r="H1206" s="142" t="s">
        <v>74</v>
      </c>
      <c r="I1206" s="142" t="s">
        <v>46</v>
      </c>
      <c r="J1206" s="157">
        <v>30</v>
      </c>
      <c r="K1206" s="143">
        <v>26.5</v>
      </c>
      <c r="L1206" s="143">
        <f>K1206*J1206</f>
        <v>795</v>
      </c>
      <c r="M1206" s="143">
        <f>L1206</f>
        <v>795</v>
      </c>
      <c r="N1206" s="141">
        <v>46119</v>
      </c>
      <c r="O1206" s="157">
        <f>WEEKNUM(N1206)</f>
        <v>15</v>
      </c>
      <c r="P1206" s="140"/>
      <c r="Q1206" s="142" t="s">
        <v>29</v>
      </c>
      <c r="R1206" s="143">
        <f>PRODUCT(0.25*J1206)</f>
        <v>7.5</v>
      </c>
      <c r="S1206" s="143">
        <f>J1206*1.5</f>
        <v>45</v>
      </c>
      <c r="T1206" s="143">
        <f>J1206*1.5</f>
        <v>45</v>
      </c>
      <c r="U1206" s="143">
        <f>J1206*0.5</f>
        <v>15</v>
      </c>
      <c r="V1206" s="143">
        <f>U1206+T1206+S1206+R1206</f>
        <v>112.5</v>
      </c>
    </row>
    <row r="1207" spans="1:22" s="128" customFormat="1" ht="15.6" hidden="1" x14ac:dyDescent="0.3">
      <c r="A1207" s="142" t="s">
        <v>477</v>
      </c>
      <c r="B1207" s="142">
        <v>1065</v>
      </c>
      <c r="C1207" s="141">
        <v>46087</v>
      </c>
      <c r="D1207" s="140">
        <f>WEEKNUM(C1207)</f>
        <v>10</v>
      </c>
      <c r="E1207" s="140" t="s">
        <v>475</v>
      </c>
      <c r="F1207" s="140" t="s">
        <v>809</v>
      </c>
      <c r="G1207" s="142" t="s">
        <v>311</v>
      </c>
      <c r="H1207" s="142" t="s">
        <v>51</v>
      </c>
      <c r="I1207" s="142" t="s">
        <v>46</v>
      </c>
      <c r="J1207" s="157">
        <v>150</v>
      </c>
      <c r="K1207" s="143">
        <v>14</v>
      </c>
      <c r="L1207" s="143">
        <f>K1207*J1207</f>
        <v>2100</v>
      </c>
      <c r="M1207" s="143">
        <f>L1207</f>
        <v>2100</v>
      </c>
      <c r="N1207" s="141">
        <v>46119</v>
      </c>
      <c r="O1207" s="157">
        <f>WEEKNUM(N1207)</f>
        <v>15</v>
      </c>
      <c r="P1207" s="140"/>
      <c r="Q1207" s="142" t="s">
        <v>29</v>
      </c>
      <c r="R1207" s="143">
        <f>PRODUCT(0.25*J1207)</f>
        <v>37.5</v>
      </c>
      <c r="S1207" s="143">
        <f>J1207*1.5</f>
        <v>225</v>
      </c>
      <c r="T1207" s="143">
        <f>J1207*1.5</f>
        <v>225</v>
      </c>
      <c r="U1207" s="143">
        <f>J1207*0.5</f>
        <v>75</v>
      </c>
      <c r="V1207" s="143">
        <f>U1207+T1207+S1207+R1207</f>
        <v>562.5</v>
      </c>
    </row>
    <row r="1208" spans="1:22" s="128" customFormat="1" ht="15.6" hidden="1" x14ac:dyDescent="0.3">
      <c r="A1208" s="142" t="s">
        <v>477</v>
      </c>
      <c r="B1208" s="142">
        <v>1065</v>
      </c>
      <c r="C1208" s="141">
        <v>46087</v>
      </c>
      <c r="D1208" s="140">
        <f>WEEKNUM(C1208)</f>
        <v>10</v>
      </c>
      <c r="E1208" s="140" t="s">
        <v>475</v>
      </c>
      <c r="F1208" s="140" t="s">
        <v>809</v>
      </c>
      <c r="G1208" s="142" t="s">
        <v>311</v>
      </c>
      <c r="H1208" s="142" t="s">
        <v>51</v>
      </c>
      <c r="I1208" s="142" t="s">
        <v>46</v>
      </c>
      <c r="J1208" s="157">
        <v>150</v>
      </c>
      <c r="K1208" s="143">
        <v>14</v>
      </c>
      <c r="L1208" s="143">
        <f>K1208*J1208</f>
        <v>2100</v>
      </c>
      <c r="M1208" s="143">
        <f>L1208</f>
        <v>2100</v>
      </c>
      <c r="N1208" s="141">
        <v>46119</v>
      </c>
      <c r="O1208" s="157">
        <f>WEEKNUM(N1208)</f>
        <v>15</v>
      </c>
      <c r="P1208" s="140"/>
      <c r="Q1208" s="142" t="s">
        <v>29</v>
      </c>
      <c r="R1208" s="143">
        <f>PRODUCT(0.25*J1208)</f>
        <v>37.5</v>
      </c>
      <c r="S1208" s="143">
        <f>J1208*1.5</f>
        <v>225</v>
      </c>
      <c r="T1208" s="143">
        <f>J1208*1.5</f>
        <v>225</v>
      </c>
      <c r="U1208" s="143">
        <f>J1208*0.5</f>
        <v>75</v>
      </c>
      <c r="V1208" s="143">
        <f>U1208+T1208+S1208+R1208</f>
        <v>562.5</v>
      </c>
    </row>
    <row r="1209" spans="1:22" s="128" customFormat="1" ht="15.6" hidden="1" x14ac:dyDescent="0.3">
      <c r="A1209" s="142" t="s">
        <v>477</v>
      </c>
      <c r="B1209" s="142">
        <v>1065</v>
      </c>
      <c r="C1209" s="141">
        <v>46087</v>
      </c>
      <c r="D1209" s="140">
        <f>WEEKNUM(C1209)</f>
        <v>10</v>
      </c>
      <c r="E1209" s="140" t="s">
        <v>475</v>
      </c>
      <c r="F1209" s="140" t="s">
        <v>809</v>
      </c>
      <c r="G1209" s="142" t="s">
        <v>495</v>
      </c>
      <c r="H1209" s="140" t="s">
        <v>494</v>
      </c>
      <c r="I1209" s="142" t="s">
        <v>46</v>
      </c>
      <c r="J1209" s="157">
        <v>150</v>
      </c>
      <c r="K1209" s="143">
        <v>24.5</v>
      </c>
      <c r="L1209" s="143">
        <f>K1209*J1209</f>
        <v>3675</v>
      </c>
      <c r="M1209" s="143">
        <f>L1209</f>
        <v>3675</v>
      </c>
      <c r="N1209" s="141">
        <v>46119</v>
      </c>
      <c r="O1209" s="157">
        <f>WEEKNUM(N1209)</f>
        <v>15</v>
      </c>
      <c r="P1209" s="140"/>
      <c r="Q1209" s="142" t="s">
        <v>29</v>
      </c>
      <c r="R1209" s="143">
        <f>PRODUCT(0.25*J1209)</f>
        <v>37.5</v>
      </c>
      <c r="S1209" s="143">
        <f>J1209*1.5</f>
        <v>225</v>
      </c>
      <c r="T1209" s="143">
        <f>J1209*1.5</f>
        <v>225</v>
      </c>
      <c r="U1209" s="143">
        <f>J1209*0.5</f>
        <v>75</v>
      </c>
      <c r="V1209" s="143">
        <f>U1209+T1209+S1209+R1209</f>
        <v>562.5</v>
      </c>
    </row>
    <row r="1210" spans="1:22" s="128" customFormat="1" ht="15.6" hidden="1" x14ac:dyDescent="0.3">
      <c r="A1210" s="142" t="s">
        <v>477</v>
      </c>
      <c r="B1210" s="142">
        <v>1066</v>
      </c>
      <c r="C1210" s="141">
        <v>46087</v>
      </c>
      <c r="D1210" s="140">
        <f>WEEKNUM(C1210)</f>
        <v>10</v>
      </c>
      <c r="E1210" s="140" t="s">
        <v>475</v>
      </c>
      <c r="F1210" s="140" t="s">
        <v>809</v>
      </c>
      <c r="G1210" s="142" t="s">
        <v>506</v>
      </c>
      <c r="H1210" s="142" t="s">
        <v>74</v>
      </c>
      <c r="I1210" s="142" t="s">
        <v>46</v>
      </c>
      <c r="J1210" s="157">
        <v>300</v>
      </c>
      <c r="K1210" s="143">
        <v>24.5</v>
      </c>
      <c r="L1210" s="143">
        <f>K1210*J1210</f>
        <v>7350</v>
      </c>
      <c r="M1210" s="143">
        <f>L1210</f>
        <v>7350</v>
      </c>
      <c r="N1210" s="141">
        <v>46119</v>
      </c>
      <c r="O1210" s="157">
        <f>WEEKNUM(N1210)</f>
        <v>15</v>
      </c>
      <c r="P1210" s="140"/>
      <c r="Q1210" s="142" t="s">
        <v>29</v>
      </c>
      <c r="R1210" s="143">
        <f>PRODUCT(0.25*J1210)</f>
        <v>75</v>
      </c>
      <c r="S1210" s="143">
        <f>J1210*1.5</f>
        <v>450</v>
      </c>
      <c r="T1210" s="143">
        <f>J1210*1.5</f>
        <v>450</v>
      </c>
      <c r="U1210" s="143">
        <f>J1210*0.5</f>
        <v>150</v>
      </c>
      <c r="V1210" s="143">
        <f>U1210+T1210+S1210+R1210</f>
        <v>1125</v>
      </c>
    </row>
    <row r="1211" spans="1:22" s="128" customFormat="1" ht="15.6" hidden="1" x14ac:dyDescent="0.3">
      <c r="A1211" s="142" t="s">
        <v>477</v>
      </c>
      <c r="B1211" s="142">
        <v>1066</v>
      </c>
      <c r="C1211" s="141">
        <v>46087</v>
      </c>
      <c r="D1211" s="140">
        <f>WEEKNUM(C1211)</f>
        <v>10</v>
      </c>
      <c r="E1211" s="140" t="s">
        <v>475</v>
      </c>
      <c r="F1211" s="140" t="s">
        <v>809</v>
      </c>
      <c r="G1211" s="142" t="s">
        <v>810</v>
      </c>
      <c r="H1211" s="142" t="s">
        <v>74</v>
      </c>
      <c r="I1211" s="142" t="s">
        <v>46</v>
      </c>
      <c r="J1211" s="157">
        <v>30</v>
      </c>
      <c r="K1211" s="143">
        <v>26.5</v>
      </c>
      <c r="L1211" s="143">
        <f>K1211*J1211</f>
        <v>795</v>
      </c>
      <c r="M1211" s="143">
        <f>L1211</f>
        <v>795</v>
      </c>
      <c r="N1211" s="141">
        <v>46119</v>
      </c>
      <c r="O1211" s="157">
        <f>WEEKNUM(N1211)</f>
        <v>15</v>
      </c>
      <c r="P1211" s="140"/>
      <c r="Q1211" s="142" t="s">
        <v>29</v>
      </c>
      <c r="R1211" s="143">
        <f>PRODUCT(0.25*J1211)</f>
        <v>7.5</v>
      </c>
      <c r="S1211" s="143">
        <f>J1211*1.5</f>
        <v>45</v>
      </c>
      <c r="T1211" s="143">
        <f>J1211*1.5</f>
        <v>45</v>
      </c>
      <c r="U1211" s="143">
        <f>J1211*0.5</f>
        <v>15</v>
      </c>
      <c r="V1211" s="143">
        <f>U1211+T1211+S1211+R1211</f>
        <v>112.5</v>
      </c>
    </row>
    <row r="1212" spans="1:22" s="128" customFormat="1" ht="15.6" hidden="1" x14ac:dyDescent="0.3">
      <c r="A1212" s="142" t="s">
        <v>477</v>
      </c>
      <c r="B1212" s="142">
        <v>1066</v>
      </c>
      <c r="C1212" s="141">
        <v>46087</v>
      </c>
      <c r="D1212" s="140">
        <f>WEEKNUM(C1212)</f>
        <v>10</v>
      </c>
      <c r="E1212" s="140" t="s">
        <v>475</v>
      </c>
      <c r="F1212" s="140" t="s">
        <v>809</v>
      </c>
      <c r="G1212" s="142" t="s">
        <v>311</v>
      </c>
      <c r="H1212" s="142" t="s">
        <v>51</v>
      </c>
      <c r="I1212" s="142" t="s">
        <v>46</v>
      </c>
      <c r="J1212" s="157">
        <v>150</v>
      </c>
      <c r="K1212" s="143">
        <v>14</v>
      </c>
      <c r="L1212" s="143">
        <f>K1212*J1212</f>
        <v>2100</v>
      </c>
      <c r="M1212" s="143">
        <f>L1212</f>
        <v>2100</v>
      </c>
      <c r="N1212" s="141">
        <v>46119</v>
      </c>
      <c r="O1212" s="157">
        <f>WEEKNUM(N1212)</f>
        <v>15</v>
      </c>
      <c r="P1212" s="140"/>
      <c r="Q1212" s="142" t="s">
        <v>29</v>
      </c>
      <c r="R1212" s="143">
        <f>PRODUCT(0.25*J1212)</f>
        <v>37.5</v>
      </c>
      <c r="S1212" s="143">
        <f>J1212*1.5</f>
        <v>225</v>
      </c>
      <c r="T1212" s="143">
        <f>J1212*1.5</f>
        <v>225</v>
      </c>
      <c r="U1212" s="143">
        <f>J1212*0.5</f>
        <v>75</v>
      </c>
      <c r="V1212" s="143">
        <f>U1212+T1212+S1212+R1212</f>
        <v>562.5</v>
      </c>
    </row>
    <row r="1213" spans="1:22" s="128" customFormat="1" ht="15.6" hidden="1" x14ac:dyDescent="0.3">
      <c r="A1213" s="142" t="s">
        <v>477</v>
      </c>
      <c r="B1213" s="142">
        <v>1070</v>
      </c>
      <c r="C1213" s="141">
        <v>46090</v>
      </c>
      <c r="D1213" s="140">
        <f>WEEKNUM(C1213)</f>
        <v>11</v>
      </c>
      <c r="E1213" s="142" t="s">
        <v>498</v>
      </c>
      <c r="F1213" s="140" t="s">
        <v>637</v>
      </c>
      <c r="G1213" s="142" t="s">
        <v>487</v>
      </c>
      <c r="H1213" s="142" t="s">
        <v>51</v>
      </c>
      <c r="I1213" s="142" t="s">
        <v>46</v>
      </c>
      <c r="J1213" s="157">
        <v>250</v>
      </c>
      <c r="K1213" s="143">
        <v>23.5</v>
      </c>
      <c r="L1213" s="143">
        <f>K1213*J1213</f>
        <v>5875</v>
      </c>
      <c r="M1213" s="143">
        <f>L1213</f>
        <v>5875</v>
      </c>
      <c r="N1213" s="141">
        <v>46128</v>
      </c>
      <c r="O1213" s="157">
        <f>WEEKNUM(N1213)</f>
        <v>16</v>
      </c>
      <c r="P1213" s="140"/>
      <c r="Q1213" s="142" t="s">
        <v>29</v>
      </c>
      <c r="R1213" s="143">
        <f>PRODUCT(0.25*J1213)</f>
        <v>62.5</v>
      </c>
      <c r="S1213" s="143">
        <f>J1213*1.5</f>
        <v>375</v>
      </c>
      <c r="T1213" s="143">
        <f>J1213*1.5</f>
        <v>375</v>
      </c>
      <c r="U1213" s="143">
        <f>J1213*0.5</f>
        <v>125</v>
      </c>
      <c r="V1213" s="143">
        <f>U1213+T1213+S1213+R1213</f>
        <v>937.5</v>
      </c>
    </row>
    <row r="1214" spans="1:22" s="128" customFormat="1" ht="15.6" hidden="1" x14ac:dyDescent="0.3">
      <c r="A1214" s="142" t="s">
        <v>477</v>
      </c>
      <c r="B1214" s="142">
        <v>1071</v>
      </c>
      <c r="C1214" s="141">
        <v>46090</v>
      </c>
      <c r="D1214" s="140">
        <f>WEEKNUM(C1214)</f>
        <v>11</v>
      </c>
      <c r="E1214" s="142" t="s">
        <v>498</v>
      </c>
      <c r="F1214" s="140" t="s">
        <v>459</v>
      </c>
      <c r="G1214" s="142" t="s">
        <v>910</v>
      </c>
      <c r="H1214" s="142" t="s">
        <v>911</v>
      </c>
      <c r="I1214" s="142" t="s">
        <v>61</v>
      </c>
      <c r="J1214" s="157">
        <v>400</v>
      </c>
      <c r="K1214" s="143">
        <v>11.5</v>
      </c>
      <c r="L1214" s="143">
        <f>K1214*J1214</f>
        <v>4600</v>
      </c>
      <c r="M1214" s="143">
        <f>L1214</f>
        <v>4600</v>
      </c>
      <c r="N1214" s="141">
        <v>46121</v>
      </c>
      <c r="O1214" s="157">
        <f>WEEKNUM(N1214)</f>
        <v>15</v>
      </c>
      <c r="P1214" s="140"/>
      <c r="Q1214" s="142" t="s">
        <v>29</v>
      </c>
      <c r="R1214" s="143">
        <f>PRODUCT(0.25*J1214)</f>
        <v>100</v>
      </c>
      <c r="S1214" s="143">
        <f>J1214*1.5</f>
        <v>600</v>
      </c>
      <c r="T1214" s="143">
        <f>J1214*1.5</f>
        <v>600</v>
      </c>
      <c r="U1214" s="143">
        <f>J1214*0.5</f>
        <v>200</v>
      </c>
      <c r="V1214" s="143">
        <f>U1214+T1214+S1214+R1214</f>
        <v>1500</v>
      </c>
    </row>
    <row r="1215" spans="1:22" s="128" customFormat="1" ht="15.6" hidden="1" x14ac:dyDescent="0.3">
      <c r="A1215" s="142" t="s">
        <v>477</v>
      </c>
      <c r="B1215" s="142">
        <v>1074</v>
      </c>
      <c r="C1215" s="141">
        <v>46092</v>
      </c>
      <c r="D1215" s="140">
        <f>WEEKNUM(C1215)</f>
        <v>11</v>
      </c>
      <c r="E1215" s="140" t="s">
        <v>475</v>
      </c>
      <c r="F1215" s="142" t="s">
        <v>731</v>
      </c>
      <c r="G1215" s="142" t="s">
        <v>737</v>
      </c>
      <c r="H1215" s="142" t="s">
        <v>74</v>
      </c>
      <c r="I1215" s="142" t="s">
        <v>46</v>
      </c>
      <c r="J1215" s="157">
        <v>105</v>
      </c>
      <c r="K1215" s="143">
        <v>35</v>
      </c>
      <c r="L1215" s="143">
        <f>K1215*J1215</f>
        <v>3675</v>
      </c>
      <c r="M1215" s="143">
        <f>L1215</f>
        <v>3675</v>
      </c>
      <c r="N1215" s="141">
        <v>46093</v>
      </c>
      <c r="O1215" s="157">
        <f>WEEKNUM(N1215)</f>
        <v>11</v>
      </c>
      <c r="P1215" s="140"/>
      <c r="Q1215" s="142" t="s">
        <v>29</v>
      </c>
      <c r="R1215" s="143">
        <f>PRODUCT(0.25*J1215)</f>
        <v>26.25</v>
      </c>
      <c r="S1215" s="143">
        <f>J1215*1.5</f>
        <v>157.5</v>
      </c>
      <c r="T1215" s="143">
        <f>J1215*1.5</f>
        <v>157.5</v>
      </c>
      <c r="U1215" s="143">
        <f>J1215*0.5</f>
        <v>52.5</v>
      </c>
      <c r="V1215" s="143">
        <f>U1215+T1215+S1215+R1215</f>
        <v>393.75</v>
      </c>
    </row>
    <row r="1216" spans="1:22" s="128" customFormat="1" ht="15.6" hidden="1" x14ac:dyDescent="0.3">
      <c r="A1216" s="142" t="s">
        <v>486</v>
      </c>
      <c r="B1216" s="142">
        <v>475</v>
      </c>
      <c r="C1216" s="141">
        <v>46092</v>
      </c>
      <c r="D1216" s="140">
        <f>WEEKNUM(C1216)</f>
        <v>11</v>
      </c>
      <c r="E1216" s="140" t="s">
        <v>475</v>
      </c>
      <c r="F1216" s="142" t="s">
        <v>819</v>
      </c>
      <c r="G1216" s="142" t="s">
        <v>311</v>
      </c>
      <c r="H1216" s="142" t="s">
        <v>51</v>
      </c>
      <c r="I1216" s="142" t="s">
        <v>46</v>
      </c>
      <c r="J1216" s="157">
        <v>50</v>
      </c>
      <c r="K1216" s="143">
        <v>25</v>
      </c>
      <c r="L1216" s="143">
        <f>K1216*J1216</f>
        <v>1250</v>
      </c>
      <c r="M1216" s="143">
        <v>0</v>
      </c>
      <c r="N1216" s="141">
        <v>46101</v>
      </c>
      <c r="O1216" s="157">
        <f>WEEKNUM(N1216)</f>
        <v>12</v>
      </c>
      <c r="P1216" s="140"/>
      <c r="Q1216" s="142" t="s">
        <v>29</v>
      </c>
      <c r="R1216" s="143">
        <f>PRODUCT(0.25*J1216)</f>
        <v>12.5</v>
      </c>
      <c r="S1216" s="143">
        <f>J1216*1.5</f>
        <v>75</v>
      </c>
      <c r="T1216" s="143">
        <f>J1216*1.5</f>
        <v>75</v>
      </c>
      <c r="U1216" s="143">
        <f>J1216*0.5</f>
        <v>25</v>
      </c>
      <c r="V1216" s="143">
        <f>U1216+T1216+S1216+R1216</f>
        <v>187.5</v>
      </c>
    </row>
    <row r="1217" spans="1:22" s="128" customFormat="1" ht="15.6" hidden="1" x14ac:dyDescent="0.3">
      <c r="A1217" s="142" t="s">
        <v>486</v>
      </c>
      <c r="B1217" s="142">
        <v>474</v>
      </c>
      <c r="C1217" s="141">
        <v>46093</v>
      </c>
      <c r="D1217" s="140">
        <f>WEEKNUM(C1217)</f>
        <v>11</v>
      </c>
      <c r="E1217" s="140" t="s">
        <v>475</v>
      </c>
      <c r="F1217" s="142" t="s">
        <v>864</v>
      </c>
      <c r="G1217" s="140" t="s">
        <v>658</v>
      </c>
      <c r="H1217" s="142" t="s">
        <v>304</v>
      </c>
      <c r="I1217" s="142" t="s">
        <v>61</v>
      </c>
      <c r="J1217" s="157">
        <v>700</v>
      </c>
      <c r="K1217" s="143">
        <v>8.8000000000000007</v>
      </c>
      <c r="L1217" s="143">
        <f>K1217*J1217</f>
        <v>6160.0000000000009</v>
      </c>
      <c r="M1217" s="143">
        <f>L1217</f>
        <v>6160.0000000000009</v>
      </c>
      <c r="N1217" s="141">
        <v>46122</v>
      </c>
      <c r="O1217" s="157">
        <f>WEEKNUM(N1217)</f>
        <v>15</v>
      </c>
      <c r="P1217" s="140"/>
      <c r="Q1217" s="142" t="s">
        <v>29</v>
      </c>
      <c r="R1217" s="143">
        <f>PRODUCT(0.25*J1217)</f>
        <v>175</v>
      </c>
      <c r="S1217" s="143">
        <f>J1217*1.5</f>
        <v>1050</v>
      </c>
      <c r="T1217" s="143">
        <f>J1217*1.5</f>
        <v>1050</v>
      </c>
      <c r="U1217" s="143">
        <f>J1217*0.5</f>
        <v>350</v>
      </c>
      <c r="V1217" s="143">
        <f>U1217+T1217+S1217+R1217</f>
        <v>2625</v>
      </c>
    </row>
    <row r="1218" spans="1:22" s="128" customFormat="1" ht="15.6" hidden="1" x14ac:dyDescent="0.3">
      <c r="A1218" s="142" t="s">
        <v>486</v>
      </c>
      <c r="B1218" s="142">
        <v>474</v>
      </c>
      <c r="C1218" s="141">
        <v>46093</v>
      </c>
      <c r="D1218" s="140">
        <f>WEEKNUM(C1218)</f>
        <v>11</v>
      </c>
      <c r="E1218" s="140" t="s">
        <v>475</v>
      </c>
      <c r="F1218" s="142" t="s">
        <v>864</v>
      </c>
      <c r="G1218" s="140" t="s">
        <v>658</v>
      </c>
      <c r="H1218" s="142" t="s">
        <v>304</v>
      </c>
      <c r="I1218" s="142" t="s">
        <v>61</v>
      </c>
      <c r="J1218" s="157">
        <v>300</v>
      </c>
      <c r="K1218" s="143">
        <v>9.5</v>
      </c>
      <c r="L1218" s="143">
        <f>K1218*J1218</f>
        <v>2850</v>
      </c>
      <c r="M1218" s="143">
        <f>L1218</f>
        <v>2850</v>
      </c>
      <c r="N1218" s="141">
        <v>46122</v>
      </c>
      <c r="O1218" s="157">
        <f>WEEKNUM(N1218)</f>
        <v>15</v>
      </c>
      <c r="P1218" s="140"/>
      <c r="Q1218" s="142" t="s">
        <v>29</v>
      </c>
      <c r="R1218" s="143">
        <f>PRODUCT(0.25*J1218)</f>
        <v>75</v>
      </c>
      <c r="S1218" s="143">
        <f>J1218*1.5</f>
        <v>450</v>
      </c>
      <c r="T1218" s="143">
        <f>J1218*1.5</f>
        <v>450</v>
      </c>
      <c r="U1218" s="143">
        <f>J1218*0.5</f>
        <v>150</v>
      </c>
      <c r="V1218" s="143">
        <f>U1218+T1218+S1218+R1218</f>
        <v>1125</v>
      </c>
    </row>
    <row r="1219" spans="1:22" s="128" customFormat="1" ht="15.6" hidden="1" x14ac:dyDescent="0.3">
      <c r="A1219" s="142" t="s">
        <v>477</v>
      </c>
      <c r="B1219" s="142">
        <v>1056</v>
      </c>
      <c r="C1219" s="141">
        <v>46093</v>
      </c>
      <c r="D1219" s="140">
        <f>WEEKNUM(C1219)</f>
        <v>11</v>
      </c>
      <c r="E1219" s="142" t="s">
        <v>498</v>
      </c>
      <c r="F1219" s="140" t="s">
        <v>459</v>
      </c>
      <c r="G1219" s="142" t="s">
        <v>912</v>
      </c>
      <c r="H1219" s="142" t="s">
        <v>913</v>
      </c>
      <c r="I1219" s="142" t="s">
        <v>46</v>
      </c>
      <c r="J1219" s="157">
        <v>1300</v>
      </c>
      <c r="K1219" s="143">
        <v>35.5</v>
      </c>
      <c r="L1219" s="143">
        <f>K1219*J1219</f>
        <v>46150</v>
      </c>
      <c r="M1219" s="143">
        <f>L1219</f>
        <v>46150</v>
      </c>
      <c r="N1219" s="141">
        <v>46122</v>
      </c>
      <c r="O1219" s="157">
        <f>WEEKNUM(N1219)</f>
        <v>15</v>
      </c>
      <c r="P1219" s="140"/>
      <c r="Q1219" s="142" t="s">
        <v>29</v>
      </c>
      <c r="R1219" s="143">
        <f>PRODUCT(0.25*J1219)</f>
        <v>325</v>
      </c>
      <c r="S1219" s="143">
        <f>J1219*1.5</f>
        <v>1950</v>
      </c>
      <c r="T1219" s="143">
        <f>J1219*1.5</f>
        <v>1950</v>
      </c>
      <c r="U1219" s="143">
        <f>J1219*0.5</f>
        <v>650</v>
      </c>
      <c r="V1219" s="143">
        <f>U1219+T1219+S1219+R1219</f>
        <v>4875</v>
      </c>
    </row>
    <row r="1220" spans="1:22" s="128" customFormat="1" ht="15.6" hidden="1" x14ac:dyDescent="0.3">
      <c r="A1220" s="142" t="s">
        <v>486</v>
      </c>
      <c r="B1220" s="142">
        <v>476</v>
      </c>
      <c r="C1220" s="141">
        <v>46094</v>
      </c>
      <c r="D1220" s="140">
        <f>WEEKNUM(C1220)</f>
        <v>11</v>
      </c>
      <c r="E1220" s="140" t="s">
        <v>475</v>
      </c>
      <c r="F1220" s="142" t="s">
        <v>755</v>
      </c>
      <c r="G1220" s="140" t="s">
        <v>480</v>
      </c>
      <c r="H1220" s="142" t="s">
        <v>51</v>
      </c>
      <c r="I1220" s="142" t="s">
        <v>46</v>
      </c>
      <c r="J1220" s="157">
        <v>500</v>
      </c>
      <c r="K1220" s="143">
        <v>18.7</v>
      </c>
      <c r="L1220" s="143">
        <f>K1220*J1220</f>
        <v>9350</v>
      </c>
      <c r="M1220" s="143">
        <f>L1220</f>
        <v>9350</v>
      </c>
      <c r="N1220" s="141">
        <v>46126</v>
      </c>
      <c r="O1220" s="157">
        <f>WEEKNUM(N1220)</f>
        <v>16</v>
      </c>
      <c r="P1220" s="140"/>
      <c r="Q1220" s="142" t="s">
        <v>29</v>
      </c>
      <c r="R1220" s="143">
        <f>PRODUCT(0.25*J1220)</f>
        <v>125</v>
      </c>
      <c r="S1220" s="143">
        <f>J1220*1.5</f>
        <v>750</v>
      </c>
      <c r="T1220" s="143">
        <f>J1220*1.5</f>
        <v>750</v>
      </c>
      <c r="U1220" s="143">
        <f>J1220*0.5</f>
        <v>250</v>
      </c>
      <c r="V1220" s="143">
        <f>U1220+T1220+S1220+R1220</f>
        <v>1875</v>
      </c>
    </row>
    <row r="1221" spans="1:22" s="128" customFormat="1" ht="15.6" hidden="1" x14ac:dyDescent="0.3">
      <c r="A1221" s="142" t="s">
        <v>486</v>
      </c>
      <c r="B1221" s="142">
        <v>476</v>
      </c>
      <c r="C1221" s="141">
        <v>46094</v>
      </c>
      <c r="D1221" s="140">
        <f>WEEKNUM(C1221)</f>
        <v>11</v>
      </c>
      <c r="E1221" s="140" t="s">
        <v>475</v>
      </c>
      <c r="F1221" s="142" t="s">
        <v>755</v>
      </c>
      <c r="G1221" s="142" t="s">
        <v>554</v>
      </c>
      <c r="H1221" s="142" t="s">
        <v>555</v>
      </c>
      <c r="I1221" s="142" t="s">
        <v>46</v>
      </c>
      <c r="J1221" s="157">
        <v>250</v>
      </c>
      <c r="K1221" s="143">
        <v>26.15</v>
      </c>
      <c r="L1221" s="143">
        <f>K1221*J1221</f>
        <v>6537.5</v>
      </c>
      <c r="M1221" s="143">
        <f>L1221</f>
        <v>6537.5</v>
      </c>
      <c r="N1221" s="141">
        <v>46126</v>
      </c>
      <c r="O1221" s="157">
        <f>WEEKNUM(N1221)</f>
        <v>16</v>
      </c>
      <c r="P1221" s="140"/>
      <c r="Q1221" s="142" t="s">
        <v>29</v>
      </c>
      <c r="R1221" s="143">
        <f>PRODUCT(0.25*J1221)</f>
        <v>62.5</v>
      </c>
      <c r="S1221" s="143">
        <f>J1221*1.5</f>
        <v>375</v>
      </c>
      <c r="T1221" s="143">
        <f>J1221*1.5</f>
        <v>375</v>
      </c>
      <c r="U1221" s="143">
        <f>J1221*0.5</f>
        <v>125</v>
      </c>
      <c r="V1221" s="143">
        <f>U1221+T1221+S1221+R1221</f>
        <v>937.5</v>
      </c>
    </row>
    <row r="1222" spans="1:22" s="128" customFormat="1" ht="15.6" hidden="1" x14ac:dyDescent="0.3">
      <c r="A1222" s="142" t="s">
        <v>486</v>
      </c>
      <c r="B1222" s="142">
        <v>478</v>
      </c>
      <c r="C1222" s="141">
        <v>46097</v>
      </c>
      <c r="D1222" s="140">
        <f>WEEKNUM(C1222)</f>
        <v>12</v>
      </c>
      <c r="E1222" s="142" t="s">
        <v>68</v>
      </c>
      <c r="F1222" s="142" t="s">
        <v>387</v>
      </c>
      <c r="G1222" s="142" t="s">
        <v>311</v>
      </c>
      <c r="H1222" s="142" t="s">
        <v>51</v>
      </c>
      <c r="I1222" s="142" t="s">
        <v>46</v>
      </c>
      <c r="J1222" s="157">
        <v>4</v>
      </c>
      <c r="K1222" s="143">
        <v>25</v>
      </c>
      <c r="L1222" s="143">
        <f>K1222*J1222</f>
        <v>100</v>
      </c>
      <c r="M1222" s="156">
        <v>0</v>
      </c>
      <c r="N1222" s="141">
        <v>46125</v>
      </c>
      <c r="O1222" s="157">
        <f>WEEKNUM(N1222)</f>
        <v>16</v>
      </c>
      <c r="P1222" s="140"/>
      <c r="Q1222" s="142" t="s">
        <v>29</v>
      </c>
      <c r="R1222" s="143">
        <f>PRODUCT(0.25*J1222)</f>
        <v>1</v>
      </c>
      <c r="S1222" s="143">
        <f>J1222*1.5</f>
        <v>6</v>
      </c>
      <c r="T1222" s="143">
        <f>J1222*1.5</f>
        <v>6</v>
      </c>
      <c r="U1222" s="143">
        <f>J1222*0.5</f>
        <v>2</v>
      </c>
      <c r="V1222" s="143">
        <f>U1222+T1222+S1222+R1222</f>
        <v>15</v>
      </c>
    </row>
    <row r="1223" spans="1:22" s="128" customFormat="1" ht="15.6" hidden="1" x14ac:dyDescent="0.3">
      <c r="A1223" s="142" t="s">
        <v>486</v>
      </c>
      <c r="B1223" s="142">
        <v>478</v>
      </c>
      <c r="C1223" s="141">
        <v>46097</v>
      </c>
      <c r="D1223" s="140">
        <f>WEEKNUM(C1223)</f>
        <v>12</v>
      </c>
      <c r="E1223" s="142" t="s">
        <v>68</v>
      </c>
      <c r="F1223" s="142" t="s">
        <v>387</v>
      </c>
      <c r="G1223" s="142" t="s">
        <v>408</v>
      </c>
      <c r="H1223" s="142" t="s">
        <v>80</v>
      </c>
      <c r="I1223" s="142" t="s">
        <v>46</v>
      </c>
      <c r="J1223" s="157">
        <v>6</v>
      </c>
      <c r="K1223" s="143">
        <v>21</v>
      </c>
      <c r="L1223" s="143">
        <f>K1223*J1223</f>
        <v>126</v>
      </c>
      <c r="M1223" s="156">
        <v>0</v>
      </c>
      <c r="N1223" s="141">
        <v>46125</v>
      </c>
      <c r="O1223" s="157">
        <f>WEEKNUM(N1223)</f>
        <v>16</v>
      </c>
      <c r="P1223" s="140"/>
      <c r="Q1223" s="142" t="s">
        <v>29</v>
      </c>
      <c r="R1223" s="143">
        <f>PRODUCT(0.25*J1223)</f>
        <v>1.5</v>
      </c>
      <c r="S1223" s="143">
        <f>J1223*1.5</f>
        <v>9</v>
      </c>
      <c r="T1223" s="143">
        <f>J1223*1.5</f>
        <v>9</v>
      </c>
      <c r="U1223" s="143">
        <f>J1223*0.5</f>
        <v>3</v>
      </c>
      <c r="V1223" s="143">
        <f>U1223+T1223+S1223+R1223</f>
        <v>22.5</v>
      </c>
    </row>
    <row r="1224" spans="1:22" s="128" customFormat="1" ht="15.6" hidden="1" x14ac:dyDescent="0.3">
      <c r="A1224" s="142" t="s">
        <v>486</v>
      </c>
      <c r="B1224" s="142">
        <v>478</v>
      </c>
      <c r="C1224" s="141">
        <v>46097</v>
      </c>
      <c r="D1224" s="140">
        <f>WEEKNUM(C1224)</f>
        <v>12</v>
      </c>
      <c r="E1224" s="142" t="s">
        <v>68</v>
      </c>
      <c r="F1224" s="142" t="s">
        <v>387</v>
      </c>
      <c r="G1224" s="142" t="s">
        <v>339</v>
      </c>
      <c r="H1224" s="142" t="s">
        <v>340</v>
      </c>
      <c r="I1224" s="142" t="s">
        <v>46</v>
      </c>
      <c r="J1224" s="157">
        <v>4</v>
      </c>
      <c r="K1224" s="143">
        <v>65</v>
      </c>
      <c r="L1224" s="143">
        <f>K1224*J1224</f>
        <v>260</v>
      </c>
      <c r="M1224" s="156">
        <v>0</v>
      </c>
      <c r="N1224" s="141">
        <v>46125</v>
      </c>
      <c r="O1224" s="157">
        <f>WEEKNUM(N1224)</f>
        <v>16</v>
      </c>
      <c r="P1224" s="155">
        <f>YEAR(O1224)</f>
        <v>1900</v>
      </c>
      <c r="Q1224" s="142" t="s">
        <v>29</v>
      </c>
      <c r="R1224" s="143">
        <f>PRODUCT(0.25*J1224)</f>
        <v>1</v>
      </c>
      <c r="S1224" s="143">
        <f>J1224*1.5</f>
        <v>6</v>
      </c>
      <c r="T1224" s="143">
        <f>J1224*1.5</f>
        <v>6</v>
      </c>
      <c r="U1224" s="143">
        <f>J1224*0.5</f>
        <v>2</v>
      </c>
      <c r="V1224" s="143">
        <f>U1224+T1224+S1224+R1224</f>
        <v>15</v>
      </c>
    </row>
    <row r="1225" spans="1:22" s="128" customFormat="1" ht="15.6" hidden="1" x14ac:dyDescent="0.3">
      <c r="A1225" s="142" t="s">
        <v>486</v>
      </c>
      <c r="B1225" s="142">
        <v>478</v>
      </c>
      <c r="C1225" s="141">
        <v>46097</v>
      </c>
      <c r="D1225" s="140">
        <f>WEEKNUM(C1225)</f>
        <v>12</v>
      </c>
      <c r="E1225" s="142" t="s">
        <v>68</v>
      </c>
      <c r="F1225" s="142" t="s">
        <v>387</v>
      </c>
      <c r="G1225" s="142" t="s">
        <v>301</v>
      </c>
      <c r="H1225" s="142" t="s">
        <v>74</v>
      </c>
      <c r="I1225" s="142" t="s">
        <v>46</v>
      </c>
      <c r="J1225" s="157">
        <v>2</v>
      </c>
      <c r="K1225" s="143">
        <v>36.75</v>
      </c>
      <c r="L1225" s="143">
        <f>K1225*J1225</f>
        <v>73.5</v>
      </c>
      <c r="M1225" s="156">
        <v>0</v>
      </c>
      <c r="N1225" s="141">
        <v>46125</v>
      </c>
      <c r="O1225" s="157">
        <f>WEEKNUM(N1225)</f>
        <v>16</v>
      </c>
      <c r="P1225" s="140"/>
      <c r="Q1225" s="142" t="s">
        <v>29</v>
      </c>
      <c r="R1225" s="143">
        <f>PRODUCT(0.25*J1225)</f>
        <v>0.5</v>
      </c>
      <c r="S1225" s="143">
        <f>J1225*1.5</f>
        <v>3</v>
      </c>
      <c r="T1225" s="143">
        <f>J1225*1.5</f>
        <v>3</v>
      </c>
      <c r="U1225" s="143">
        <f>J1225*0.5</f>
        <v>1</v>
      </c>
      <c r="V1225" s="143">
        <f>U1225+T1225+S1225+R1225</f>
        <v>7.5</v>
      </c>
    </row>
    <row r="1226" spans="1:22" s="128" customFormat="1" ht="15.6" hidden="1" x14ac:dyDescent="0.3">
      <c r="A1226" s="142" t="s">
        <v>486</v>
      </c>
      <c r="B1226" s="142">
        <v>478</v>
      </c>
      <c r="C1226" s="141">
        <v>46097</v>
      </c>
      <c r="D1226" s="140">
        <f>WEEKNUM(C1226)</f>
        <v>12</v>
      </c>
      <c r="E1226" s="142" t="s">
        <v>68</v>
      </c>
      <c r="F1226" s="142" t="s">
        <v>387</v>
      </c>
      <c r="G1226" s="140" t="s">
        <v>503</v>
      </c>
      <c r="H1226" s="142" t="s">
        <v>354</v>
      </c>
      <c r="I1226" s="142" t="s">
        <v>46</v>
      </c>
      <c r="J1226" s="157">
        <v>1</v>
      </c>
      <c r="K1226" s="143">
        <v>36.75</v>
      </c>
      <c r="L1226" s="143">
        <f>K1226*J1226</f>
        <v>36.75</v>
      </c>
      <c r="M1226" s="156">
        <v>0</v>
      </c>
      <c r="N1226" s="141">
        <v>46125</v>
      </c>
      <c r="O1226" s="157">
        <f>WEEKNUM(N1226)</f>
        <v>16</v>
      </c>
      <c r="P1226" s="140"/>
      <c r="Q1226" s="142" t="s">
        <v>29</v>
      </c>
      <c r="R1226" s="143">
        <f>PRODUCT(0.25*J1226)</f>
        <v>0.25</v>
      </c>
      <c r="S1226" s="143">
        <f>J1226*1.5</f>
        <v>1.5</v>
      </c>
      <c r="T1226" s="143">
        <f>J1226*1.5</f>
        <v>1.5</v>
      </c>
      <c r="U1226" s="143">
        <f>J1226*0.5</f>
        <v>0.5</v>
      </c>
      <c r="V1226" s="143">
        <f>U1226+T1226+S1226+R1226</f>
        <v>3.75</v>
      </c>
    </row>
    <row r="1227" spans="1:22" s="128" customFormat="1" ht="15.6" hidden="1" x14ac:dyDescent="0.3">
      <c r="A1227" s="142" t="s">
        <v>477</v>
      </c>
      <c r="B1227" s="142">
        <v>1079</v>
      </c>
      <c r="C1227" s="141">
        <v>46097</v>
      </c>
      <c r="D1227" s="140">
        <f>WEEKNUM(C1227)</f>
        <v>12</v>
      </c>
      <c r="E1227" s="140" t="s">
        <v>475</v>
      </c>
      <c r="F1227" s="142" t="s">
        <v>794</v>
      </c>
      <c r="G1227" s="142" t="s">
        <v>536</v>
      </c>
      <c r="H1227" s="142" t="s">
        <v>494</v>
      </c>
      <c r="I1227" s="142" t="s">
        <v>46</v>
      </c>
      <c r="J1227" s="157">
        <v>100</v>
      </c>
      <c r="K1227" s="143">
        <v>26.5</v>
      </c>
      <c r="L1227" s="143">
        <v>31.5</v>
      </c>
      <c r="M1227" s="143">
        <f>L1227</f>
        <v>31.5</v>
      </c>
      <c r="N1227" s="141">
        <v>46126</v>
      </c>
      <c r="O1227" s="157">
        <f>WEEKNUM(N1227)</f>
        <v>16</v>
      </c>
      <c r="P1227" s="140"/>
      <c r="Q1227" s="142" t="s">
        <v>29</v>
      </c>
      <c r="R1227" s="143">
        <f>PRODUCT(0.25*J1227)</f>
        <v>25</v>
      </c>
      <c r="S1227" s="143">
        <f>J1227*1.5</f>
        <v>150</v>
      </c>
      <c r="T1227" s="143">
        <f>J1227*1.5</f>
        <v>150</v>
      </c>
      <c r="U1227" s="143">
        <f>J1227*0.5</f>
        <v>50</v>
      </c>
      <c r="V1227" s="143">
        <f>U1227+T1227+S1227+R1227</f>
        <v>375</v>
      </c>
    </row>
    <row r="1228" spans="1:22" s="128" customFormat="1" ht="15.6" hidden="1" x14ac:dyDescent="0.3">
      <c r="A1228" s="142" t="s">
        <v>477</v>
      </c>
      <c r="B1228" s="142">
        <v>1078</v>
      </c>
      <c r="C1228" s="141">
        <v>46097</v>
      </c>
      <c r="D1228" s="140">
        <f>WEEKNUM(C1228)</f>
        <v>12</v>
      </c>
      <c r="E1228" s="140" t="s">
        <v>478</v>
      </c>
      <c r="F1228" s="142" t="s">
        <v>821</v>
      </c>
      <c r="G1228" s="142" t="s">
        <v>655</v>
      </c>
      <c r="H1228" s="142" t="s">
        <v>660</v>
      </c>
      <c r="I1228" s="142" t="s">
        <v>61</v>
      </c>
      <c r="J1228" s="157">
        <v>500</v>
      </c>
      <c r="K1228" s="143">
        <v>3.5</v>
      </c>
      <c r="L1228" s="143">
        <f>K1228*J1228</f>
        <v>1750</v>
      </c>
      <c r="M1228" s="143">
        <f>L1228</f>
        <v>1750</v>
      </c>
      <c r="N1228" s="141">
        <v>46126</v>
      </c>
      <c r="O1228" s="157">
        <f>WEEKNUM(N1228)</f>
        <v>16</v>
      </c>
      <c r="P1228" s="140"/>
      <c r="Q1228" s="142" t="s">
        <v>29</v>
      </c>
      <c r="R1228" s="143">
        <f>PRODUCT(0.25*J1228)</f>
        <v>125</v>
      </c>
      <c r="S1228" s="143">
        <f>J1228*1.5</f>
        <v>750</v>
      </c>
      <c r="T1228" s="143">
        <f>J1228*1.5</f>
        <v>750</v>
      </c>
      <c r="U1228" s="143">
        <f>J1228*0.5</f>
        <v>250</v>
      </c>
      <c r="V1228" s="143">
        <f>U1228+T1228+S1228+R1228</f>
        <v>1875</v>
      </c>
    </row>
    <row r="1229" spans="1:22" s="128" customFormat="1" ht="15.6" hidden="1" x14ac:dyDescent="0.3">
      <c r="A1229" s="142" t="s">
        <v>477</v>
      </c>
      <c r="B1229" s="142">
        <v>1078</v>
      </c>
      <c r="C1229" s="141">
        <v>46097</v>
      </c>
      <c r="D1229" s="140">
        <f>WEEKNUM(C1229)</f>
        <v>12</v>
      </c>
      <c r="E1229" s="140" t="s">
        <v>478</v>
      </c>
      <c r="F1229" s="142" t="s">
        <v>821</v>
      </c>
      <c r="G1229" s="142" t="s">
        <v>823</v>
      </c>
      <c r="H1229" s="142" t="s">
        <v>823</v>
      </c>
      <c r="I1229" s="142" t="s">
        <v>61</v>
      </c>
      <c r="J1229" s="157">
        <v>45</v>
      </c>
      <c r="K1229" s="143">
        <v>12</v>
      </c>
      <c r="L1229" s="143">
        <f>K1229*J1229</f>
        <v>540</v>
      </c>
      <c r="M1229" s="143">
        <f>L1229</f>
        <v>540</v>
      </c>
      <c r="N1229" s="141">
        <v>46126</v>
      </c>
      <c r="O1229" s="157">
        <f>WEEKNUM(N1229)</f>
        <v>16</v>
      </c>
      <c r="P1229" s="140"/>
      <c r="Q1229" s="142" t="s">
        <v>29</v>
      </c>
      <c r="R1229" s="143">
        <f>PRODUCT(0.25*J1229)</f>
        <v>11.25</v>
      </c>
      <c r="S1229" s="143">
        <f>J1229*1.5</f>
        <v>67.5</v>
      </c>
      <c r="T1229" s="143">
        <f>J1229*1.5</f>
        <v>67.5</v>
      </c>
      <c r="U1229" s="143">
        <f>J1229*0.5</f>
        <v>22.5</v>
      </c>
      <c r="V1229" s="143">
        <f>U1229+T1229+S1229+R1229</f>
        <v>168.75</v>
      </c>
    </row>
    <row r="1230" spans="1:22" s="128" customFormat="1" ht="15.6" hidden="1" x14ac:dyDescent="0.3">
      <c r="A1230" s="142" t="s">
        <v>477</v>
      </c>
      <c r="B1230" s="142">
        <v>479</v>
      </c>
      <c r="C1230" s="141">
        <v>46097</v>
      </c>
      <c r="D1230" s="140">
        <f>WEEKNUM(C1230)</f>
        <v>12</v>
      </c>
      <c r="E1230" s="140" t="s">
        <v>475</v>
      </c>
      <c r="F1230" s="142" t="s">
        <v>888</v>
      </c>
      <c r="G1230" s="142" t="s">
        <v>895</v>
      </c>
      <c r="H1230" s="142" t="s">
        <v>642</v>
      </c>
      <c r="I1230" s="142" t="s">
        <v>61</v>
      </c>
      <c r="J1230" s="157">
        <v>100</v>
      </c>
      <c r="K1230" s="143">
        <v>10.9</v>
      </c>
      <c r="L1230" s="143">
        <f>K1230*J1230</f>
        <v>1090</v>
      </c>
      <c r="M1230" s="143">
        <f>L1230</f>
        <v>1090</v>
      </c>
      <c r="N1230" s="141">
        <v>46125</v>
      </c>
      <c r="O1230" s="157">
        <f>WEEKNUM(N1230)</f>
        <v>16</v>
      </c>
      <c r="P1230" s="140"/>
      <c r="Q1230" s="142" t="s">
        <v>29</v>
      </c>
      <c r="R1230" s="143">
        <f>PRODUCT(0.25*J1230)</f>
        <v>25</v>
      </c>
      <c r="S1230" s="143">
        <f>J1230*1.5</f>
        <v>150</v>
      </c>
      <c r="T1230" s="143">
        <f>J1230*1.5</f>
        <v>150</v>
      </c>
      <c r="U1230" s="143">
        <f>J1230*0.5</f>
        <v>50</v>
      </c>
      <c r="V1230" s="143">
        <f>U1230+T1230+S1230+R1230</f>
        <v>375</v>
      </c>
    </row>
    <row r="1231" spans="1:22" s="128" customFormat="1" ht="15.6" hidden="1" x14ac:dyDescent="0.3">
      <c r="A1231" s="142" t="s">
        <v>477</v>
      </c>
      <c r="B1231" s="142">
        <v>1075</v>
      </c>
      <c r="C1231" s="141">
        <v>46097</v>
      </c>
      <c r="D1231" s="140">
        <f>WEEKNUM(C1231)</f>
        <v>12</v>
      </c>
      <c r="E1231" s="142" t="s">
        <v>498</v>
      </c>
      <c r="F1231" s="140" t="s">
        <v>459</v>
      </c>
      <c r="G1231" s="142" t="s">
        <v>914</v>
      </c>
      <c r="H1231" s="142" t="s">
        <v>74</v>
      </c>
      <c r="I1231" s="142" t="s">
        <v>46</v>
      </c>
      <c r="J1231" s="157">
        <v>4</v>
      </c>
      <c r="K1231" s="143">
        <v>45</v>
      </c>
      <c r="L1231" s="143">
        <f>K1231*J1231</f>
        <v>180</v>
      </c>
      <c r="M1231" s="143">
        <f>L1231</f>
        <v>180</v>
      </c>
      <c r="N1231" s="141">
        <v>46126</v>
      </c>
      <c r="O1231" s="157">
        <f>WEEKNUM(N1231)</f>
        <v>16</v>
      </c>
      <c r="P1231" s="140"/>
      <c r="Q1231" s="142" t="s">
        <v>29</v>
      </c>
      <c r="R1231" s="143">
        <f>PRODUCT(0.25*J1231)</f>
        <v>1</v>
      </c>
      <c r="S1231" s="143">
        <f>J1231*1.5</f>
        <v>6</v>
      </c>
      <c r="T1231" s="143">
        <f>J1231*1.5</f>
        <v>6</v>
      </c>
      <c r="U1231" s="143">
        <f>J1231*0.5</f>
        <v>2</v>
      </c>
      <c r="V1231" s="143">
        <f>U1231+T1231+S1231+R1231</f>
        <v>15</v>
      </c>
    </row>
    <row r="1232" spans="1:22" s="128" customFormat="1" ht="15.6" hidden="1" x14ac:dyDescent="0.3">
      <c r="A1232" s="142" t="s">
        <v>477</v>
      </c>
      <c r="B1232" s="142">
        <v>1075</v>
      </c>
      <c r="C1232" s="141">
        <v>46097</v>
      </c>
      <c r="D1232" s="140">
        <f>WEEKNUM(C1232)</f>
        <v>12</v>
      </c>
      <c r="E1232" s="142" t="s">
        <v>498</v>
      </c>
      <c r="F1232" s="140" t="s">
        <v>459</v>
      </c>
      <c r="G1232" s="142" t="s">
        <v>915</v>
      </c>
      <c r="H1232" s="142" t="s">
        <v>916</v>
      </c>
      <c r="I1232" s="142" t="s">
        <v>61</v>
      </c>
      <c r="J1232" s="157">
        <v>2</v>
      </c>
      <c r="K1232" s="143">
        <v>150</v>
      </c>
      <c r="L1232" s="143">
        <f>K1232*J1232</f>
        <v>300</v>
      </c>
      <c r="M1232" s="143">
        <f>L1232</f>
        <v>300</v>
      </c>
      <c r="N1232" s="141">
        <v>46126</v>
      </c>
      <c r="O1232" s="157">
        <f>WEEKNUM(N1232)</f>
        <v>16</v>
      </c>
      <c r="P1232" s="140"/>
      <c r="Q1232" s="142" t="s">
        <v>29</v>
      </c>
      <c r="R1232" s="143">
        <f>PRODUCT(0.25*J1232)</f>
        <v>0.5</v>
      </c>
      <c r="S1232" s="143">
        <f>J1232*1.5</f>
        <v>3</v>
      </c>
      <c r="T1232" s="143">
        <f>J1232*1.5</f>
        <v>3</v>
      </c>
      <c r="U1232" s="143">
        <f>J1232*0.5</f>
        <v>1</v>
      </c>
      <c r="V1232" s="143">
        <f>U1232+T1232+S1232+R1232</f>
        <v>7.5</v>
      </c>
    </row>
    <row r="1233" spans="1:22" s="128" customFormat="1" ht="15.6" hidden="1" x14ac:dyDescent="0.3">
      <c r="A1233" s="142" t="s">
        <v>477</v>
      </c>
      <c r="B1233" s="142">
        <v>1244</v>
      </c>
      <c r="C1233" s="141">
        <v>46098</v>
      </c>
      <c r="D1233" s="140">
        <f>WEEKNUM(C1233)</f>
        <v>12</v>
      </c>
      <c r="E1233" s="142" t="s">
        <v>498</v>
      </c>
      <c r="F1233" s="140" t="s">
        <v>446</v>
      </c>
      <c r="G1233" s="142" t="s">
        <v>600</v>
      </c>
      <c r="H1233" s="142" t="s">
        <v>51</v>
      </c>
      <c r="I1233" s="142" t="s">
        <v>46</v>
      </c>
      <c r="J1233" s="157">
        <v>500</v>
      </c>
      <c r="K1233" s="143">
        <v>23.5</v>
      </c>
      <c r="L1233" s="143">
        <f>K1233*J1233</f>
        <v>11750</v>
      </c>
      <c r="M1233" s="143">
        <f>L1233</f>
        <v>11750</v>
      </c>
      <c r="N1233" s="141">
        <v>46114</v>
      </c>
      <c r="O1233" s="157">
        <f>WEEKNUM(N1233)</f>
        <v>14</v>
      </c>
      <c r="P1233" s="140"/>
      <c r="Q1233" s="142" t="s">
        <v>29</v>
      </c>
      <c r="R1233" s="143">
        <f>PRODUCT(0.25*J1233)</f>
        <v>125</v>
      </c>
      <c r="S1233" s="143">
        <f>J1233*1.5</f>
        <v>750</v>
      </c>
      <c r="T1233" s="143">
        <f>J1233*1.5</f>
        <v>750</v>
      </c>
      <c r="U1233" s="143">
        <f>J1233*0.5</f>
        <v>250</v>
      </c>
      <c r="V1233" s="143">
        <f>U1233+T1233+S1233+R1233</f>
        <v>1875</v>
      </c>
    </row>
    <row r="1234" spans="1:22" s="128" customFormat="1" ht="15.6" hidden="1" x14ac:dyDescent="0.3">
      <c r="A1234" s="142" t="s">
        <v>477</v>
      </c>
      <c r="B1234" s="142">
        <v>481</v>
      </c>
      <c r="C1234" s="141">
        <v>46098</v>
      </c>
      <c r="D1234" s="140">
        <f>WEEKNUM(C1234)</f>
        <v>12</v>
      </c>
      <c r="E1234" s="140" t="s">
        <v>475</v>
      </c>
      <c r="F1234" s="142" t="s">
        <v>981</v>
      </c>
      <c r="G1234" s="142" t="s">
        <v>965</v>
      </c>
      <c r="H1234" s="142" t="s">
        <v>95</v>
      </c>
      <c r="I1234" s="142" t="s">
        <v>46</v>
      </c>
      <c r="J1234" s="157">
        <v>300</v>
      </c>
      <c r="K1234" s="143">
        <v>8.6999999999999993</v>
      </c>
      <c r="L1234" s="143">
        <f>K1234*J1234</f>
        <v>2610</v>
      </c>
      <c r="M1234" s="143">
        <f>L1234/2</f>
        <v>1305</v>
      </c>
      <c r="N1234" s="141">
        <v>46127</v>
      </c>
      <c r="O1234" s="157">
        <f>WEEKNUM(N1234)</f>
        <v>16</v>
      </c>
      <c r="P1234" s="140"/>
      <c r="Q1234" s="142" t="s">
        <v>29</v>
      </c>
      <c r="R1234" s="143">
        <f>PRODUCT(0.25*J1234)</f>
        <v>75</v>
      </c>
      <c r="S1234" s="143">
        <f>J1234*1.5</f>
        <v>450</v>
      </c>
      <c r="T1234" s="143">
        <f>J1234*1.5</f>
        <v>450</v>
      </c>
      <c r="U1234" s="143">
        <f>J1234*0.5</f>
        <v>150</v>
      </c>
      <c r="V1234" s="143">
        <f>U1234+T1234+S1234+R1234</f>
        <v>1125</v>
      </c>
    </row>
    <row r="1235" spans="1:22" s="128" customFormat="1" ht="15.6" hidden="1" x14ac:dyDescent="0.3">
      <c r="A1235" s="142" t="s">
        <v>477</v>
      </c>
      <c r="B1235" s="142">
        <v>481</v>
      </c>
      <c r="C1235" s="141">
        <v>46098</v>
      </c>
      <c r="D1235" s="140">
        <f>WEEKNUM(C1235)</f>
        <v>12</v>
      </c>
      <c r="E1235" s="140" t="s">
        <v>475</v>
      </c>
      <c r="F1235" s="142" t="s">
        <v>981</v>
      </c>
      <c r="G1235" s="142" t="s">
        <v>957</v>
      </c>
      <c r="H1235" s="142" t="s">
        <v>60</v>
      </c>
      <c r="I1235" s="142" t="s">
        <v>61</v>
      </c>
      <c r="J1235" s="157">
        <v>150</v>
      </c>
      <c r="K1235" s="143">
        <v>12.5</v>
      </c>
      <c r="L1235" s="143">
        <f>K1235*J1235</f>
        <v>1875</v>
      </c>
      <c r="M1235" s="143">
        <v>1875</v>
      </c>
      <c r="N1235" s="141">
        <v>46127</v>
      </c>
      <c r="O1235" s="157">
        <f>WEEKNUM(N1235)</f>
        <v>16</v>
      </c>
      <c r="P1235" s="140"/>
      <c r="Q1235" s="142" t="s">
        <v>29</v>
      </c>
      <c r="R1235" s="143">
        <f>PRODUCT(0.25*J1235)</f>
        <v>37.5</v>
      </c>
      <c r="S1235" s="143">
        <f>J1235*1.5</f>
        <v>225</v>
      </c>
      <c r="T1235" s="143">
        <f>J1235*1.5</f>
        <v>225</v>
      </c>
      <c r="U1235" s="143">
        <f>J1235*0.5</f>
        <v>75</v>
      </c>
      <c r="V1235" s="143">
        <f>U1235+T1235+S1235+R1235</f>
        <v>562.5</v>
      </c>
    </row>
    <row r="1236" spans="1:22" s="128" customFormat="1" ht="15.6" hidden="1" x14ac:dyDescent="0.3">
      <c r="A1236" s="142" t="s">
        <v>477</v>
      </c>
      <c r="B1236" s="142">
        <v>481</v>
      </c>
      <c r="C1236" s="141">
        <v>46098</v>
      </c>
      <c r="D1236" s="140">
        <f>WEEKNUM(C1236)</f>
        <v>12</v>
      </c>
      <c r="E1236" s="140" t="s">
        <v>475</v>
      </c>
      <c r="F1236" s="142" t="s">
        <v>981</v>
      </c>
      <c r="G1236" s="142" t="s">
        <v>957</v>
      </c>
      <c r="H1236" s="142" t="s">
        <v>60</v>
      </c>
      <c r="I1236" s="142" t="s">
        <v>61</v>
      </c>
      <c r="J1236" s="157">
        <v>120</v>
      </c>
      <c r="K1236" s="143">
        <v>12.5</v>
      </c>
      <c r="L1236" s="143">
        <f>K1236*J1236</f>
        <v>1500</v>
      </c>
      <c r="M1236" s="143">
        <v>1500</v>
      </c>
      <c r="N1236" s="141">
        <v>46127</v>
      </c>
      <c r="O1236" s="157">
        <f>WEEKNUM(N1236)</f>
        <v>16</v>
      </c>
      <c r="P1236" s="140"/>
      <c r="Q1236" s="142" t="s">
        <v>29</v>
      </c>
      <c r="R1236" s="143">
        <f>PRODUCT(0.25*J1236)</f>
        <v>30</v>
      </c>
      <c r="S1236" s="143">
        <f>J1236*1.5</f>
        <v>180</v>
      </c>
      <c r="T1236" s="143">
        <f>J1236*1.5</f>
        <v>180</v>
      </c>
      <c r="U1236" s="143">
        <f>J1236*0.5</f>
        <v>60</v>
      </c>
      <c r="V1236" s="143">
        <f>U1236+T1236+S1236+R1236</f>
        <v>450</v>
      </c>
    </row>
    <row r="1237" spans="1:22" s="128" customFormat="1" ht="15.6" hidden="1" x14ac:dyDescent="0.3">
      <c r="A1237" s="142" t="s">
        <v>486</v>
      </c>
      <c r="B1237" s="142">
        <v>484</v>
      </c>
      <c r="C1237" s="141">
        <v>46099</v>
      </c>
      <c r="D1237" s="140">
        <f>WEEKNUM(C1237)</f>
        <v>12</v>
      </c>
      <c r="E1237" s="140" t="s">
        <v>475</v>
      </c>
      <c r="F1237" s="142" t="s">
        <v>933</v>
      </c>
      <c r="G1237" s="142" t="s">
        <v>311</v>
      </c>
      <c r="H1237" s="142" t="s">
        <v>51</v>
      </c>
      <c r="I1237" s="142" t="s">
        <v>46</v>
      </c>
      <c r="J1237" s="157">
        <v>10</v>
      </c>
      <c r="K1237" s="143">
        <v>25</v>
      </c>
      <c r="L1237" s="143">
        <f>K1237*J1237</f>
        <v>250</v>
      </c>
      <c r="M1237" s="143">
        <v>125</v>
      </c>
      <c r="N1237" s="141">
        <v>46128</v>
      </c>
      <c r="O1237" s="157">
        <f>WEEKNUM(N1237)</f>
        <v>16</v>
      </c>
      <c r="P1237" s="140"/>
      <c r="Q1237" s="142" t="s">
        <v>29</v>
      </c>
      <c r="R1237" s="143">
        <f>PRODUCT(0.25*J1237)</f>
        <v>2.5</v>
      </c>
      <c r="S1237" s="143">
        <f>J1237*1.5</f>
        <v>15</v>
      </c>
      <c r="T1237" s="143">
        <f>J1237*1.5</f>
        <v>15</v>
      </c>
      <c r="U1237" s="143">
        <f>J1237*0.5</f>
        <v>5</v>
      </c>
      <c r="V1237" s="143">
        <f>U1237+T1237+S1237+R1237</f>
        <v>37.5</v>
      </c>
    </row>
    <row r="1238" spans="1:22" s="128" customFormat="1" ht="15.6" hidden="1" x14ac:dyDescent="0.3">
      <c r="A1238" s="142" t="s">
        <v>477</v>
      </c>
      <c r="B1238" s="142">
        <v>482</v>
      </c>
      <c r="C1238" s="141">
        <v>46099</v>
      </c>
      <c r="D1238" s="140">
        <f>WEEKNUM(C1238)</f>
        <v>12</v>
      </c>
      <c r="E1238" s="140" t="s">
        <v>475</v>
      </c>
      <c r="F1238" s="140" t="s">
        <v>146</v>
      </c>
      <c r="G1238" s="142" t="s">
        <v>965</v>
      </c>
      <c r="H1238" s="142" t="s">
        <v>95</v>
      </c>
      <c r="I1238" s="142" t="s">
        <v>61</v>
      </c>
      <c r="J1238" s="157">
        <v>300</v>
      </c>
      <c r="K1238" s="143">
        <v>16.5</v>
      </c>
      <c r="L1238" s="143">
        <f>K1238*J1238</f>
        <v>4950</v>
      </c>
      <c r="M1238" s="143">
        <v>2475</v>
      </c>
      <c r="N1238" s="141">
        <v>46128</v>
      </c>
      <c r="O1238" s="157">
        <f>WEEKNUM(N1238)</f>
        <v>16</v>
      </c>
      <c r="P1238" s="140"/>
      <c r="Q1238" s="142" t="s">
        <v>29</v>
      </c>
      <c r="R1238" s="143">
        <f>PRODUCT(0.25*J1238)</f>
        <v>75</v>
      </c>
      <c r="S1238" s="143">
        <f>J1238*1.5</f>
        <v>450</v>
      </c>
      <c r="T1238" s="143">
        <f>J1238*1.5</f>
        <v>450</v>
      </c>
      <c r="U1238" s="143">
        <f>J1238*0.5</f>
        <v>150</v>
      </c>
      <c r="V1238" s="143">
        <f>U1238+T1238+S1238+R1238</f>
        <v>1125</v>
      </c>
    </row>
    <row r="1239" spans="1:22" s="128" customFormat="1" ht="15.6" hidden="1" x14ac:dyDescent="0.3">
      <c r="A1239" s="142" t="s">
        <v>486</v>
      </c>
      <c r="B1239" s="142">
        <v>485</v>
      </c>
      <c r="C1239" s="141">
        <v>46100</v>
      </c>
      <c r="D1239" s="140">
        <f>WEEKNUM(C1239)</f>
        <v>12</v>
      </c>
      <c r="E1239" s="142" t="s">
        <v>68</v>
      </c>
      <c r="F1239" s="142" t="s">
        <v>379</v>
      </c>
      <c r="G1239" s="142" t="s">
        <v>311</v>
      </c>
      <c r="H1239" s="142" t="s">
        <v>51</v>
      </c>
      <c r="I1239" s="142" t="s">
        <v>46</v>
      </c>
      <c r="J1239" s="157">
        <v>2</v>
      </c>
      <c r="K1239" s="143">
        <v>25</v>
      </c>
      <c r="L1239" s="143">
        <f>K1239*J1239</f>
        <v>50</v>
      </c>
      <c r="M1239" s="156">
        <f>L1239</f>
        <v>50</v>
      </c>
      <c r="N1239" s="141">
        <v>46121</v>
      </c>
      <c r="O1239" s="157">
        <f>WEEKNUM(N1239)</f>
        <v>15</v>
      </c>
      <c r="P1239" s="140"/>
      <c r="Q1239" s="142" t="s">
        <v>29</v>
      </c>
      <c r="R1239" s="143">
        <f>PRODUCT(0.25*J1239)</f>
        <v>0.5</v>
      </c>
      <c r="S1239" s="143">
        <f>J1239*1.5</f>
        <v>3</v>
      </c>
      <c r="T1239" s="143">
        <f>J1239*1.5</f>
        <v>3</v>
      </c>
      <c r="U1239" s="143">
        <f>J1239*0.5</f>
        <v>1</v>
      </c>
      <c r="V1239" s="143">
        <f>U1239+T1239+S1239+R1239</f>
        <v>7.5</v>
      </c>
    </row>
    <row r="1240" spans="1:22" s="128" customFormat="1" ht="15.6" hidden="1" x14ac:dyDescent="0.3">
      <c r="A1240" s="142" t="s">
        <v>486</v>
      </c>
      <c r="B1240" s="142">
        <v>485</v>
      </c>
      <c r="C1240" s="141">
        <v>46100</v>
      </c>
      <c r="D1240" s="140">
        <f>WEEKNUM(C1240)</f>
        <v>12</v>
      </c>
      <c r="E1240" s="142" t="s">
        <v>68</v>
      </c>
      <c r="F1240" s="142" t="s">
        <v>379</v>
      </c>
      <c r="G1240" s="142" t="s">
        <v>408</v>
      </c>
      <c r="H1240" s="142" t="s">
        <v>80</v>
      </c>
      <c r="I1240" s="142" t="s">
        <v>46</v>
      </c>
      <c r="J1240" s="157">
        <v>2</v>
      </c>
      <c r="K1240" s="143">
        <v>21</v>
      </c>
      <c r="L1240" s="143">
        <f>K1240*J1240</f>
        <v>42</v>
      </c>
      <c r="M1240" s="156">
        <f>L1240</f>
        <v>42</v>
      </c>
      <c r="N1240" s="141">
        <v>46121</v>
      </c>
      <c r="O1240" s="157">
        <f>WEEKNUM(N1240)</f>
        <v>15</v>
      </c>
      <c r="P1240" s="140"/>
      <c r="Q1240" s="142" t="s">
        <v>29</v>
      </c>
      <c r="R1240" s="143">
        <f>PRODUCT(0.25*J1240)</f>
        <v>0.5</v>
      </c>
      <c r="S1240" s="143">
        <f>J1240*1.5</f>
        <v>3</v>
      </c>
      <c r="T1240" s="143">
        <f>J1240*1.5</f>
        <v>3</v>
      </c>
      <c r="U1240" s="143">
        <f>J1240*0.5</f>
        <v>1</v>
      </c>
      <c r="V1240" s="143">
        <f>U1240+T1240+S1240+R1240</f>
        <v>7.5</v>
      </c>
    </row>
    <row r="1241" spans="1:22" s="128" customFormat="1" ht="15.6" hidden="1" x14ac:dyDescent="0.3">
      <c r="A1241" s="142" t="s">
        <v>486</v>
      </c>
      <c r="B1241" s="142">
        <v>485</v>
      </c>
      <c r="C1241" s="141">
        <v>46100</v>
      </c>
      <c r="D1241" s="140">
        <f>WEEKNUM(C1241)</f>
        <v>12</v>
      </c>
      <c r="E1241" s="142" t="s">
        <v>68</v>
      </c>
      <c r="F1241" s="142" t="s">
        <v>379</v>
      </c>
      <c r="G1241" s="140" t="s">
        <v>503</v>
      </c>
      <c r="H1241" s="142" t="s">
        <v>354</v>
      </c>
      <c r="I1241" s="142" t="s">
        <v>46</v>
      </c>
      <c r="J1241" s="157">
        <v>3</v>
      </c>
      <c r="K1241" s="143">
        <v>36.75</v>
      </c>
      <c r="L1241" s="143">
        <f>K1241*J1241</f>
        <v>110.25</v>
      </c>
      <c r="M1241" s="156">
        <f>L1241</f>
        <v>110.25</v>
      </c>
      <c r="N1241" s="141">
        <v>46121</v>
      </c>
      <c r="O1241" s="157">
        <f>WEEKNUM(N1241)</f>
        <v>15</v>
      </c>
      <c r="P1241" s="140"/>
      <c r="Q1241" s="142" t="s">
        <v>29</v>
      </c>
      <c r="R1241" s="143">
        <f>PRODUCT(0.25*J1241)</f>
        <v>0.75</v>
      </c>
      <c r="S1241" s="143">
        <f>J1241*1.5</f>
        <v>4.5</v>
      </c>
      <c r="T1241" s="143">
        <f>J1241*1.5</f>
        <v>4.5</v>
      </c>
      <c r="U1241" s="143">
        <f>J1241*0.5</f>
        <v>1.5</v>
      </c>
      <c r="V1241" s="143">
        <f>U1241+T1241+S1241+R1241</f>
        <v>11.25</v>
      </c>
    </row>
    <row r="1242" spans="1:22" s="128" customFormat="1" ht="15.6" hidden="1" x14ac:dyDescent="0.3">
      <c r="A1242" s="142" t="s">
        <v>486</v>
      </c>
      <c r="B1242" s="142">
        <v>485</v>
      </c>
      <c r="C1242" s="141">
        <v>46100</v>
      </c>
      <c r="D1242" s="140">
        <f>WEEKNUM(C1242)</f>
        <v>12</v>
      </c>
      <c r="E1242" s="142" t="s">
        <v>68</v>
      </c>
      <c r="F1242" s="142" t="s">
        <v>379</v>
      </c>
      <c r="G1242" s="142" t="s">
        <v>301</v>
      </c>
      <c r="H1242" s="142" t="s">
        <v>74</v>
      </c>
      <c r="I1242" s="142" t="s">
        <v>46</v>
      </c>
      <c r="J1242" s="157">
        <v>1</v>
      </c>
      <c r="K1242" s="143">
        <v>36.75</v>
      </c>
      <c r="L1242" s="143">
        <f>K1242*J1242</f>
        <v>36.75</v>
      </c>
      <c r="M1242" s="156">
        <f>L1242</f>
        <v>36.75</v>
      </c>
      <c r="N1242" s="141">
        <v>46121</v>
      </c>
      <c r="O1242" s="157">
        <f>WEEKNUM(N1242)</f>
        <v>15</v>
      </c>
      <c r="P1242" s="140"/>
      <c r="Q1242" s="142" t="s">
        <v>29</v>
      </c>
      <c r="R1242" s="143">
        <f>PRODUCT(0.25*J1242)</f>
        <v>0.25</v>
      </c>
      <c r="S1242" s="143">
        <f>J1242*1.5</f>
        <v>1.5</v>
      </c>
      <c r="T1242" s="143">
        <f>J1242*1.5</f>
        <v>1.5</v>
      </c>
      <c r="U1242" s="143">
        <f>J1242*0.5</f>
        <v>0.5</v>
      </c>
      <c r="V1242" s="143">
        <f>U1242+T1242+S1242+R1242</f>
        <v>3.75</v>
      </c>
    </row>
    <row r="1243" spans="1:22" s="128" customFormat="1" ht="15.6" hidden="1" x14ac:dyDescent="0.3">
      <c r="A1243" s="142" t="s">
        <v>477</v>
      </c>
      <c r="B1243" s="142">
        <v>487</v>
      </c>
      <c r="C1243" s="141">
        <v>46100</v>
      </c>
      <c r="D1243" s="140">
        <f>WEEKNUM(C1243)</f>
        <v>12</v>
      </c>
      <c r="E1243" s="142" t="s">
        <v>55</v>
      </c>
      <c r="F1243" s="142" t="s">
        <v>652</v>
      </c>
      <c r="G1243" s="142" t="s">
        <v>655</v>
      </c>
      <c r="H1243" s="142" t="s">
        <v>660</v>
      </c>
      <c r="I1243" s="142" t="s">
        <v>61</v>
      </c>
      <c r="J1243" s="157">
        <v>12000</v>
      </c>
      <c r="K1243" s="143">
        <v>5</v>
      </c>
      <c r="L1243" s="143">
        <f>K1243*J1243</f>
        <v>60000</v>
      </c>
      <c r="M1243" s="143">
        <v>60000</v>
      </c>
      <c r="N1243" s="141">
        <v>46126</v>
      </c>
      <c r="O1243" s="157">
        <f>WEEKNUM(N1243)</f>
        <v>16</v>
      </c>
      <c r="P1243" s="140"/>
      <c r="Q1243" s="142" t="s">
        <v>29</v>
      </c>
      <c r="R1243" s="143">
        <f>PRODUCT(0.25*J1243)</f>
        <v>3000</v>
      </c>
      <c r="S1243" s="143">
        <f>J1243*1.5</f>
        <v>18000</v>
      </c>
      <c r="T1243" s="143">
        <f>J1243*1.5</f>
        <v>18000</v>
      </c>
      <c r="U1243" s="143">
        <f>J1243*0.5</f>
        <v>6000</v>
      </c>
      <c r="V1243" s="143">
        <f>U1243+T1243+S1243+R1243</f>
        <v>45000</v>
      </c>
    </row>
    <row r="1244" spans="1:22" s="128" customFormat="1" ht="15.6" hidden="1" x14ac:dyDescent="0.3">
      <c r="A1244" s="142" t="s">
        <v>477</v>
      </c>
      <c r="B1244" s="142">
        <v>486</v>
      </c>
      <c r="C1244" s="141">
        <v>46100</v>
      </c>
      <c r="D1244" s="140">
        <f>WEEKNUM(C1244)</f>
        <v>12</v>
      </c>
      <c r="E1244" s="140" t="s">
        <v>475</v>
      </c>
      <c r="F1244" s="142" t="s">
        <v>684</v>
      </c>
      <c r="G1244" s="142" t="s">
        <v>311</v>
      </c>
      <c r="H1244" s="142" t="s">
        <v>51</v>
      </c>
      <c r="I1244" s="142" t="s">
        <v>46</v>
      </c>
      <c r="J1244" s="157">
        <v>100</v>
      </c>
      <c r="K1244" s="143">
        <v>17</v>
      </c>
      <c r="L1244" s="143">
        <f>K1244*J1244</f>
        <v>1700</v>
      </c>
      <c r="M1244" s="143">
        <v>1700</v>
      </c>
      <c r="N1244" s="141">
        <v>46132</v>
      </c>
      <c r="O1244" s="157">
        <f>WEEKNUM(N1244)</f>
        <v>17</v>
      </c>
      <c r="P1244" s="140"/>
      <c r="Q1244" s="142" t="s">
        <v>29</v>
      </c>
      <c r="R1244" s="143">
        <f>PRODUCT(0.25*J1244)</f>
        <v>25</v>
      </c>
      <c r="S1244" s="143">
        <f>J1244*1.5</f>
        <v>150</v>
      </c>
      <c r="T1244" s="143">
        <f>J1244*1.5</f>
        <v>150</v>
      </c>
      <c r="U1244" s="143">
        <f>J1244*0.5</f>
        <v>50</v>
      </c>
      <c r="V1244" s="143">
        <f>U1244+T1244+S1244+R1244</f>
        <v>375</v>
      </c>
    </row>
    <row r="1245" spans="1:22" s="128" customFormat="1" ht="15.6" hidden="1" x14ac:dyDescent="0.3">
      <c r="A1245" s="142" t="s">
        <v>477</v>
      </c>
      <c r="B1245" s="142">
        <v>486</v>
      </c>
      <c r="C1245" s="141">
        <v>46100</v>
      </c>
      <c r="D1245" s="140">
        <f>WEEKNUM(C1245)</f>
        <v>12</v>
      </c>
      <c r="E1245" s="140" t="s">
        <v>475</v>
      </c>
      <c r="F1245" s="142" t="s">
        <v>684</v>
      </c>
      <c r="G1245" s="142" t="s">
        <v>546</v>
      </c>
      <c r="H1245" s="142" t="s">
        <v>494</v>
      </c>
      <c r="I1245" s="142" t="s">
        <v>46</v>
      </c>
      <c r="J1245" s="157">
        <v>50</v>
      </c>
      <c r="K1245" s="143">
        <v>20</v>
      </c>
      <c r="L1245" s="143">
        <f>K1245*J1245</f>
        <v>1000</v>
      </c>
      <c r="M1245" s="143">
        <v>1000</v>
      </c>
      <c r="N1245" s="141">
        <v>46132</v>
      </c>
      <c r="O1245" s="157">
        <f>WEEKNUM(N1245)</f>
        <v>17</v>
      </c>
      <c r="P1245" s="140"/>
      <c r="Q1245" s="142" t="s">
        <v>29</v>
      </c>
      <c r="R1245" s="143">
        <f>PRODUCT(0.25*J1245)</f>
        <v>12.5</v>
      </c>
      <c r="S1245" s="143">
        <f>J1245*1.5</f>
        <v>75</v>
      </c>
      <c r="T1245" s="143">
        <f>J1245*1.5</f>
        <v>75</v>
      </c>
      <c r="U1245" s="143">
        <f>J1245*0.5</f>
        <v>25</v>
      </c>
      <c r="V1245" s="143">
        <f>U1245+T1245+S1245+R1245</f>
        <v>187.5</v>
      </c>
    </row>
    <row r="1246" spans="1:22" s="128" customFormat="1" ht="15.6" hidden="1" x14ac:dyDescent="0.3">
      <c r="A1246" s="142" t="s">
        <v>477</v>
      </c>
      <c r="B1246" s="142">
        <v>1081</v>
      </c>
      <c r="C1246" s="141">
        <v>46100</v>
      </c>
      <c r="D1246" s="140">
        <f>WEEKNUM(C1246)</f>
        <v>12</v>
      </c>
      <c r="E1246" s="140" t="s">
        <v>475</v>
      </c>
      <c r="F1246" s="140" t="s">
        <v>940</v>
      </c>
      <c r="G1246" s="140" t="s">
        <v>480</v>
      </c>
      <c r="H1246" s="142" t="s">
        <v>51</v>
      </c>
      <c r="I1246" s="142" t="s">
        <v>46</v>
      </c>
      <c r="J1246" s="157">
        <v>100</v>
      </c>
      <c r="K1246" s="143">
        <v>19.5</v>
      </c>
      <c r="L1246" s="143">
        <f>K1246*J1246</f>
        <v>1950</v>
      </c>
      <c r="M1246" s="143">
        <f>L1246</f>
        <v>1950</v>
      </c>
      <c r="N1246" s="141">
        <v>46132</v>
      </c>
      <c r="O1246" s="157">
        <f>WEEKNUM(N1246)</f>
        <v>17</v>
      </c>
      <c r="P1246" s="140"/>
      <c r="Q1246" s="142" t="s">
        <v>29</v>
      </c>
      <c r="R1246" s="143">
        <f>PRODUCT(0.25*J1246)</f>
        <v>25</v>
      </c>
      <c r="S1246" s="143">
        <f>J1246*1.5</f>
        <v>150</v>
      </c>
      <c r="T1246" s="143">
        <f>J1246*1.5</f>
        <v>150</v>
      </c>
      <c r="U1246" s="143">
        <f>J1246*0.5</f>
        <v>50</v>
      </c>
      <c r="V1246" s="143">
        <f>U1246+T1246+S1246+R1246</f>
        <v>375</v>
      </c>
    </row>
    <row r="1247" spans="1:22" s="128" customFormat="1" ht="15.6" hidden="1" x14ac:dyDescent="0.3">
      <c r="A1247" s="142" t="s">
        <v>477</v>
      </c>
      <c r="B1247" s="142">
        <v>1081</v>
      </c>
      <c r="C1247" s="141">
        <v>46100</v>
      </c>
      <c r="D1247" s="140">
        <f>WEEKNUM(C1247)</f>
        <v>12</v>
      </c>
      <c r="E1247" s="140" t="s">
        <v>475</v>
      </c>
      <c r="F1247" s="140" t="s">
        <v>940</v>
      </c>
      <c r="G1247" s="142" t="s">
        <v>546</v>
      </c>
      <c r="H1247" s="142" t="s">
        <v>494</v>
      </c>
      <c r="I1247" s="142" t="s">
        <v>46</v>
      </c>
      <c r="J1247" s="157">
        <v>100</v>
      </c>
      <c r="K1247" s="143">
        <v>20</v>
      </c>
      <c r="L1247" s="143">
        <f>K1247*J1247</f>
        <v>2000</v>
      </c>
      <c r="M1247" s="143">
        <f>L1247</f>
        <v>2000</v>
      </c>
      <c r="N1247" s="141">
        <v>46132</v>
      </c>
      <c r="O1247" s="157">
        <f>WEEKNUM(N1247)</f>
        <v>17</v>
      </c>
      <c r="P1247" s="140"/>
      <c r="Q1247" s="142" t="s">
        <v>29</v>
      </c>
      <c r="R1247" s="143">
        <f>PRODUCT(0.25*J1247)</f>
        <v>25</v>
      </c>
      <c r="S1247" s="143">
        <f>J1247*1.5</f>
        <v>150</v>
      </c>
      <c r="T1247" s="143">
        <f>J1247*1.5</f>
        <v>150</v>
      </c>
      <c r="U1247" s="143">
        <f>J1247*0.5</f>
        <v>50</v>
      </c>
      <c r="V1247" s="143">
        <f>U1247+T1247+S1247+R1247</f>
        <v>375</v>
      </c>
    </row>
    <row r="1248" spans="1:22" s="128" customFormat="1" ht="15.6" hidden="1" x14ac:dyDescent="0.3">
      <c r="A1248" s="142" t="s">
        <v>477</v>
      </c>
      <c r="B1248" s="142">
        <v>1081</v>
      </c>
      <c r="C1248" s="141">
        <v>46100</v>
      </c>
      <c r="D1248" s="140">
        <f>WEEKNUM(C1248)</f>
        <v>12</v>
      </c>
      <c r="E1248" s="140" t="s">
        <v>475</v>
      </c>
      <c r="F1248" s="140" t="s">
        <v>940</v>
      </c>
      <c r="G1248" s="142" t="s">
        <v>618</v>
      </c>
      <c r="H1248" s="142" t="s">
        <v>555</v>
      </c>
      <c r="I1248" s="142" t="s">
        <v>61</v>
      </c>
      <c r="J1248" s="157">
        <v>100</v>
      </c>
      <c r="K1248" s="143">
        <v>35</v>
      </c>
      <c r="L1248" s="143">
        <f>K1248*J1248</f>
        <v>3500</v>
      </c>
      <c r="M1248" s="143">
        <f>L1248</f>
        <v>3500</v>
      </c>
      <c r="N1248" s="141">
        <v>46132</v>
      </c>
      <c r="O1248" s="157">
        <f>WEEKNUM(N1248)</f>
        <v>17</v>
      </c>
      <c r="P1248" s="140"/>
      <c r="Q1248" s="142" t="s">
        <v>29</v>
      </c>
      <c r="R1248" s="143">
        <f>PRODUCT(0.25*J1248)</f>
        <v>25</v>
      </c>
      <c r="S1248" s="143">
        <f>J1248*1.5</f>
        <v>150</v>
      </c>
      <c r="T1248" s="143">
        <f>J1248*1.5</f>
        <v>150</v>
      </c>
      <c r="U1248" s="143">
        <f>J1248*0.5</f>
        <v>50</v>
      </c>
      <c r="V1248" s="143">
        <f>U1248+T1248+S1248+R1248</f>
        <v>375</v>
      </c>
    </row>
    <row r="1249" spans="1:22" s="128" customFormat="1" ht="15.6" hidden="1" x14ac:dyDescent="0.3">
      <c r="A1249" s="142" t="s">
        <v>477</v>
      </c>
      <c r="B1249" s="142">
        <v>490</v>
      </c>
      <c r="C1249" s="141">
        <v>46101</v>
      </c>
      <c r="D1249" s="140">
        <f>WEEKNUM(C1249)</f>
        <v>12</v>
      </c>
      <c r="E1249" s="140" t="s">
        <v>475</v>
      </c>
      <c r="F1249" s="142" t="s">
        <v>667</v>
      </c>
      <c r="G1249" s="142" t="s">
        <v>554</v>
      </c>
      <c r="H1249" s="142" t="s">
        <v>555</v>
      </c>
      <c r="I1249" s="142" t="s">
        <v>46</v>
      </c>
      <c r="J1249" s="157">
        <v>50</v>
      </c>
      <c r="K1249" s="143">
        <v>35</v>
      </c>
      <c r="L1249" s="143">
        <f>K1249*J1249</f>
        <v>1750</v>
      </c>
      <c r="M1249" s="143">
        <v>875</v>
      </c>
      <c r="N1249" s="141">
        <v>46132</v>
      </c>
      <c r="O1249" s="157">
        <f>WEEKNUM(N1249)</f>
        <v>17</v>
      </c>
      <c r="P1249" s="140"/>
      <c r="Q1249" s="142" t="s">
        <v>29</v>
      </c>
      <c r="R1249" s="143">
        <f>PRODUCT(0.25*J1249)</f>
        <v>12.5</v>
      </c>
      <c r="S1249" s="143">
        <f>J1249*1.5</f>
        <v>75</v>
      </c>
      <c r="T1249" s="143">
        <f>J1249*1.5</f>
        <v>75</v>
      </c>
      <c r="U1249" s="143">
        <f>J1249*0.5</f>
        <v>25</v>
      </c>
      <c r="V1249" s="143">
        <f>U1249+T1249+S1249+R1249</f>
        <v>187.5</v>
      </c>
    </row>
    <row r="1250" spans="1:22" s="128" customFormat="1" ht="15.6" hidden="1" x14ac:dyDescent="0.3">
      <c r="A1250" s="142" t="s">
        <v>477</v>
      </c>
      <c r="B1250" s="142">
        <v>488</v>
      </c>
      <c r="C1250" s="141">
        <v>46101</v>
      </c>
      <c r="D1250" s="140">
        <f>WEEKNUM(C1250)</f>
        <v>12</v>
      </c>
      <c r="E1250" s="140" t="s">
        <v>475</v>
      </c>
      <c r="F1250" s="140" t="s">
        <v>761</v>
      </c>
      <c r="G1250" s="140" t="s">
        <v>480</v>
      </c>
      <c r="H1250" s="142" t="s">
        <v>51</v>
      </c>
      <c r="I1250" s="142" t="s">
        <v>46</v>
      </c>
      <c r="J1250" s="157">
        <v>500</v>
      </c>
      <c r="K1250" s="143">
        <v>19.5</v>
      </c>
      <c r="L1250" s="143">
        <f>K1250*J1250</f>
        <v>9750</v>
      </c>
      <c r="M1250" s="143">
        <f>L1250</f>
        <v>9750</v>
      </c>
      <c r="N1250" s="141">
        <v>46132</v>
      </c>
      <c r="O1250" s="157">
        <f>WEEKNUM(N1250)</f>
        <v>17</v>
      </c>
      <c r="P1250" s="140"/>
      <c r="Q1250" s="142" t="s">
        <v>29</v>
      </c>
      <c r="R1250" s="143">
        <f>PRODUCT(0.25*J1250)</f>
        <v>125</v>
      </c>
      <c r="S1250" s="143">
        <f>J1250*1.5</f>
        <v>750</v>
      </c>
      <c r="T1250" s="143">
        <f>J1250*1.5</f>
        <v>750</v>
      </c>
      <c r="U1250" s="143">
        <f>J1250*0.5</f>
        <v>250</v>
      </c>
      <c r="V1250" s="143">
        <f>U1250+T1250+S1250+R1250</f>
        <v>1875</v>
      </c>
    </row>
    <row r="1251" spans="1:22" s="128" customFormat="1" ht="15.6" hidden="1" x14ac:dyDescent="0.3">
      <c r="A1251" s="142" t="s">
        <v>477</v>
      </c>
      <c r="B1251" s="142">
        <v>483</v>
      </c>
      <c r="C1251" s="141">
        <v>46101</v>
      </c>
      <c r="D1251" s="140">
        <f>WEEKNUM(C1251)</f>
        <v>12</v>
      </c>
      <c r="E1251" s="140" t="s">
        <v>475</v>
      </c>
      <c r="F1251" s="142" t="s">
        <v>978</v>
      </c>
      <c r="G1251" s="142" t="s">
        <v>218</v>
      </c>
      <c r="H1251" s="142" t="s">
        <v>74</v>
      </c>
      <c r="I1251" s="142" t="s">
        <v>46</v>
      </c>
      <c r="J1251" s="157">
        <v>100</v>
      </c>
      <c r="K1251" s="143">
        <v>26.5</v>
      </c>
      <c r="L1251" s="143">
        <f>K1251*J1251</f>
        <v>2650</v>
      </c>
      <c r="M1251" s="143">
        <v>1325</v>
      </c>
      <c r="N1251" s="141">
        <v>46122</v>
      </c>
      <c r="O1251" s="157">
        <f>WEEKNUM(N1251)</f>
        <v>15</v>
      </c>
      <c r="P1251" s="140"/>
      <c r="Q1251" s="142" t="s">
        <v>29</v>
      </c>
      <c r="R1251" s="143">
        <f>PRODUCT(0.25*J1251)</f>
        <v>25</v>
      </c>
      <c r="S1251" s="143">
        <f>J1251*1.5</f>
        <v>150</v>
      </c>
      <c r="T1251" s="143">
        <f>J1251*1.5</f>
        <v>150</v>
      </c>
      <c r="U1251" s="143">
        <f>J1251*0.5</f>
        <v>50</v>
      </c>
      <c r="V1251" s="143">
        <f>U1251+T1251+S1251+R1251</f>
        <v>375</v>
      </c>
    </row>
    <row r="1252" spans="1:22" s="128" customFormat="1" ht="15.6" hidden="1" x14ac:dyDescent="0.3">
      <c r="A1252" s="142" t="s">
        <v>486</v>
      </c>
      <c r="B1252" s="142">
        <v>491</v>
      </c>
      <c r="C1252" s="141">
        <v>46104</v>
      </c>
      <c r="D1252" s="140">
        <f>WEEKNUM(C1252)</f>
        <v>13</v>
      </c>
      <c r="E1252" s="142" t="s">
        <v>68</v>
      </c>
      <c r="F1252" s="142" t="s">
        <v>371</v>
      </c>
      <c r="G1252" s="142" t="s">
        <v>311</v>
      </c>
      <c r="H1252" s="142" t="s">
        <v>51</v>
      </c>
      <c r="I1252" s="142" t="s">
        <v>46</v>
      </c>
      <c r="J1252" s="157">
        <v>6</v>
      </c>
      <c r="K1252" s="143">
        <v>25</v>
      </c>
      <c r="L1252" s="143">
        <f>K1252*J1252</f>
        <v>150</v>
      </c>
      <c r="M1252" s="156">
        <f>L1252</f>
        <v>150</v>
      </c>
      <c r="N1252" s="141">
        <v>46105</v>
      </c>
      <c r="O1252" s="157">
        <f>WEEKNUM(N1252)</f>
        <v>13</v>
      </c>
      <c r="P1252" s="140"/>
      <c r="Q1252" s="142" t="s">
        <v>29</v>
      </c>
      <c r="R1252" s="143">
        <f>PRODUCT(0.25*J1252)</f>
        <v>1.5</v>
      </c>
      <c r="S1252" s="143">
        <f>J1252*1.5</f>
        <v>9</v>
      </c>
      <c r="T1252" s="143">
        <f>J1252*1.5</f>
        <v>9</v>
      </c>
      <c r="U1252" s="143">
        <f>J1252*0.5</f>
        <v>3</v>
      </c>
      <c r="V1252" s="143">
        <f>U1252+T1252+S1252+R1252</f>
        <v>22.5</v>
      </c>
    </row>
    <row r="1253" spans="1:22" s="128" customFormat="1" ht="15.6" hidden="1" x14ac:dyDescent="0.3">
      <c r="A1253" s="142" t="s">
        <v>486</v>
      </c>
      <c r="B1253" s="142">
        <v>493</v>
      </c>
      <c r="C1253" s="141">
        <v>46106</v>
      </c>
      <c r="D1253" s="140">
        <f>WEEKNUM(C1253)</f>
        <v>13</v>
      </c>
      <c r="E1253" s="140" t="s">
        <v>475</v>
      </c>
      <c r="F1253" s="142" t="s">
        <v>772</v>
      </c>
      <c r="G1253" s="142" t="s">
        <v>487</v>
      </c>
      <c r="H1253" s="142" t="s">
        <v>51</v>
      </c>
      <c r="I1253" s="142" t="s">
        <v>46</v>
      </c>
      <c r="J1253" s="157">
        <v>100</v>
      </c>
      <c r="K1253" s="143">
        <v>27</v>
      </c>
      <c r="L1253" s="143">
        <f>K1253*J1253</f>
        <v>2700</v>
      </c>
      <c r="M1253" s="143">
        <f>L1253/2</f>
        <v>1350</v>
      </c>
      <c r="N1253" s="141">
        <v>46139</v>
      </c>
      <c r="O1253" s="157">
        <f>WEEKNUM(N1253)</f>
        <v>18</v>
      </c>
      <c r="P1253" s="140"/>
      <c r="Q1253" s="142" t="s">
        <v>29</v>
      </c>
      <c r="R1253" s="143">
        <f>PRODUCT(0.25*J1253)</f>
        <v>25</v>
      </c>
      <c r="S1253" s="143">
        <f>J1253*1.5</f>
        <v>150</v>
      </c>
      <c r="T1253" s="143">
        <f>J1253*1.5</f>
        <v>150</v>
      </c>
      <c r="U1253" s="143">
        <f>J1253*0.5</f>
        <v>50</v>
      </c>
      <c r="V1253" s="143">
        <f>U1253+T1253+S1253+R1253</f>
        <v>375</v>
      </c>
    </row>
    <row r="1254" spans="1:22" s="128" customFormat="1" ht="15.6" hidden="1" x14ac:dyDescent="0.3">
      <c r="A1254" s="142" t="s">
        <v>486</v>
      </c>
      <c r="B1254" s="142">
        <v>489</v>
      </c>
      <c r="C1254" s="141">
        <v>46107</v>
      </c>
      <c r="D1254" s="140">
        <f>WEEKNUM(C1254)</f>
        <v>13</v>
      </c>
      <c r="E1254" s="140" t="s">
        <v>475</v>
      </c>
      <c r="F1254" s="142" t="s">
        <v>625</v>
      </c>
      <c r="G1254" s="142" t="s">
        <v>489</v>
      </c>
      <c r="H1254" s="142" t="s">
        <v>51</v>
      </c>
      <c r="I1254" s="142" t="s">
        <v>61</v>
      </c>
      <c r="J1254" s="157">
        <v>30</v>
      </c>
      <c r="K1254" s="143">
        <v>85</v>
      </c>
      <c r="L1254" s="143">
        <f>K1254*J1254</f>
        <v>2550</v>
      </c>
      <c r="M1254" s="143">
        <v>1275</v>
      </c>
      <c r="N1254" s="141">
        <v>46136</v>
      </c>
      <c r="O1254" s="157">
        <f>WEEKNUM(N1254)</f>
        <v>17</v>
      </c>
      <c r="P1254" s="140"/>
      <c r="Q1254" s="142" t="s">
        <v>29</v>
      </c>
      <c r="R1254" s="143">
        <f>PRODUCT(0.25*J1254)</f>
        <v>7.5</v>
      </c>
      <c r="S1254" s="143">
        <f>J1254*1.5</f>
        <v>45</v>
      </c>
      <c r="T1254" s="143">
        <f>J1254*1.5</f>
        <v>45</v>
      </c>
      <c r="U1254" s="143">
        <f>J1254*0.5</f>
        <v>15</v>
      </c>
      <c r="V1254" s="143">
        <f>U1254+T1254+S1254+R1254</f>
        <v>112.5</v>
      </c>
    </row>
    <row r="1255" spans="1:22" s="128" customFormat="1" ht="15.6" hidden="1" x14ac:dyDescent="0.3">
      <c r="A1255" s="142" t="s">
        <v>477</v>
      </c>
      <c r="B1255" s="142">
        <v>496</v>
      </c>
      <c r="C1255" s="141">
        <v>46108</v>
      </c>
      <c r="D1255" s="140">
        <f>WEEKNUM(C1255)</f>
        <v>13</v>
      </c>
      <c r="E1255" s="142" t="s">
        <v>498</v>
      </c>
      <c r="F1255" s="142" t="s">
        <v>558</v>
      </c>
      <c r="G1255" s="142" t="s">
        <v>559</v>
      </c>
      <c r="H1255" s="142" t="s">
        <v>38</v>
      </c>
      <c r="I1255" s="142" t="s">
        <v>46</v>
      </c>
      <c r="J1255" s="157">
        <v>53</v>
      </c>
      <c r="K1255" s="143">
        <v>50</v>
      </c>
      <c r="L1255" s="143">
        <f>K1255*J1255</f>
        <v>2650</v>
      </c>
      <c r="M1255" s="143">
        <f>L1255</f>
        <v>2650</v>
      </c>
      <c r="N1255" s="141">
        <v>46141</v>
      </c>
      <c r="O1255" s="157">
        <f>WEEKNUM(N1255)</f>
        <v>18</v>
      </c>
      <c r="P1255" s="140"/>
      <c r="Q1255" s="142" t="s">
        <v>29</v>
      </c>
      <c r="R1255" s="143">
        <f>PRODUCT(0.25*J1255)</f>
        <v>13.25</v>
      </c>
      <c r="S1255" s="143">
        <f>J1255*1.5</f>
        <v>79.5</v>
      </c>
      <c r="T1255" s="143">
        <f>J1255*1.5</f>
        <v>79.5</v>
      </c>
      <c r="U1255" s="143">
        <f>J1255*0.5</f>
        <v>26.5</v>
      </c>
      <c r="V1255" s="143">
        <f>U1255+T1255+S1255+R1255</f>
        <v>198.75</v>
      </c>
    </row>
    <row r="1256" spans="1:22" s="128" customFormat="1" ht="15.6" hidden="1" x14ac:dyDescent="0.3">
      <c r="A1256" s="142" t="s">
        <v>477</v>
      </c>
      <c r="B1256" s="142">
        <v>1085</v>
      </c>
      <c r="C1256" s="141">
        <v>46108</v>
      </c>
      <c r="D1256" s="140">
        <f>WEEKNUM(C1256)</f>
        <v>13</v>
      </c>
      <c r="E1256" s="142" t="s">
        <v>498</v>
      </c>
      <c r="F1256" s="140" t="s">
        <v>563</v>
      </c>
      <c r="G1256" s="142" t="s">
        <v>487</v>
      </c>
      <c r="H1256" s="142" t="s">
        <v>51</v>
      </c>
      <c r="I1256" s="142" t="s">
        <v>46</v>
      </c>
      <c r="J1256" s="157">
        <v>300</v>
      </c>
      <c r="K1256" s="143">
        <v>24.5</v>
      </c>
      <c r="L1256" s="143">
        <f>K1256*J1256</f>
        <v>7350</v>
      </c>
      <c r="M1256" s="143">
        <v>7350</v>
      </c>
      <c r="N1256" s="141">
        <v>46136</v>
      </c>
      <c r="O1256" s="157">
        <f>WEEKNUM(N1256)</f>
        <v>17</v>
      </c>
      <c r="P1256" s="140"/>
      <c r="Q1256" s="142" t="s">
        <v>29</v>
      </c>
      <c r="R1256" s="143">
        <f>PRODUCT(0.25*J1256)</f>
        <v>75</v>
      </c>
      <c r="S1256" s="143">
        <f>J1256*1.5</f>
        <v>450</v>
      </c>
      <c r="T1256" s="143">
        <f>J1256*1.5</f>
        <v>450</v>
      </c>
      <c r="U1256" s="143">
        <f>J1256*0.5</f>
        <v>150</v>
      </c>
      <c r="V1256" s="143">
        <f>U1256+T1256+S1256+R1256</f>
        <v>1125</v>
      </c>
    </row>
    <row r="1257" spans="1:22" s="128" customFormat="1" ht="15.6" hidden="1" x14ac:dyDescent="0.3">
      <c r="A1257" s="142" t="s">
        <v>477</v>
      </c>
      <c r="B1257" s="142">
        <v>1084</v>
      </c>
      <c r="C1257" s="141">
        <v>46108</v>
      </c>
      <c r="D1257" s="140">
        <f>WEEKNUM(C1257)</f>
        <v>13</v>
      </c>
      <c r="E1257" s="140" t="s">
        <v>475</v>
      </c>
      <c r="F1257" s="142" t="s">
        <v>700</v>
      </c>
      <c r="G1257" s="142" t="s">
        <v>546</v>
      </c>
      <c r="H1257" s="142" t="s">
        <v>494</v>
      </c>
      <c r="I1257" s="142" t="s">
        <v>46</v>
      </c>
      <c r="J1257" s="157">
        <v>300</v>
      </c>
      <c r="K1257" s="143">
        <v>35</v>
      </c>
      <c r="L1257" s="143">
        <f>K1257*J1257</f>
        <v>10500</v>
      </c>
      <c r="M1257" s="143">
        <v>5250</v>
      </c>
      <c r="N1257" s="141">
        <v>46130</v>
      </c>
      <c r="O1257" s="157">
        <f>WEEKNUM(N1257)</f>
        <v>16</v>
      </c>
      <c r="P1257" s="140"/>
      <c r="Q1257" s="142" t="s">
        <v>29</v>
      </c>
      <c r="R1257" s="143">
        <f>PRODUCT(0.25*J1257)</f>
        <v>75</v>
      </c>
      <c r="S1257" s="143">
        <f>J1257*1.5</f>
        <v>450</v>
      </c>
      <c r="T1257" s="143">
        <f>J1257*1.5</f>
        <v>450</v>
      </c>
      <c r="U1257" s="143">
        <f>J1257*0.5</f>
        <v>150</v>
      </c>
      <c r="V1257" s="143">
        <f>U1257+T1257+S1257+R1257</f>
        <v>1125</v>
      </c>
    </row>
    <row r="1258" spans="1:22" s="128" customFormat="1" ht="15.6" hidden="1" x14ac:dyDescent="0.3">
      <c r="A1258" s="142" t="s">
        <v>486</v>
      </c>
      <c r="B1258" s="142">
        <v>492</v>
      </c>
      <c r="C1258" s="141">
        <v>46108</v>
      </c>
      <c r="D1258" s="140">
        <f>WEEKNUM(C1258)</f>
        <v>13</v>
      </c>
      <c r="E1258" s="142" t="s">
        <v>68</v>
      </c>
      <c r="F1258" s="142" t="s">
        <v>371</v>
      </c>
      <c r="G1258" s="142" t="s">
        <v>301</v>
      </c>
      <c r="H1258" s="142" t="s">
        <v>74</v>
      </c>
      <c r="I1258" s="142" t="s">
        <v>46</v>
      </c>
      <c r="J1258" s="157">
        <v>8</v>
      </c>
      <c r="K1258" s="143">
        <v>36.75</v>
      </c>
      <c r="L1258" s="143">
        <f>K1258*J1258</f>
        <v>294</v>
      </c>
      <c r="M1258" s="156">
        <f>L1258</f>
        <v>294</v>
      </c>
      <c r="N1258" s="141">
        <v>46134</v>
      </c>
      <c r="O1258" s="157">
        <f>WEEKNUM(N1258)</f>
        <v>17</v>
      </c>
      <c r="P1258" s="140"/>
      <c r="Q1258" s="142" t="s">
        <v>29</v>
      </c>
      <c r="R1258" s="143">
        <f>PRODUCT(0.25*J1258)</f>
        <v>2</v>
      </c>
      <c r="S1258" s="143">
        <f>J1258*1.5</f>
        <v>12</v>
      </c>
      <c r="T1258" s="143">
        <f>J1258*1.5</f>
        <v>12</v>
      </c>
      <c r="U1258" s="143">
        <f>J1258*0.5</f>
        <v>4</v>
      </c>
      <c r="V1258" s="143">
        <f>U1258+T1258+S1258+R1258</f>
        <v>30</v>
      </c>
    </row>
    <row r="1259" spans="1:22" s="128" customFormat="1" ht="15.6" hidden="1" x14ac:dyDescent="0.3">
      <c r="A1259" s="142" t="s">
        <v>486</v>
      </c>
      <c r="B1259" s="142">
        <v>494</v>
      </c>
      <c r="C1259" s="141">
        <v>46111</v>
      </c>
      <c r="D1259" s="140">
        <f>WEEKNUM(C1259)</f>
        <v>14</v>
      </c>
      <c r="E1259" s="140" t="s">
        <v>475</v>
      </c>
      <c r="F1259" s="142" t="s">
        <v>528</v>
      </c>
      <c r="G1259" s="142" t="s">
        <v>529</v>
      </c>
      <c r="H1259" s="142" t="s">
        <v>494</v>
      </c>
      <c r="I1259" s="142" t="s">
        <v>46</v>
      </c>
      <c r="J1259" s="157">
        <v>100</v>
      </c>
      <c r="K1259" s="143">
        <v>39.5</v>
      </c>
      <c r="L1259" s="143">
        <f>K1259*J1259</f>
        <v>3950</v>
      </c>
      <c r="M1259" s="143">
        <v>0</v>
      </c>
      <c r="N1259" s="141">
        <v>46142</v>
      </c>
      <c r="O1259" s="157">
        <f>WEEKNUM(N1259)</f>
        <v>18</v>
      </c>
      <c r="P1259" s="140"/>
      <c r="Q1259" s="142" t="s">
        <v>29</v>
      </c>
      <c r="R1259" s="143">
        <f>PRODUCT(0.25*J1259)</f>
        <v>25</v>
      </c>
      <c r="S1259" s="143">
        <f>J1259*1.5</f>
        <v>150</v>
      </c>
      <c r="T1259" s="143">
        <f>J1259*1.5</f>
        <v>150</v>
      </c>
      <c r="U1259" s="143">
        <f>J1259*0.5</f>
        <v>50</v>
      </c>
      <c r="V1259" s="143">
        <f>U1259+T1259+S1259+R1259</f>
        <v>375</v>
      </c>
    </row>
    <row r="1260" spans="1:22" s="128" customFormat="1" ht="15.6" hidden="1" x14ac:dyDescent="0.3">
      <c r="A1260" s="142" t="s">
        <v>486</v>
      </c>
      <c r="B1260" s="142">
        <v>494</v>
      </c>
      <c r="C1260" s="141">
        <v>46111</v>
      </c>
      <c r="D1260" s="140">
        <f>WEEKNUM(C1260)</f>
        <v>14</v>
      </c>
      <c r="E1260" s="140" t="s">
        <v>475</v>
      </c>
      <c r="F1260" s="142" t="s">
        <v>528</v>
      </c>
      <c r="G1260" s="142" t="s">
        <v>487</v>
      </c>
      <c r="H1260" s="142" t="s">
        <v>51</v>
      </c>
      <c r="I1260" s="142" t="s">
        <v>46</v>
      </c>
      <c r="J1260" s="157">
        <v>100</v>
      </c>
      <c r="K1260" s="143">
        <v>35</v>
      </c>
      <c r="L1260" s="143">
        <f>K1260*J1260</f>
        <v>3500</v>
      </c>
      <c r="M1260" s="143">
        <v>0</v>
      </c>
      <c r="N1260" s="141">
        <v>46142</v>
      </c>
      <c r="O1260" s="157">
        <f>WEEKNUM(N1260)</f>
        <v>18</v>
      </c>
      <c r="P1260" s="140"/>
      <c r="Q1260" s="142" t="s">
        <v>29</v>
      </c>
      <c r="R1260" s="143">
        <f>PRODUCT(0.25*J1260)</f>
        <v>25</v>
      </c>
      <c r="S1260" s="143">
        <f>J1260*1.5</f>
        <v>150</v>
      </c>
      <c r="T1260" s="143">
        <f>J1260*1.5</f>
        <v>150</v>
      </c>
      <c r="U1260" s="143">
        <f>J1260*0.5</f>
        <v>50</v>
      </c>
      <c r="V1260" s="143">
        <f>U1260+T1260+S1260+R1260</f>
        <v>375</v>
      </c>
    </row>
    <row r="1261" spans="1:22" s="128" customFormat="1" ht="15.6" hidden="1" x14ac:dyDescent="0.3">
      <c r="A1261" s="142" t="s">
        <v>486</v>
      </c>
      <c r="B1261" s="142">
        <v>500</v>
      </c>
      <c r="C1261" s="141">
        <v>46111</v>
      </c>
      <c r="D1261" s="140">
        <f>WEEKNUM(C1261)</f>
        <v>14</v>
      </c>
      <c r="E1261" s="142" t="s">
        <v>68</v>
      </c>
      <c r="F1261" s="142" t="s">
        <v>398</v>
      </c>
      <c r="G1261" s="142" t="s">
        <v>311</v>
      </c>
      <c r="H1261" s="142" t="s">
        <v>51</v>
      </c>
      <c r="I1261" s="142" t="s">
        <v>46</v>
      </c>
      <c r="J1261" s="157">
        <v>9</v>
      </c>
      <c r="K1261" s="143">
        <v>25</v>
      </c>
      <c r="L1261" s="143">
        <f>K1261*J1261</f>
        <v>225</v>
      </c>
      <c r="M1261" s="156">
        <f>L1261</f>
        <v>225</v>
      </c>
      <c r="N1261" s="141">
        <v>46141</v>
      </c>
      <c r="O1261" s="157">
        <f>WEEKNUM(N1261)</f>
        <v>18</v>
      </c>
      <c r="P1261" s="140"/>
      <c r="Q1261" s="142" t="s">
        <v>29</v>
      </c>
      <c r="R1261" s="143">
        <f>PRODUCT(0.25*J1261)</f>
        <v>2.25</v>
      </c>
      <c r="S1261" s="143">
        <f>J1261*1.5</f>
        <v>13.5</v>
      </c>
      <c r="T1261" s="143">
        <f>J1261*1.5</f>
        <v>13.5</v>
      </c>
      <c r="U1261" s="143">
        <f>J1261*0.5</f>
        <v>4.5</v>
      </c>
      <c r="V1261" s="143">
        <f>U1261+T1261+S1261+R1261</f>
        <v>33.75</v>
      </c>
    </row>
    <row r="1262" spans="1:22" s="128" customFormat="1" ht="15.6" hidden="1" x14ac:dyDescent="0.3">
      <c r="A1262" s="142" t="s">
        <v>486</v>
      </c>
      <c r="B1262" s="142">
        <v>500</v>
      </c>
      <c r="C1262" s="141">
        <v>46111</v>
      </c>
      <c r="D1262" s="140">
        <f>WEEKNUM(C1262)</f>
        <v>14</v>
      </c>
      <c r="E1262" s="142" t="s">
        <v>68</v>
      </c>
      <c r="F1262" s="142" t="s">
        <v>398</v>
      </c>
      <c r="G1262" s="142" t="s">
        <v>301</v>
      </c>
      <c r="H1262" s="142" t="s">
        <v>74</v>
      </c>
      <c r="I1262" s="142" t="s">
        <v>46</v>
      </c>
      <c r="J1262" s="157">
        <v>24</v>
      </c>
      <c r="K1262" s="143">
        <v>36.75</v>
      </c>
      <c r="L1262" s="143">
        <f>K1262*J1262</f>
        <v>882</v>
      </c>
      <c r="M1262" s="156">
        <f>L1262</f>
        <v>882</v>
      </c>
      <c r="N1262" s="141">
        <v>46141</v>
      </c>
      <c r="O1262" s="157">
        <f>WEEKNUM(N1262)</f>
        <v>18</v>
      </c>
      <c r="P1262" s="140"/>
      <c r="Q1262" s="142" t="s">
        <v>29</v>
      </c>
      <c r="R1262" s="143">
        <f>PRODUCT(0.25*J1262)</f>
        <v>6</v>
      </c>
      <c r="S1262" s="143">
        <f>J1262*1.5</f>
        <v>36</v>
      </c>
      <c r="T1262" s="143">
        <f>J1262*1.5</f>
        <v>36</v>
      </c>
      <c r="U1262" s="143">
        <f>J1262*0.5</f>
        <v>12</v>
      </c>
      <c r="V1262" s="143">
        <f>U1262+T1262+S1262+R1262</f>
        <v>90</v>
      </c>
    </row>
    <row r="1263" spans="1:22" s="128" customFormat="1" ht="15.6" hidden="1" x14ac:dyDescent="0.3">
      <c r="A1263" s="142" t="s">
        <v>486</v>
      </c>
      <c r="B1263" s="142">
        <v>500</v>
      </c>
      <c r="C1263" s="141">
        <v>46111</v>
      </c>
      <c r="D1263" s="140">
        <f>WEEKNUM(C1263)</f>
        <v>14</v>
      </c>
      <c r="E1263" s="142" t="s">
        <v>68</v>
      </c>
      <c r="F1263" s="142" t="s">
        <v>398</v>
      </c>
      <c r="G1263" s="142" t="s">
        <v>505</v>
      </c>
      <c r="H1263" s="142" t="s">
        <v>190</v>
      </c>
      <c r="I1263" s="142" t="s">
        <v>61</v>
      </c>
      <c r="J1263" s="157">
        <v>13</v>
      </c>
      <c r="K1263" s="143">
        <v>75</v>
      </c>
      <c r="L1263" s="143">
        <f>K1263*J1263</f>
        <v>975</v>
      </c>
      <c r="M1263" s="156">
        <f>L1263</f>
        <v>975</v>
      </c>
      <c r="N1263" s="141">
        <v>46141</v>
      </c>
      <c r="O1263" s="157">
        <f>WEEKNUM(N1263)</f>
        <v>18</v>
      </c>
      <c r="P1263" s="140"/>
      <c r="Q1263" s="142" t="s">
        <v>29</v>
      </c>
      <c r="R1263" s="143">
        <f>PRODUCT(0.25*J1263)</f>
        <v>3.25</v>
      </c>
      <c r="S1263" s="143">
        <f>J1263*1.5</f>
        <v>19.5</v>
      </c>
      <c r="T1263" s="143">
        <f>J1263*1.5</f>
        <v>19.5</v>
      </c>
      <c r="U1263" s="143">
        <f>J1263*0.5</f>
        <v>6.5</v>
      </c>
      <c r="V1263" s="143">
        <f>U1263+T1263+S1263+R1263</f>
        <v>48.75</v>
      </c>
    </row>
    <row r="1264" spans="1:22" s="128" customFormat="1" ht="15.6" hidden="1" x14ac:dyDescent="0.3">
      <c r="A1264" s="142" t="s">
        <v>486</v>
      </c>
      <c r="B1264" s="142">
        <v>500</v>
      </c>
      <c r="C1264" s="141">
        <v>46111</v>
      </c>
      <c r="D1264" s="140">
        <f>WEEKNUM(C1264)</f>
        <v>14</v>
      </c>
      <c r="E1264" s="142" t="s">
        <v>68</v>
      </c>
      <c r="F1264" s="142" t="s">
        <v>398</v>
      </c>
      <c r="G1264" s="140" t="s">
        <v>356</v>
      </c>
      <c r="H1264" s="140" t="s">
        <v>321</v>
      </c>
      <c r="I1264" s="142" t="s">
        <v>61</v>
      </c>
      <c r="J1264" s="157">
        <v>1</v>
      </c>
      <c r="K1264" s="143">
        <v>85</v>
      </c>
      <c r="L1264" s="143">
        <f>K1264*J1264</f>
        <v>85</v>
      </c>
      <c r="M1264" s="156">
        <f>L1264</f>
        <v>85</v>
      </c>
      <c r="N1264" s="141">
        <v>46141</v>
      </c>
      <c r="O1264" s="157">
        <f>WEEKNUM(N1264)</f>
        <v>18</v>
      </c>
      <c r="P1264" s="140"/>
      <c r="Q1264" s="142" t="s">
        <v>29</v>
      </c>
      <c r="R1264" s="143">
        <f>PRODUCT(0.25*J1264)</f>
        <v>0.25</v>
      </c>
      <c r="S1264" s="143">
        <f>J1264*1.5</f>
        <v>1.5</v>
      </c>
      <c r="T1264" s="143">
        <f>J1264*1.5</f>
        <v>1.5</v>
      </c>
      <c r="U1264" s="143">
        <f>J1264*0.5</f>
        <v>0.5</v>
      </c>
      <c r="V1264" s="143">
        <f>U1264+T1264+S1264+R1264</f>
        <v>3.75</v>
      </c>
    </row>
    <row r="1265" spans="1:22" s="128" customFormat="1" ht="15.6" hidden="1" x14ac:dyDescent="0.3">
      <c r="A1265" s="142" t="s">
        <v>486</v>
      </c>
      <c r="B1265" s="142">
        <v>500</v>
      </c>
      <c r="C1265" s="141">
        <v>46111</v>
      </c>
      <c r="D1265" s="140">
        <f>WEEKNUM(C1265)</f>
        <v>14</v>
      </c>
      <c r="E1265" s="142" t="s">
        <v>68</v>
      </c>
      <c r="F1265" s="142" t="s">
        <v>398</v>
      </c>
      <c r="G1265" s="142" t="s">
        <v>408</v>
      </c>
      <c r="H1265" s="142" t="s">
        <v>80</v>
      </c>
      <c r="I1265" s="142" t="s">
        <v>46</v>
      </c>
      <c r="J1265" s="157">
        <v>6</v>
      </c>
      <c r="K1265" s="143">
        <v>21</v>
      </c>
      <c r="L1265" s="143">
        <f>K1265*J1265</f>
        <v>126</v>
      </c>
      <c r="M1265" s="156">
        <f>L1265</f>
        <v>126</v>
      </c>
      <c r="N1265" s="141">
        <v>46141</v>
      </c>
      <c r="O1265" s="157">
        <f>WEEKNUM(N1265)</f>
        <v>18</v>
      </c>
      <c r="P1265" s="140"/>
      <c r="Q1265" s="142" t="s">
        <v>29</v>
      </c>
      <c r="R1265" s="143">
        <f>PRODUCT(0.25*J1265)</f>
        <v>1.5</v>
      </c>
      <c r="S1265" s="143">
        <f>J1265*1.5</f>
        <v>9</v>
      </c>
      <c r="T1265" s="143">
        <f>J1265*1.5</f>
        <v>9</v>
      </c>
      <c r="U1265" s="143">
        <f>J1265*0.5</f>
        <v>3</v>
      </c>
      <c r="V1265" s="143">
        <f>U1265+T1265+S1265+R1265</f>
        <v>22.5</v>
      </c>
    </row>
    <row r="1266" spans="1:22" s="128" customFormat="1" ht="15.6" hidden="1" x14ac:dyDescent="0.3">
      <c r="A1266" s="142" t="s">
        <v>486</v>
      </c>
      <c r="B1266" s="142">
        <v>497</v>
      </c>
      <c r="C1266" s="141">
        <v>46111</v>
      </c>
      <c r="D1266" s="140">
        <f>WEEKNUM(C1266)</f>
        <v>14</v>
      </c>
      <c r="E1266" s="140" t="s">
        <v>475</v>
      </c>
      <c r="F1266" s="142" t="s">
        <v>969</v>
      </c>
      <c r="G1266" s="142" t="s">
        <v>489</v>
      </c>
      <c r="H1266" s="142" t="s">
        <v>51</v>
      </c>
      <c r="I1266" s="142" t="s">
        <v>61</v>
      </c>
      <c r="J1266" s="157">
        <v>60</v>
      </c>
      <c r="K1266" s="143">
        <v>67</v>
      </c>
      <c r="L1266" s="143">
        <f>K1266*J1266</f>
        <v>4020</v>
      </c>
      <c r="M1266" s="143">
        <v>4020</v>
      </c>
      <c r="N1266" s="141">
        <v>46140</v>
      </c>
      <c r="O1266" s="157">
        <f>WEEKNUM(N1266)</f>
        <v>18</v>
      </c>
      <c r="P1266" s="140"/>
      <c r="Q1266" s="142" t="s">
        <v>29</v>
      </c>
      <c r="R1266" s="143">
        <f>PRODUCT(0.25*J1266)</f>
        <v>15</v>
      </c>
      <c r="S1266" s="143">
        <f>J1266*1.5</f>
        <v>90</v>
      </c>
      <c r="T1266" s="143">
        <f>J1266*1.5</f>
        <v>90</v>
      </c>
      <c r="U1266" s="143">
        <f>J1266*0.5</f>
        <v>30</v>
      </c>
      <c r="V1266" s="143">
        <f>U1266+T1266+S1266+R1266</f>
        <v>225</v>
      </c>
    </row>
    <row r="1267" spans="1:22" s="128" customFormat="1" ht="15.6" hidden="1" x14ac:dyDescent="0.3">
      <c r="A1267" s="142" t="s">
        <v>477</v>
      </c>
      <c r="B1267" s="142">
        <v>498</v>
      </c>
      <c r="C1267" s="141">
        <v>46111</v>
      </c>
      <c r="D1267" s="140">
        <f>WEEKNUM(C1267)</f>
        <v>14</v>
      </c>
      <c r="E1267" s="140" t="s">
        <v>478</v>
      </c>
      <c r="F1267" s="140" t="s">
        <v>444</v>
      </c>
      <c r="G1267" s="130" t="s">
        <v>638</v>
      </c>
      <c r="H1267" s="142" t="s">
        <v>60</v>
      </c>
      <c r="I1267" s="142" t="s">
        <v>61</v>
      </c>
      <c r="J1267" s="157">
        <v>300</v>
      </c>
      <c r="K1267" s="143">
        <v>23</v>
      </c>
      <c r="L1267" s="143">
        <f>J1267*K1267</f>
        <v>6900</v>
      </c>
      <c r="M1267" s="143">
        <v>0</v>
      </c>
      <c r="N1267" s="141">
        <v>46132</v>
      </c>
      <c r="O1267" s="157">
        <f>WEEKNUM(N1267)</f>
        <v>17</v>
      </c>
      <c r="P1267" s="140"/>
      <c r="Q1267" s="157" t="s">
        <v>29</v>
      </c>
      <c r="R1267" s="143">
        <f>PRODUCT(0.25*J1267)</f>
        <v>75</v>
      </c>
      <c r="S1267" s="143">
        <f>J1267*1.5</f>
        <v>450</v>
      </c>
      <c r="T1267" s="143">
        <f>J1267*1.5</f>
        <v>450</v>
      </c>
      <c r="U1267" s="143">
        <f>J1267*0.5</f>
        <v>150</v>
      </c>
      <c r="V1267" s="143">
        <f>U1267+T1267+S1267+R1267</f>
        <v>1125</v>
      </c>
    </row>
    <row r="1268" spans="1:22" s="128" customFormat="1" ht="15.6" hidden="1" x14ac:dyDescent="0.3">
      <c r="A1268" s="142" t="s">
        <v>477</v>
      </c>
      <c r="B1268" s="142">
        <v>1031</v>
      </c>
      <c r="C1268" s="141">
        <v>46114</v>
      </c>
      <c r="D1268" s="140">
        <f>WEEKNUM(C1268)</f>
        <v>14</v>
      </c>
      <c r="E1268" s="140" t="s">
        <v>478</v>
      </c>
      <c r="F1268" s="142" t="s">
        <v>108</v>
      </c>
      <c r="G1268" s="142" t="s">
        <v>301</v>
      </c>
      <c r="H1268" s="142" t="s">
        <v>74</v>
      </c>
      <c r="I1268" s="142" t="s">
        <v>46</v>
      </c>
      <c r="J1268" s="157">
        <v>100</v>
      </c>
      <c r="K1268" s="143">
        <v>27.16</v>
      </c>
      <c r="L1268" s="143">
        <f>K1268*J1268</f>
        <v>2716</v>
      </c>
      <c r="M1268" s="143">
        <v>1358</v>
      </c>
      <c r="N1268" s="141">
        <v>46160</v>
      </c>
      <c r="O1268" s="157">
        <f>WEEKNUM(N1268)</f>
        <v>21</v>
      </c>
      <c r="P1268" s="140"/>
      <c r="Q1268" s="142" t="s">
        <v>29</v>
      </c>
      <c r="R1268" s="143">
        <f>PRODUCT(0.25*J1268)</f>
        <v>25</v>
      </c>
      <c r="S1268" s="143">
        <f>J1268*1.5</f>
        <v>150</v>
      </c>
      <c r="T1268" s="143">
        <f>J1268*1.5</f>
        <v>150</v>
      </c>
      <c r="U1268" s="143">
        <f>J1268*0.5</f>
        <v>50</v>
      </c>
      <c r="V1268" s="143">
        <f>U1268+T1268+S1268+R1268</f>
        <v>375</v>
      </c>
    </row>
    <row r="1269" spans="1:22" s="128" customFormat="1" ht="15.6" hidden="1" x14ac:dyDescent="0.3">
      <c r="A1269" s="142" t="s">
        <v>477</v>
      </c>
      <c r="B1269" s="142">
        <v>505</v>
      </c>
      <c r="C1269" s="141">
        <v>46118</v>
      </c>
      <c r="D1269" s="140">
        <f>WEEKNUM(C1269)</f>
        <v>15</v>
      </c>
      <c r="E1269" s="140" t="s">
        <v>475</v>
      </c>
      <c r="F1269" s="142" t="s">
        <v>773</v>
      </c>
      <c r="G1269" s="142" t="s">
        <v>775</v>
      </c>
      <c r="H1269" s="142" t="s">
        <v>74</v>
      </c>
      <c r="I1269" s="142" t="s">
        <v>46</v>
      </c>
      <c r="J1269" s="157">
        <v>105</v>
      </c>
      <c r="K1269" s="143">
        <v>22.5</v>
      </c>
      <c r="L1269" s="143">
        <f>K1269*J1269</f>
        <v>2362.5</v>
      </c>
      <c r="M1269" s="143">
        <f>L1269</f>
        <v>2362.5</v>
      </c>
      <c r="N1269" s="141">
        <v>46157</v>
      </c>
      <c r="O1269" s="157">
        <f>WEEKNUM(N1269)</f>
        <v>20</v>
      </c>
      <c r="P1269" s="140"/>
      <c r="Q1269" s="142" t="s">
        <v>29</v>
      </c>
      <c r="R1269" s="143">
        <f>PRODUCT(0.25*J1269)</f>
        <v>26.25</v>
      </c>
      <c r="S1269" s="143">
        <f>J1269*1.5</f>
        <v>157.5</v>
      </c>
      <c r="T1269" s="143">
        <f>J1269*1.5</f>
        <v>157.5</v>
      </c>
      <c r="U1269" s="143">
        <f>J1269*0.5</f>
        <v>52.5</v>
      </c>
      <c r="V1269" s="143">
        <f>U1269+T1269+S1269+R1269</f>
        <v>393.75</v>
      </c>
    </row>
    <row r="1270" spans="1:22" s="128" customFormat="1" ht="15.6" hidden="1" x14ac:dyDescent="0.3">
      <c r="A1270" s="142" t="s">
        <v>477</v>
      </c>
      <c r="B1270" s="142">
        <v>1094</v>
      </c>
      <c r="C1270" s="141">
        <v>46118</v>
      </c>
      <c r="D1270" s="140">
        <f>WEEKNUM(C1270)</f>
        <v>15</v>
      </c>
      <c r="E1270" s="140" t="s">
        <v>475</v>
      </c>
      <c r="F1270" s="142" t="s">
        <v>887</v>
      </c>
      <c r="G1270" s="142" t="s">
        <v>311</v>
      </c>
      <c r="H1270" s="142" t="s">
        <v>51</v>
      </c>
      <c r="I1270" s="142" t="s">
        <v>46</v>
      </c>
      <c r="J1270" s="157">
        <v>100</v>
      </c>
      <c r="K1270" s="143">
        <v>18</v>
      </c>
      <c r="L1270" s="143">
        <f>K1270*J1270</f>
        <v>1800</v>
      </c>
      <c r="M1270" s="143">
        <f>L1270</f>
        <v>1800</v>
      </c>
      <c r="N1270" s="141">
        <v>46162</v>
      </c>
      <c r="O1270" s="157">
        <f>WEEKNUM(N1270)</f>
        <v>21</v>
      </c>
      <c r="P1270" s="140"/>
      <c r="Q1270" s="142" t="s">
        <v>29</v>
      </c>
      <c r="R1270" s="143">
        <f>PRODUCT(0.25*J1270)</f>
        <v>25</v>
      </c>
      <c r="S1270" s="143">
        <f>J1270*1.5</f>
        <v>150</v>
      </c>
      <c r="T1270" s="143">
        <f>J1270*1.5</f>
        <v>150</v>
      </c>
      <c r="U1270" s="143">
        <f>J1270*0.5</f>
        <v>50</v>
      </c>
      <c r="V1270" s="143">
        <f>U1270+T1270+S1270+R1270</f>
        <v>375</v>
      </c>
    </row>
    <row r="1271" spans="1:22" s="128" customFormat="1" ht="15.6" hidden="1" x14ac:dyDescent="0.3">
      <c r="A1271" s="142" t="s">
        <v>486</v>
      </c>
      <c r="B1271" s="142">
        <v>506</v>
      </c>
      <c r="C1271" s="141">
        <v>46119</v>
      </c>
      <c r="D1271" s="140">
        <f>WEEKNUM(C1271)</f>
        <v>15</v>
      </c>
      <c r="E1271" s="140" t="s">
        <v>475</v>
      </c>
      <c r="F1271" s="142" t="s">
        <v>484</v>
      </c>
      <c r="G1271" s="142" t="s">
        <v>487</v>
      </c>
      <c r="H1271" s="142" t="s">
        <v>51</v>
      </c>
      <c r="I1271" s="142" t="s">
        <v>46</v>
      </c>
      <c r="J1271" s="157">
        <v>120</v>
      </c>
      <c r="K1271" s="143">
        <v>27</v>
      </c>
      <c r="L1271" s="143">
        <f>K1271*J1271</f>
        <v>3240</v>
      </c>
      <c r="M1271" s="143">
        <v>0</v>
      </c>
      <c r="N1271" s="141">
        <v>46141</v>
      </c>
      <c r="O1271" s="157">
        <f>WEEKNUM(N1271)</f>
        <v>18</v>
      </c>
      <c r="P1271" s="140"/>
      <c r="Q1271" s="142" t="s">
        <v>29</v>
      </c>
      <c r="R1271" s="143">
        <f>PRODUCT(0.25*J1271)</f>
        <v>30</v>
      </c>
      <c r="S1271" s="143">
        <f>J1271*1.5</f>
        <v>180</v>
      </c>
      <c r="T1271" s="143">
        <f>J1271*1.5</f>
        <v>180</v>
      </c>
      <c r="U1271" s="143">
        <f>J1271*0.5</f>
        <v>60</v>
      </c>
      <c r="V1271" s="143">
        <f>U1271+T1271+S1271+R1271</f>
        <v>450</v>
      </c>
    </row>
    <row r="1272" spans="1:22" s="128" customFormat="1" ht="15.6" hidden="1" x14ac:dyDescent="0.3">
      <c r="A1272" s="142" t="s">
        <v>486</v>
      </c>
      <c r="B1272" s="142">
        <v>507</v>
      </c>
      <c r="C1272" s="141">
        <v>46119</v>
      </c>
      <c r="D1272" s="140">
        <f>WEEKNUM(C1272)</f>
        <v>15</v>
      </c>
      <c r="E1272" s="142" t="s">
        <v>498</v>
      </c>
      <c r="F1272" s="142" t="s">
        <v>742</v>
      </c>
      <c r="G1272" s="142" t="s">
        <v>487</v>
      </c>
      <c r="H1272" s="142" t="s">
        <v>51</v>
      </c>
      <c r="I1272" s="142" t="s">
        <v>46</v>
      </c>
      <c r="J1272" s="157">
        <v>100</v>
      </c>
      <c r="K1272" s="143">
        <v>25</v>
      </c>
      <c r="L1272" s="143">
        <f>K1272*J1272</f>
        <v>2500</v>
      </c>
      <c r="M1272" s="143">
        <f>L1272/2</f>
        <v>1250</v>
      </c>
      <c r="N1272" s="141">
        <v>46163</v>
      </c>
      <c r="O1272" s="157">
        <f>WEEKNUM(N1272)</f>
        <v>21</v>
      </c>
      <c r="P1272" s="140"/>
      <c r="Q1272" s="142" t="s">
        <v>29</v>
      </c>
      <c r="R1272" s="143">
        <f>PRODUCT(0.25*J1272)</f>
        <v>25</v>
      </c>
      <c r="S1272" s="143">
        <f>J1272*1.5</f>
        <v>150</v>
      </c>
      <c r="T1272" s="143">
        <f>J1272*1.5</f>
        <v>150</v>
      </c>
      <c r="U1272" s="143">
        <f>J1272*0.5</f>
        <v>50</v>
      </c>
      <c r="V1272" s="143">
        <f>U1272+T1272+S1272+R1272</f>
        <v>375</v>
      </c>
    </row>
    <row r="1273" spans="1:22" s="128" customFormat="1" ht="15.6" hidden="1" x14ac:dyDescent="0.3">
      <c r="A1273" s="142" t="s">
        <v>477</v>
      </c>
      <c r="B1273" s="142">
        <v>218</v>
      </c>
      <c r="C1273" s="141">
        <v>46120</v>
      </c>
      <c r="D1273" s="140">
        <f>WEEKNUM(C1273)</f>
        <v>15</v>
      </c>
      <c r="E1273" s="142" t="s">
        <v>498</v>
      </c>
      <c r="F1273" s="140" t="s">
        <v>446</v>
      </c>
      <c r="G1273" s="142" t="s">
        <v>155</v>
      </c>
      <c r="H1273" s="142" t="s">
        <v>51</v>
      </c>
      <c r="I1273" s="142" t="s">
        <v>46</v>
      </c>
      <c r="J1273" s="157">
        <v>2000</v>
      </c>
      <c r="K1273" s="143">
        <v>23.5</v>
      </c>
      <c r="L1273" s="143">
        <f>J1273*K1273</f>
        <v>47000</v>
      </c>
      <c r="M1273" s="143">
        <f>L1273</f>
        <v>47000</v>
      </c>
      <c r="N1273" s="141">
        <v>46147</v>
      </c>
      <c r="O1273" s="157">
        <f>WEEKNUM(N1273)</f>
        <v>19</v>
      </c>
      <c r="P1273" s="140"/>
      <c r="Q1273" s="157" t="s">
        <v>29</v>
      </c>
      <c r="R1273" s="143">
        <f>PRODUCT(0.25*J1273)</f>
        <v>500</v>
      </c>
      <c r="S1273" s="143">
        <f>J1273*1.5</f>
        <v>3000</v>
      </c>
      <c r="T1273" s="143">
        <f>J1273*1.5</f>
        <v>3000</v>
      </c>
      <c r="U1273" s="143">
        <f>J1273*0.5</f>
        <v>1000</v>
      </c>
      <c r="V1273" s="143">
        <f>U1273+T1273+S1273+R1273</f>
        <v>7500</v>
      </c>
    </row>
    <row r="1274" spans="1:22" s="128" customFormat="1" ht="15.6" hidden="1" x14ac:dyDescent="0.3">
      <c r="A1274" s="142" t="s">
        <v>477</v>
      </c>
      <c r="B1274" s="142">
        <v>509</v>
      </c>
      <c r="C1274" s="141">
        <v>46120</v>
      </c>
      <c r="D1274" s="140">
        <f>WEEKNUM(C1274)</f>
        <v>15</v>
      </c>
      <c r="E1274" s="142" t="s">
        <v>55</v>
      </c>
      <c r="F1274" s="142" t="s">
        <v>652</v>
      </c>
      <c r="G1274" s="140" t="s">
        <v>658</v>
      </c>
      <c r="H1274" s="142" t="s">
        <v>304</v>
      </c>
      <c r="I1274" s="142" t="s">
        <v>46</v>
      </c>
      <c r="J1274" s="157">
        <v>2020</v>
      </c>
      <c r="K1274" s="143">
        <v>13.5</v>
      </c>
      <c r="L1274" s="143">
        <f>K1274*J1274</f>
        <v>27270</v>
      </c>
      <c r="M1274" s="143">
        <f>L1274/2</f>
        <v>13635</v>
      </c>
      <c r="N1274" s="141">
        <v>46147</v>
      </c>
      <c r="O1274" s="157">
        <f>WEEKNUM(N1274)</f>
        <v>19</v>
      </c>
      <c r="P1274" s="140"/>
      <c r="Q1274" s="142" t="s">
        <v>29</v>
      </c>
      <c r="R1274" s="143">
        <f>PRODUCT(0.25*J1274)</f>
        <v>505</v>
      </c>
      <c r="S1274" s="143">
        <f>J1274*1.5</f>
        <v>3030</v>
      </c>
      <c r="T1274" s="143">
        <f>J1274*1.5</f>
        <v>3030</v>
      </c>
      <c r="U1274" s="143">
        <f>J1274*0.5</f>
        <v>1010</v>
      </c>
      <c r="V1274" s="143">
        <f>U1274+T1274+S1274+R1274</f>
        <v>7575</v>
      </c>
    </row>
    <row r="1275" spans="1:22" s="128" customFormat="1" ht="15.6" hidden="1" x14ac:dyDescent="0.3">
      <c r="A1275" s="142" t="s">
        <v>477</v>
      </c>
      <c r="B1275" s="142">
        <v>1080</v>
      </c>
      <c r="C1275" s="141">
        <v>46120</v>
      </c>
      <c r="D1275" s="140">
        <f>WEEKNUM(C1275)</f>
        <v>15</v>
      </c>
      <c r="E1275" s="140" t="s">
        <v>475</v>
      </c>
      <c r="F1275" s="142" t="s">
        <v>731</v>
      </c>
      <c r="G1275" s="140" t="s">
        <v>658</v>
      </c>
      <c r="H1275" s="142" t="s">
        <v>304</v>
      </c>
      <c r="I1275" s="142" t="s">
        <v>46</v>
      </c>
      <c r="J1275" s="157">
        <v>240</v>
      </c>
      <c r="K1275" s="143">
        <v>9.8000000000000007</v>
      </c>
      <c r="L1275" s="143">
        <f>K1275*J1275</f>
        <v>2352</v>
      </c>
      <c r="M1275" s="143">
        <f>L1275</f>
        <v>2352</v>
      </c>
      <c r="N1275" s="141">
        <v>46122</v>
      </c>
      <c r="O1275" s="157">
        <f>WEEKNUM(N1275)</f>
        <v>15</v>
      </c>
      <c r="P1275" s="140"/>
      <c r="Q1275" s="142" t="s">
        <v>29</v>
      </c>
      <c r="R1275" s="143">
        <f>PRODUCT(0.25*J1275)</f>
        <v>60</v>
      </c>
      <c r="S1275" s="143">
        <f>J1275*1.5</f>
        <v>360</v>
      </c>
      <c r="T1275" s="143">
        <f>J1275*1.5</f>
        <v>360</v>
      </c>
      <c r="U1275" s="143">
        <f>J1275*0.5</f>
        <v>120</v>
      </c>
      <c r="V1275" s="143">
        <f>U1275+T1275+S1275+R1275</f>
        <v>900</v>
      </c>
    </row>
    <row r="1276" spans="1:22" s="128" customFormat="1" ht="15.6" hidden="1" x14ac:dyDescent="0.3">
      <c r="A1276" s="142" t="s">
        <v>477</v>
      </c>
      <c r="B1276" s="142">
        <v>1080</v>
      </c>
      <c r="C1276" s="141">
        <v>46120</v>
      </c>
      <c r="D1276" s="140">
        <f>WEEKNUM(C1276)</f>
        <v>15</v>
      </c>
      <c r="E1276" s="140" t="s">
        <v>475</v>
      </c>
      <c r="F1276" s="142" t="s">
        <v>731</v>
      </c>
      <c r="G1276" s="140" t="s">
        <v>658</v>
      </c>
      <c r="H1276" s="142" t="s">
        <v>304</v>
      </c>
      <c r="I1276" s="142" t="s">
        <v>46</v>
      </c>
      <c r="J1276" s="157">
        <v>120</v>
      </c>
      <c r="K1276" s="143">
        <v>7</v>
      </c>
      <c r="L1276" s="143">
        <f>K1276*J1276</f>
        <v>840</v>
      </c>
      <c r="M1276" s="143">
        <f>L1276</f>
        <v>840</v>
      </c>
      <c r="N1276" s="141">
        <v>46122</v>
      </c>
      <c r="O1276" s="157">
        <f>WEEKNUM(N1276)</f>
        <v>15</v>
      </c>
      <c r="P1276" s="140"/>
      <c r="Q1276" s="142" t="s">
        <v>29</v>
      </c>
      <c r="R1276" s="143">
        <f>PRODUCT(0.25*J1276)</f>
        <v>30</v>
      </c>
      <c r="S1276" s="143">
        <f>J1276*1.5</f>
        <v>180</v>
      </c>
      <c r="T1276" s="143">
        <f>J1276*1.5</f>
        <v>180</v>
      </c>
      <c r="U1276" s="143">
        <f>J1276*0.5</f>
        <v>60</v>
      </c>
      <c r="V1276" s="143">
        <f>U1276+T1276+S1276+R1276</f>
        <v>450</v>
      </c>
    </row>
    <row r="1277" spans="1:22" s="128" customFormat="1" ht="15.6" hidden="1" x14ac:dyDescent="0.3">
      <c r="A1277" s="142" t="s">
        <v>486</v>
      </c>
      <c r="B1277" s="142">
        <v>504</v>
      </c>
      <c r="C1277" s="141">
        <v>46121</v>
      </c>
      <c r="D1277" s="140">
        <f>WEEKNUM(C1277)</f>
        <v>15</v>
      </c>
      <c r="E1277" s="140" t="s">
        <v>475</v>
      </c>
      <c r="F1277" s="142" t="s">
        <v>514</v>
      </c>
      <c r="G1277" s="142" t="s">
        <v>515</v>
      </c>
      <c r="H1277" s="142" t="s">
        <v>60</v>
      </c>
      <c r="I1277" s="142" t="s">
        <v>61</v>
      </c>
      <c r="J1277" s="157">
        <v>700</v>
      </c>
      <c r="K1277" s="143">
        <v>14</v>
      </c>
      <c r="L1277" s="143">
        <f>K1277*J1277</f>
        <v>9800</v>
      </c>
      <c r="M1277" s="143">
        <v>0</v>
      </c>
      <c r="N1277" s="141">
        <v>46167</v>
      </c>
      <c r="O1277" s="157">
        <f>WEEKNUM(N1277)</f>
        <v>22</v>
      </c>
      <c r="P1277" s="140"/>
      <c r="Q1277" s="142" t="s">
        <v>29</v>
      </c>
      <c r="R1277" s="143">
        <f>PRODUCT(0.25*J1277)</f>
        <v>175</v>
      </c>
      <c r="S1277" s="143">
        <f>J1277*1.5</f>
        <v>1050</v>
      </c>
      <c r="T1277" s="143">
        <f>J1277*1.5</f>
        <v>1050</v>
      </c>
      <c r="U1277" s="143">
        <f>J1277*0.5</f>
        <v>350</v>
      </c>
      <c r="V1277" s="143">
        <f>U1277+T1277+S1277+R1277</f>
        <v>2625</v>
      </c>
    </row>
    <row r="1278" spans="1:22" s="128" customFormat="1" ht="15.6" hidden="1" x14ac:dyDescent="0.3">
      <c r="A1278" s="142" t="s">
        <v>477</v>
      </c>
      <c r="B1278" s="142">
        <v>1098</v>
      </c>
      <c r="C1278" s="141">
        <v>46121</v>
      </c>
      <c r="D1278" s="140">
        <f>WEEKNUM(C1278)</f>
        <v>15</v>
      </c>
      <c r="E1278" s="140" t="s">
        <v>475</v>
      </c>
      <c r="F1278" s="142" t="s">
        <v>647</v>
      </c>
      <c r="G1278" s="142" t="s">
        <v>649</v>
      </c>
      <c r="H1278" s="142" t="s">
        <v>51</v>
      </c>
      <c r="I1278" s="142" t="s">
        <v>46</v>
      </c>
      <c r="J1278" s="157">
        <v>150</v>
      </c>
      <c r="K1278" s="143">
        <v>23.5</v>
      </c>
      <c r="L1278" s="143">
        <v>3525</v>
      </c>
      <c r="M1278" s="143">
        <f>L1278</f>
        <v>3525</v>
      </c>
      <c r="N1278" s="141">
        <v>46165</v>
      </c>
      <c r="O1278" s="157">
        <f>WEEKNUM(N1278)</f>
        <v>21</v>
      </c>
      <c r="P1278" s="140"/>
      <c r="Q1278" s="157" t="s">
        <v>29</v>
      </c>
      <c r="R1278" s="143">
        <f>PRODUCT(0.25*J1278)</f>
        <v>37.5</v>
      </c>
      <c r="S1278" s="143">
        <f>J1278*1.5</f>
        <v>225</v>
      </c>
      <c r="T1278" s="143">
        <f>J1278*1.5</f>
        <v>225</v>
      </c>
      <c r="U1278" s="143">
        <f>J1278*0.5</f>
        <v>75</v>
      </c>
      <c r="V1278" s="143">
        <f>U1278+T1278+S1278+R1278</f>
        <v>562.5</v>
      </c>
    </row>
    <row r="1279" spans="1:22" s="128" customFormat="1" ht="15.6" hidden="1" x14ac:dyDescent="0.3">
      <c r="A1279" s="142" t="s">
        <v>477</v>
      </c>
      <c r="B1279" s="142">
        <v>1097</v>
      </c>
      <c r="C1279" s="141">
        <v>46121</v>
      </c>
      <c r="D1279" s="140">
        <f>WEEKNUM(C1279)</f>
        <v>15</v>
      </c>
      <c r="E1279" s="140" t="s">
        <v>475</v>
      </c>
      <c r="F1279" s="140" t="s">
        <v>809</v>
      </c>
      <c r="G1279" s="142" t="s">
        <v>311</v>
      </c>
      <c r="H1279" s="142" t="s">
        <v>51</v>
      </c>
      <c r="I1279" s="142" t="s">
        <v>46</v>
      </c>
      <c r="J1279" s="157">
        <v>500</v>
      </c>
      <c r="K1279" s="143">
        <v>14</v>
      </c>
      <c r="L1279" s="143">
        <f>K1279*J1279</f>
        <v>7000</v>
      </c>
      <c r="M1279" s="143">
        <f>L1279/2</f>
        <v>3500</v>
      </c>
      <c r="N1279" s="141">
        <v>46165</v>
      </c>
      <c r="O1279" s="157">
        <f>WEEKNUM(N1279)</f>
        <v>21</v>
      </c>
      <c r="P1279" s="155">
        <f>YEAR(O1279)</f>
        <v>1900</v>
      </c>
      <c r="Q1279" s="157" t="s">
        <v>29</v>
      </c>
      <c r="R1279" s="143">
        <f>PRODUCT(0.25*J1279)</f>
        <v>125</v>
      </c>
      <c r="S1279" s="143">
        <f>J1279*1.5</f>
        <v>750</v>
      </c>
      <c r="T1279" s="143">
        <f>J1279*1.5</f>
        <v>750</v>
      </c>
      <c r="U1279" s="143">
        <f>J1279*0.5</f>
        <v>250</v>
      </c>
      <c r="V1279" s="143">
        <f>U1279+T1279+S1279+R1279</f>
        <v>1875</v>
      </c>
    </row>
    <row r="1280" spans="1:22" s="128" customFormat="1" ht="15.6" hidden="1" x14ac:dyDescent="0.3">
      <c r="A1280" s="142" t="s">
        <v>486</v>
      </c>
      <c r="B1280" s="142">
        <v>510</v>
      </c>
      <c r="C1280" s="141">
        <v>46122</v>
      </c>
      <c r="D1280" s="140">
        <f>WEEKNUM(C1280)</f>
        <v>15</v>
      </c>
      <c r="E1280" s="142" t="s">
        <v>498</v>
      </c>
      <c r="F1280" s="142" t="s">
        <v>885</v>
      </c>
      <c r="G1280" s="142" t="s">
        <v>487</v>
      </c>
      <c r="H1280" s="142" t="s">
        <v>51</v>
      </c>
      <c r="I1280" s="142" t="s">
        <v>46</v>
      </c>
      <c r="J1280" s="157">
        <v>150</v>
      </c>
      <c r="K1280" s="143">
        <v>26.5</v>
      </c>
      <c r="L1280" s="143">
        <f>J1280*K1280</f>
        <v>3975</v>
      </c>
      <c r="M1280" s="143">
        <f>L1280/2</f>
        <v>1987.5</v>
      </c>
      <c r="N1280" s="141">
        <v>46168</v>
      </c>
      <c r="O1280" s="157">
        <f>WEEKNUM(N1280)</f>
        <v>22</v>
      </c>
      <c r="P1280" s="140"/>
      <c r="Q1280" s="157" t="s">
        <v>29</v>
      </c>
      <c r="R1280" s="143">
        <f>PRODUCT(0.25*J1280)</f>
        <v>37.5</v>
      </c>
      <c r="S1280" s="143">
        <f>J1280*1.5</f>
        <v>225</v>
      </c>
      <c r="T1280" s="143">
        <f>J1280*1.5</f>
        <v>225</v>
      </c>
      <c r="U1280" s="143">
        <f>J1280*0.5</f>
        <v>75</v>
      </c>
      <c r="V1280" s="143">
        <f>U1280+T1280+S1280+R1280</f>
        <v>562.5</v>
      </c>
    </row>
    <row r="1281" spans="1:22" s="128" customFormat="1" ht="15.6" hidden="1" x14ac:dyDescent="0.3">
      <c r="A1281" s="142" t="s">
        <v>486</v>
      </c>
      <c r="B1281" s="142">
        <v>512</v>
      </c>
      <c r="C1281" s="141">
        <v>46125</v>
      </c>
      <c r="D1281" s="140">
        <f>WEEKNUM(C1281)</f>
        <v>16</v>
      </c>
      <c r="E1281" s="140" t="s">
        <v>475</v>
      </c>
      <c r="F1281" s="142" t="s">
        <v>523</v>
      </c>
      <c r="G1281" s="142" t="s">
        <v>311</v>
      </c>
      <c r="H1281" s="142" t="s">
        <v>51</v>
      </c>
      <c r="I1281" s="142" t="s">
        <v>46</v>
      </c>
      <c r="J1281" s="157">
        <v>50</v>
      </c>
      <c r="K1281" s="143">
        <v>20</v>
      </c>
      <c r="L1281" s="143">
        <f>J1281*K1281</f>
        <v>1000</v>
      </c>
      <c r="M1281" s="143">
        <v>0</v>
      </c>
      <c r="N1281" s="141">
        <v>46169</v>
      </c>
      <c r="O1281" s="157">
        <f>WEEKNUM(N1281)</f>
        <v>22</v>
      </c>
      <c r="P1281" s="140"/>
      <c r="Q1281" s="157" t="s">
        <v>29</v>
      </c>
      <c r="R1281" s="143">
        <f>PRODUCT(0.25*J1281)</f>
        <v>12.5</v>
      </c>
      <c r="S1281" s="143">
        <f>J1281*1.5</f>
        <v>75</v>
      </c>
      <c r="T1281" s="143">
        <f>J1281*1.5</f>
        <v>75</v>
      </c>
      <c r="U1281" s="143">
        <f>J1281*0.5</f>
        <v>25</v>
      </c>
      <c r="V1281" s="143">
        <f>U1281+T1281+S1281+R1281</f>
        <v>187.5</v>
      </c>
    </row>
    <row r="1282" spans="1:22" s="128" customFormat="1" ht="15.6" hidden="1" x14ac:dyDescent="0.3">
      <c r="A1282" s="142" t="s">
        <v>477</v>
      </c>
      <c r="B1282" s="142">
        <v>516</v>
      </c>
      <c r="C1282" s="141">
        <v>46125</v>
      </c>
      <c r="D1282" s="140">
        <f>WEEKNUM(C1282)</f>
        <v>16</v>
      </c>
      <c r="E1282" s="140" t="s">
        <v>475</v>
      </c>
      <c r="F1282" s="140" t="s">
        <v>761</v>
      </c>
      <c r="G1282" s="142" t="s">
        <v>770</v>
      </c>
      <c r="H1282" s="142" t="s">
        <v>51</v>
      </c>
      <c r="I1282" s="142" t="s">
        <v>46</v>
      </c>
      <c r="J1282" s="157">
        <v>300</v>
      </c>
      <c r="K1282" s="143">
        <v>15</v>
      </c>
      <c r="L1282" s="143">
        <f>K1282*J1282</f>
        <v>4500</v>
      </c>
      <c r="M1282" s="143">
        <f>L1282</f>
        <v>4500</v>
      </c>
      <c r="N1282" s="141">
        <v>46169</v>
      </c>
      <c r="O1282" s="157">
        <f>WEEKNUM(N1282)</f>
        <v>22</v>
      </c>
      <c r="P1282" s="140"/>
      <c r="Q1282" s="157" t="s">
        <v>29</v>
      </c>
      <c r="R1282" s="143">
        <f>PRODUCT(0.25*J1282)</f>
        <v>75</v>
      </c>
      <c r="S1282" s="143">
        <f>J1282*1.5</f>
        <v>450</v>
      </c>
      <c r="T1282" s="143">
        <f>J1282*1.5</f>
        <v>450</v>
      </c>
      <c r="U1282" s="143">
        <f>J1282*0.5</f>
        <v>150</v>
      </c>
      <c r="V1282" s="143">
        <f>U1282+T1282+S1282+R1282</f>
        <v>1125</v>
      </c>
    </row>
    <row r="1283" spans="1:22" s="128" customFormat="1" ht="15.6" hidden="1" x14ac:dyDescent="0.3">
      <c r="A1283" s="142" t="s">
        <v>477</v>
      </c>
      <c r="B1283" s="142">
        <v>513</v>
      </c>
      <c r="C1283" s="141">
        <v>46125</v>
      </c>
      <c r="D1283" s="140">
        <f>WEEKNUM(C1283)</f>
        <v>16</v>
      </c>
      <c r="E1283" s="140" t="s">
        <v>475</v>
      </c>
      <c r="F1283" s="142" t="s">
        <v>794</v>
      </c>
      <c r="G1283" s="142" t="s">
        <v>495</v>
      </c>
      <c r="H1283" s="142" t="s">
        <v>494</v>
      </c>
      <c r="I1283" s="142" t="s">
        <v>46</v>
      </c>
      <c r="J1283" s="157">
        <v>100</v>
      </c>
      <c r="K1283" s="143">
        <v>31.5</v>
      </c>
      <c r="L1283" s="143">
        <f>J1283*K1283</f>
        <v>3150</v>
      </c>
      <c r="M1283" s="143">
        <f>L1283</f>
        <v>3150</v>
      </c>
      <c r="N1283" s="141">
        <v>46169</v>
      </c>
      <c r="O1283" s="157">
        <f>WEEKNUM(N1283)</f>
        <v>22</v>
      </c>
      <c r="P1283" s="140"/>
      <c r="Q1283" s="157" t="s">
        <v>29</v>
      </c>
      <c r="R1283" s="143">
        <f>PRODUCT(0.25*J1283)</f>
        <v>25</v>
      </c>
      <c r="S1283" s="143">
        <f>J1283*1.5</f>
        <v>150</v>
      </c>
      <c r="T1283" s="143">
        <f>J1283*1.5</f>
        <v>150</v>
      </c>
      <c r="U1283" s="143">
        <f>J1283*0.5</f>
        <v>50</v>
      </c>
      <c r="V1283" s="143">
        <f>U1283+T1283+S1283+R1283</f>
        <v>375</v>
      </c>
    </row>
    <row r="1284" spans="1:22" s="128" customFormat="1" ht="15.6" hidden="1" x14ac:dyDescent="0.3">
      <c r="A1284" s="142" t="s">
        <v>477</v>
      </c>
      <c r="B1284" s="142">
        <v>514</v>
      </c>
      <c r="C1284" s="141">
        <v>46125</v>
      </c>
      <c r="D1284" s="140">
        <f>WEEKNUM(C1284)</f>
        <v>16</v>
      </c>
      <c r="E1284" s="140" t="s">
        <v>475</v>
      </c>
      <c r="F1284" s="142" t="s">
        <v>794</v>
      </c>
      <c r="G1284" s="142" t="s">
        <v>495</v>
      </c>
      <c r="H1284" s="142" t="s">
        <v>494</v>
      </c>
      <c r="I1284" s="142" t="s">
        <v>46</v>
      </c>
      <c r="J1284" s="157">
        <v>24</v>
      </c>
      <c r="K1284" s="143">
        <v>31.5</v>
      </c>
      <c r="L1284" s="143">
        <f>J1284*K1284</f>
        <v>756</v>
      </c>
      <c r="M1284" s="143">
        <f>L1284</f>
        <v>756</v>
      </c>
      <c r="N1284" s="141">
        <v>46169</v>
      </c>
      <c r="O1284" s="157">
        <f>WEEKNUM(N1284)</f>
        <v>22</v>
      </c>
      <c r="P1284" s="140"/>
      <c r="Q1284" s="157" t="s">
        <v>29</v>
      </c>
      <c r="R1284" s="143">
        <f>PRODUCT(0.25*J1284)</f>
        <v>6</v>
      </c>
      <c r="S1284" s="143">
        <f>J1284*1.5</f>
        <v>36</v>
      </c>
      <c r="T1284" s="143">
        <f>J1284*1.5</f>
        <v>36</v>
      </c>
      <c r="U1284" s="143">
        <f>J1284*0.5</f>
        <v>12</v>
      </c>
      <c r="V1284" s="143">
        <f>U1284+T1284+S1284+R1284</f>
        <v>90</v>
      </c>
    </row>
    <row r="1285" spans="1:22" s="128" customFormat="1" ht="15.6" hidden="1" x14ac:dyDescent="0.3">
      <c r="A1285" s="142" t="s">
        <v>477</v>
      </c>
      <c r="B1285" s="142">
        <v>515</v>
      </c>
      <c r="C1285" s="141">
        <v>46125</v>
      </c>
      <c r="D1285" s="140">
        <f>WEEKNUM(C1285)</f>
        <v>16</v>
      </c>
      <c r="E1285" s="140" t="s">
        <v>475</v>
      </c>
      <c r="F1285" s="142" t="s">
        <v>794</v>
      </c>
      <c r="G1285" s="142" t="s">
        <v>495</v>
      </c>
      <c r="H1285" s="142" t="s">
        <v>494</v>
      </c>
      <c r="I1285" s="142" t="s">
        <v>46</v>
      </c>
      <c r="J1285" s="157">
        <v>100</v>
      </c>
      <c r="K1285" s="143">
        <v>31.5</v>
      </c>
      <c r="L1285" s="143">
        <f>J1285*K1285</f>
        <v>3150</v>
      </c>
      <c r="M1285" s="143">
        <f>L1285</f>
        <v>3150</v>
      </c>
      <c r="N1285" s="141">
        <v>46169</v>
      </c>
      <c r="O1285" s="157">
        <f>WEEKNUM(N1285)</f>
        <v>22</v>
      </c>
      <c r="P1285" s="140"/>
      <c r="Q1285" s="157" t="s">
        <v>29</v>
      </c>
      <c r="R1285" s="143">
        <f>PRODUCT(0.25*J1285)</f>
        <v>25</v>
      </c>
      <c r="S1285" s="143">
        <f>J1285*1.5</f>
        <v>150</v>
      </c>
      <c r="T1285" s="143">
        <f>J1285*1.5</f>
        <v>150</v>
      </c>
      <c r="U1285" s="143">
        <f>J1285*0.5</f>
        <v>50</v>
      </c>
      <c r="V1285" s="143">
        <f>U1285+T1285+S1285+R1285</f>
        <v>375</v>
      </c>
    </row>
    <row r="1286" spans="1:22" s="128" customFormat="1" ht="15.6" hidden="1" x14ac:dyDescent="0.3">
      <c r="A1286" s="142" t="s">
        <v>477</v>
      </c>
      <c r="B1286" s="142">
        <v>516</v>
      </c>
      <c r="C1286" s="141">
        <v>46127</v>
      </c>
      <c r="D1286" s="140">
        <f>WEEKNUM(C1286)</f>
        <v>16</v>
      </c>
      <c r="E1286" s="140" t="s">
        <v>475</v>
      </c>
      <c r="F1286" s="140" t="s">
        <v>917</v>
      </c>
      <c r="G1286" s="142" t="s">
        <v>918</v>
      </c>
      <c r="H1286" s="142" t="s">
        <v>60</v>
      </c>
      <c r="I1286" s="142" t="s">
        <v>61</v>
      </c>
      <c r="J1286" s="157">
        <v>200</v>
      </c>
      <c r="K1286" s="143">
        <v>16.5</v>
      </c>
      <c r="L1286" s="143">
        <f>J1286*K1286</f>
        <v>3300</v>
      </c>
      <c r="M1286" s="143">
        <f>L1286</f>
        <v>3300</v>
      </c>
      <c r="N1286" s="141">
        <v>46170</v>
      </c>
      <c r="O1286" s="157">
        <f>WEEKNUM(N1286)</f>
        <v>22</v>
      </c>
      <c r="P1286" s="140"/>
      <c r="Q1286" s="157" t="s">
        <v>29</v>
      </c>
      <c r="R1286" s="143">
        <f>PRODUCT(0.25*J1286)</f>
        <v>50</v>
      </c>
      <c r="S1286" s="143">
        <f>J1286*1.5</f>
        <v>300</v>
      </c>
      <c r="T1286" s="143">
        <f>J1286*1.5</f>
        <v>300</v>
      </c>
      <c r="U1286" s="143">
        <f>J1286*0.5</f>
        <v>100</v>
      </c>
      <c r="V1286" s="143">
        <f>U1286+T1286+S1286+R1286</f>
        <v>750</v>
      </c>
    </row>
    <row r="1287" spans="1:22" s="128" customFormat="1" ht="15.6" hidden="1" x14ac:dyDescent="0.3">
      <c r="A1287" s="142" t="s">
        <v>477</v>
      </c>
      <c r="B1287" s="142">
        <v>516</v>
      </c>
      <c r="C1287" s="141">
        <v>46127</v>
      </c>
      <c r="D1287" s="140">
        <f>WEEKNUM(C1287)</f>
        <v>16</v>
      </c>
      <c r="E1287" s="140" t="s">
        <v>475</v>
      </c>
      <c r="F1287" s="140" t="s">
        <v>917</v>
      </c>
      <c r="G1287" s="142" t="s">
        <v>919</v>
      </c>
      <c r="H1287" s="142" t="s">
        <v>60</v>
      </c>
      <c r="I1287" s="142" t="s">
        <v>61</v>
      </c>
      <c r="J1287" s="157">
        <v>300</v>
      </c>
      <c r="K1287" s="143">
        <v>19</v>
      </c>
      <c r="L1287" s="143">
        <f>J1287*K1287</f>
        <v>5700</v>
      </c>
      <c r="M1287" s="143">
        <f>L1287</f>
        <v>5700</v>
      </c>
      <c r="N1287" s="141">
        <v>46170</v>
      </c>
      <c r="O1287" s="157">
        <f>WEEKNUM(N1287)</f>
        <v>22</v>
      </c>
      <c r="P1287" s="140"/>
      <c r="Q1287" s="157" t="s">
        <v>29</v>
      </c>
      <c r="R1287" s="143">
        <f>PRODUCT(0.25*J1287)</f>
        <v>75</v>
      </c>
      <c r="S1287" s="143">
        <f>J1287*1.5</f>
        <v>450</v>
      </c>
      <c r="T1287" s="143">
        <f>J1287*1.5</f>
        <v>450</v>
      </c>
      <c r="U1287" s="143">
        <f>J1287*0.5</f>
        <v>150</v>
      </c>
      <c r="V1287" s="143">
        <f>U1287+T1287+S1287+R1287</f>
        <v>1125</v>
      </c>
    </row>
    <row r="1288" spans="1:22" s="128" customFormat="1" ht="15.6" hidden="1" x14ac:dyDescent="0.3">
      <c r="A1288" s="142" t="s">
        <v>486</v>
      </c>
      <c r="B1288" s="142">
        <v>517</v>
      </c>
      <c r="C1288" s="141">
        <v>46128</v>
      </c>
      <c r="D1288" s="140">
        <f>WEEKNUM(C1288)</f>
        <v>16</v>
      </c>
      <c r="E1288" s="140" t="s">
        <v>475</v>
      </c>
      <c r="F1288" s="142" t="s">
        <v>553</v>
      </c>
      <c r="G1288" s="142" t="s">
        <v>311</v>
      </c>
      <c r="H1288" s="142" t="s">
        <v>51</v>
      </c>
      <c r="I1288" s="142" t="s">
        <v>46</v>
      </c>
      <c r="J1288" s="157">
        <v>50</v>
      </c>
      <c r="K1288" s="143">
        <v>20</v>
      </c>
      <c r="L1288" s="143">
        <f>J1288*K1288</f>
        <v>1000</v>
      </c>
      <c r="M1288" s="143">
        <v>0</v>
      </c>
      <c r="N1288" s="141">
        <v>46174</v>
      </c>
      <c r="O1288" s="157">
        <f>WEEKNUM(N1288)</f>
        <v>23</v>
      </c>
      <c r="P1288" s="140"/>
      <c r="Q1288" s="157" t="s">
        <v>29</v>
      </c>
      <c r="R1288" s="143">
        <f>PRODUCT(0.25*J1288)</f>
        <v>12.5</v>
      </c>
      <c r="S1288" s="143">
        <f>J1288*1.5</f>
        <v>75</v>
      </c>
      <c r="T1288" s="143">
        <f>J1288*1.5</f>
        <v>75</v>
      </c>
      <c r="U1288" s="143">
        <f>J1288*0.5</f>
        <v>25</v>
      </c>
      <c r="V1288" s="143">
        <f>U1288+T1288+S1288+R1288</f>
        <v>187.5</v>
      </c>
    </row>
    <row r="1289" spans="1:22" s="128" customFormat="1" ht="15.6" hidden="1" x14ac:dyDescent="0.3">
      <c r="A1289" s="142" t="s">
        <v>486</v>
      </c>
      <c r="B1289" s="142">
        <v>517</v>
      </c>
      <c r="C1289" s="141">
        <v>46128</v>
      </c>
      <c r="D1289" s="140">
        <f>WEEKNUM(C1289)</f>
        <v>16</v>
      </c>
      <c r="E1289" s="140" t="s">
        <v>475</v>
      </c>
      <c r="F1289" s="142" t="s">
        <v>553</v>
      </c>
      <c r="G1289" s="142" t="s">
        <v>301</v>
      </c>
      <c r="H1289" s="142" t="s">
        <v>74</v>
      </c>
      <c r="I1289" s="142" t="s">
        <v>46</v>
      </c>
      <c r="J1289" s="157">
        <v>50</v>
      </c>
      <c r="K1289" s="143">
        <v>35</v>
      </c>
      <c r="L1289" s="143">
        <f>J1289*K1289</f>
        <v>1750</v>
      </c>
      <c r="M1289" s="143">
        <v>0</v>
      </c>
      <c r="N1289" s="141">
        <v>46174</v>
      </c>
      <c r="O1289" s="157">
        <f>WEEKNUM(N1289)</f>
        <v>23</v>
      </c>
      <c r="P1289" s="140"/>
      <c r="Q1289" s="157" t="s">
        <v>29</v>
      </c>
      <c r="R1289" s="143">
        <f>PRODUCT(0.25*J1289)</f>
        <v>12.5</v>
      </c>
      <c r="S1289" s="143">
        <f>J1289*1.5</f>
        <v>75</v>
      </c>
      <c r="T1289" s="143">
        <f>J1289*1.5</f>
        <v>75</v>
      </c>
      <c r="U1289" s="143">
        <f>J1289*0.5</f>
        <v>25</v>
      </c>
      <c r="V1289" s="143">
        <f>U1289+T1289+S1289+R1289</f>
        <v>187.5</v>
      </c>
    </row>
    <row r="1290" spans="1:22" s="128" customFormat="1" ht="15.6" hidden="1" x14ac:dyDescent="0.3">
      <c r="A1290" s="142" t="s">
        <v>486</v>
      </c>
      <c r="B1290" s="142">
        <v>517</v>
      </c>
      <c r="C1290" s="141">
        <v>46128</v>
      </c>
      <c r="D1290" s="140">
        <f>WEEKNUM(C1290)</f>
        <v>16</v>
      </c>
      <c r="E1290" s="140" t="s">
        <v>475</v>
      </c>
      <c r="F1290" s="142" t="s">
        <v>553</v>
      </c>
      <c r="G1290" s="142" t="s">
        <v>554</v>
      </c>
      <c r="H1290" s="142" t="s">
        <v>555</v>
      </c>
      <c r="I1290" s="142" t="s">
        <v>46</v>
      </c>
      <c r="J1290" s="157">
        <v>10</v>
      </c>
      <c r="K1290" s="143">
        <v>55</v>
      </c>
      <c r="L1290" s="143">
        <f>J1290*K1290</f>
        <v>550</v>
      </c>
      <c r="M1290" s="143">
        <v>0</v>
      </c>
      <c r="N1290" s="141">
        <v>46174</v>
      </c>
      <c r="O1290" s="157">
        <f>WEEKNUM(N1290)</f>
        <v>23</v>
      </c>
      <c r="P1290" s="140"/>
      <c r="Q1290" s="157" t="s">
        <v>29</v>
      </c>
      <c r="R1290" s="143">
        <f>PRODUCT(0.25*J1290)</f>
        <v>2.5</v>
      </c>
      <c r="S1290" s="143">
        <f>J1290*1.5</f>
        <v>15</v>
      </c>
      <c r="T1290" s="143">
        <f>J1290*1.5</f>
        <v>15</v>
      </c>
      <c r="U1290" s="143">
        <f>J1290*0.5</f>
        <v>5</v>
      </c>
      <c r="V1290" s="143">
        <f>U1290+T1290+S1290+R1290</f>
        <v>37.5</v>
      </c>
    </row>
    <row r="1291" spans="1:22" s="128" customFormat="1" ht="15.6" hidden="1" x14ac:dyDescent="0.3">
      <c r="A1291" s="142" t="s">
        <v>486</v>
      </c>
      <c r="B1291" s="142">
        <v>517</v>
      </c>
      <c r="C1291" s="141">
        <v>46128</v>
      </c>
      <c r="D1291" s="140">
        <f>WEEKNUM(C1291)</f>
        <v>16</v>
      </c>
      <c r="E1291" s="140" t="s">
        <v>475</v>
      </c>
      <c r="F1291" s="142" t="s">
        <v>553</v>
      </c>
      <c r="G1291" s="142" t="s">
        <v>515</v>
      </c>
      <c r="H1291" s="142" t="s">
        <v>60</v>
      </c>
      <c r="I1291" s="142" t="s">
        <v>61</v>
      </c>
      <c r="J1291" s="157">
        <v>100</v>
      </c>
      <c r="K1291" s="143">
        <v>22.5</v>
      </c>
      <c r="L1291" s="143">
        <f>J1291*K1291</f>
        <v>2250</v>
      </c>
      <c r="M1291" s="143">
        <v>0</v>
      </c>
      <c r="N1291" s="141">
        <v>46174</v>
      </c>
      <c r="O1291" s="157">
        <f>WEEKNUM(N1291)</f>
        <v>23</v>
      </c>
      <c r="P1291" s="140"/>
      <c r="Q1291" s="157" t="s">
        <v>29</v>
      </c>
      <c r="R1291" s="143">
        <f>PRODUCT(0.25*J1291)</f>
        <v>25</v>
      </c>
      <c r="S1291" s="143">
        <f>J1291*1.5</f>
        <v>150</v>
      </c>
      <c r="T1291" s="143">
        <f>J1291*1.5</f>
        <v>150</v>
      </c>
      <c r="U1291" s="143">
        <f>J1291*0.5</f>
        <v>50</v>
      </c>
      <c r="V1291" s="143">
        <f>U1291+T1291+S1291+R1291</f>
        <v>375</v>
      </c>
    </row>
    <row r="1292" spans="1:22" s="128" customFormat="1" ht="15.6" hidden="1" x14ac:dyDescent="0.3">
      <c r="A1292" s="142" t="s">
        <v>486</v>
      </c>
      <c r="B1292" s="142">
        <v>517</v>
      </c>
      <c r="C1292" s="141">
        <v>46128</v>
      </c>
      <c r="D1292" s="140">
        <f>WEEKNUM(C1292)</f>
        <v>16</v>
      </c>
      <c r="E1292" s="140" t="s">
        <v>475</v>
      </c>
      <c r="F1292" s="142" t="s">
        <v>553</v>
      </c>
      <c r="G1292" s="142" t="s">
        <v>556</v>
      </c>
      <c r="H1292" s="142" t="s">
        <v>557</v>
      </c>
      <c r="I1292" s="142" t="s">
        <v>61</v>
      </c>
      <c r="J1292" s="157">
        <v>100</v>
      </c>
      <c r="K1292" s="143">
        <v>17.899999999999999</v>
      </c>
      <c r="L1292" s="143">
        <f>J1292*K1292</f>
        <v>1789.9999999999998</v>
      </c>
      <c r="M1292" s="143">
        <v>0</v>
      </c>
      <c r="N1292" s="141">
        <v>46174</v>
      </c>
      <c r="O1292" s="157">
        <f>WEEKNUM(N1292)</f>
        <v>23</v>
      </c>
      <c r="P1292" s="140"/>
      <c r="Q1292" s="157" t="s">
        <v>29</v>
      </c>
      <c r="R1292" s="143">
        <f>PRODUCT(0.25*J1292)</f>
        <v>25</v>
      </c>
      <c r="S1292" s="143">
        <f>J1292*1.5</f>
        <v>150</v>
      </c>
      <c r="T1292" s="143">
        <f>J1292*1.5</f>
        <v>150</v>
      </c>
      <c r="U1292" s="143">
        <f>J1292*0.5</f>
        <v>50</v>
      </c>
      <c r="V1292" s="143">
        <f>U1292+T1292+S1292+R1292</f>
        <v>375</v>
      </c>
    </row>
    <row r="1293" spans="1:22" s="128" customFormat="1" ht="15.6" hidden="1" x14ac:dyDescent="0.3">
      <c r="A1293" s="142" t="s">
        <v>477</v>
      </c>
      <c r="B1293" s="142">
        <v>1082</v>
      </c>
      <c r="C1293" s="141">
        <v>46128</v>
      </c>
      <c r="D1293" s="140">
        <f>WEEKNUM(C1293)</f>
        <v>16</v>
      </c>
      <c r="E1293" s="140" t="s">
        <v>478</v>
      </c>
      <c r="F1293" s="142" t="s">
        <v>673</v>
      </c>
      <c r="G1293" s="142" t="s">
        <v>675</v>
      </c>
      <c r="H1293" s="142" t="s">
        <v>60</v>
      </c>
      <c r="I1293" s="142" t="s">
        <v>61</v>
      </c>
      <c r="J1293" s="157">
        <v>100</v>
      </c>
      <c r="K1293" s="143">
        <v>19.149999999999999</v>
      </c>
      <c r="L1293" s="143">
        <f>J1293*K1293</f>
        <v>1914.9999999999998</v>
      </c>
      <c r="M1293" s="143">
        <f>L1293/2</f>
        <v>957.49999999999989</v>
      </c>
      <c r="N1293" s="141">
        <v>46171</v>
      </c>
      <c r="O1293" s="157">
        <f>WEEKNUM(N1293)</f>
        <v>22</v>
      </c>
      <c r="P1293" s="140"/>
      <c r="Q1293" s="157" t="s">
        <v>29</v>
      </c>
      <c r="R1293" s="143">
        <f>PRODUCT(0.25*J1293)</f>
        <v>25</v>
      </c>
      <c r="S1293" s="143">
        <f>J1293*1.5</f>
        <v>150</v>
      </c>
      <c r="T1293" s="143">
        <f>J1293*1.5</f>
        <v>150</v>
      </c>
      <c r="U1293" s="143">
        <f>J1293*0.5</f>
        <v>50</v>
      </c>
      <c r="V1293" s="143">
        <f>U1293+T1293+S1293+R1293</f>
        <v>375</v>
      </c>
    </row>
    <row r="1294" spans="1:22" s="128" customFormat="1" ht="15.6" hidden="1" x14ac:dyDescent="0.3">
      <c r="A1294" s="142" t="s">
        <v>486</v>
      </c>
      <c r="B1294" s="142">
        <v>518</v>
      </c>
      <c r="C1294" s="141">
        <v>46134</v>
      </c>
      <c r="D1294" s="140">
        <f>WEEKNUM(C1294)</f>
        <v>17</v>
      </c>
      <c r="E1294" s="140" t="s">
        <v>475</v>
      </c>
      <c r="F1294" s="142" t="s">
        <v>514</v>
      </c>
      <c r="G1294" s="142" t="s">
        <v>495</v>
      </c>
      <c r="H1294" s="142" t="s">
        <v>494</v>
      </c>
      <c r="I1294" s="142" t="s">
        <v>46</v>
      </c>
      <c r="J1294" s="157">
        <v>150</v>
      </c>
      <c r="K1294" s="143">
        <v>17</v>
      </c>
      <c r="L1294" s="143">
        <f>J1294*K1294</f>
        <v>2550</v>
      </c>
      <c r="M1294" s="143">
        <v>0</v>
      </c>
      <c r="N1294" s="141">
        <v>46181</v>
      </c>
      <c r="O1294" s="157">
        <f>WEEKNUM(N1294)</f>
        <v>24</v>
      </c>
      <c r="P1294" s="140"/>
      <c r="Q1294" s="157" t="s">
        <v>29</v>
      </c>
      <c r="R1294" s="143">
        <f>PRODUCT(0.25*J1294)</f>
        <v>37.5</v>
      </c>
      <c r="S1294" s="143">
        <f>J1294*1.5</f>
        <v>225</v>
      </c>
      <c r="T1294" s="143">
        <f>J1294*1.5</f>
        <v>225</v>
      </c>
      <c r="U1294" s="143">
        <f>J1294*0.5</f>
        <v>75</v>
      </c>
      <c r="V1294" s="143">
        <f>U1294+T1294+S1294+R1294</f>
        <v>562.5</v>
      </c>
    </row>
    <row r="1295" spans="1:22" s="128" customFormat="1" ht="15.6" hidden="1" x14ac:dyDescent="0.3">
      <c r="A1295" s="142" t="s">
        <v>486</v>
      </c>
      <c r="B1295" s="142">
        <v>521</v>
      </c>
      <c r="C1295" s="141">
        <v>46134</v>
      </c>
      <c r="D1295" s="140">
        <f>WEEKNUM(C1295)</f>
        <v>17</v>
      </c>
      <c r="E1295" s="142" t="s">
        <v>68</v>
      </c>
      <c r="F1295" s="142" t="s">
        <v>399</v>
      </c>
      <c r="G1295" s="142" t="s">
        <v>301</v>
      </c>
      <c r="H1295" s="142" t="s">
        <v>74</v>
      </c>
      <c r="I1295" s="142" t="s">
        <v>46</v>
      </c>
      <c r="J1295" s="157">
        <v>16</v>
      </c>
      <c r="K1295" s="143">
        <v>36.75</v>
      </c>
      <c r="L1295" s="143">
        <f>J1295*K1295</f>
        <v>588</v>
      </c>
      <c r="M1295" s="156">
        <f>L1295</f>
        <v>588</v>
      </c>
      <c r="N1295" s="141">
        <v>46163</v>
      </c>
      <c r="O1295" s="157">
        <f>WEEKNUM(N1295)</f>
        <v>21</v>
      </c>
      <c r="P1295" s="140"/>
      <c r="Q1295" s="157" t="s">
        <v>29</v>
      </c>
      <c r="R1295" s="143">
        <f>PRODUCT(0.25*J1295)</f>
        <v>4</v>
      </c>
      <c r="S1295" s="143">
        <f>J1295*1.5</f>
        <v>24</v>
      </c>
      <c r="T1295" s="143">
        <f>J1295*1.5</f>
        <v>24</v>
      </c>
      <c r="U1295" s="143">
        <f>J1295*0.5</f>
        <v>8</v>
      </c>
      <c r="V1295" s="143">
        <f>U1295+T1295+S1295+R1295</f>
        <v>60</v>
      </c>
    </row>
    <row r="1296" spans="1:22" s="128" customFormat="1" ht="15.6" hidden="1" x14ac:dyDescent="0.3">
      <c r="A1296" s="142" t="s">
        <v>486</v>
      </c>
      <c r="B1296" s="142">
        <v>521</v>
      </c>
      <c r="C1296" s="141">
        <v>46134</v>
      </c>
      <c r="D1296" s="140">
        <f>WEEKNUM(C1296)</f>
        <v>17</v>
      </c>
      <c r="E1296" s="142" t="s">
        <v>68</v>
      </c>
      <c r="F1296" s="142" t="s">
        <v>399</v>
      </c>
      <c r="G1296" s="142" t="s">
        <v>339</v>
      </c>
      <c r="H1296" s="142" t="s">
        <v>340</v>
      </c>
      <c r="I1296" s="142" t="s">
        <v>61</v>
      </c>
      <c r="J1296" s="157">
        <v>4</v>
      </c>
      <c r="K1296" s="143">
        <v>65</v>
      </c>
      <c r="L1296" s="143">
        <f>J1296*K1296</f>
        <v>260</v>
      </c>
      <c r="M1296" s="156">
        <f>L1296</f>
        <v>260</v>
      </c>
      <c r="N1296" s="141">
        <v>46163</v>
      </c>
      <c r="O1296" s="157">
        <f>WEEKNUM(N1296)</f>
        <v>21</v>
      </c>
      <c r="P1296" s="140"/>
      <c r="Q1296" s="157" t="s">
        <v>29</v>
      </c>
      <c r="R1296" s="143">
        <f>PRODUCT(0.25*J1296)</f>
        <v>1</v>
      </c>
      <c r="S1296" s="143">
        <f>J1296*1.5</f>
        <v>6</v>
      </c>
      <c r="T1296" s="143">
        <f>J1296*1.5</f>
        <v>6</v>
      </c>
      <c r="U1296" s="143">
        <f>J1296*0.5</f>
        <v>2</v>
      </c>
      <c r="V1296" s="143">
        <f>U1296+T1296+S1296+R1296</f>
        <v>15</v>
      </c>
    </row>
    <row r="1297" spans="1:22" s="128" customFormat="1" ht="15.6" hidden="1" x14ac:dyDescent="0.3">
      <c r="A1297" s="142" t="s">
        <v>486</v>
      </c>
      <c r="B1297" s="142">
        <v>521</v>
      </c>
      <c r="C1297" s="141">
        <v>46134</v>
      </c>
      <c r="D1297" s="140">
        <f>WEEKNUM(C1297)</f>
        <v>17</v>
      </c>
      <c r="E1297" s="142" t="s">
        <v>68</v>
      </c>
      <c r="F1297" s="142" t="s">
        <v>399</v>
      </c>
      <c r="G1297" s="142" t="s">
        <v>408</v>
      </c>
      <c r="H1297" s="142" t="s">
        <v>80</v>
      </c>
      <c r="I1297" s="142" t="s">
        <v>46</v>
      </c>
      <c r="J1297" s="157">
        <v>10</v>
      </c>
      <c r="K1297" s="143">
        <v>21</v>
      </c>
      <c r="L1297" s="143">
        <f>J1297*K1297</f>
        <v>210</v>
      </c>
      <c r="M1297" s="156">
        <f>L1297</f>
        <v>210</v>
      </c>
      <c r="N1297" s="141">
        <v>46163</v>
      </c>
      <c r="O1297" s="157">
        <f>WEEKNUM(N1297)</f>
        <v>21</v>
      </c>
      <c r="P1297" s="140"/>
      <c r="Q1297" s="157" t="s">
        <v>29</v>
      </c>
      <c r="R1297" s="143">
        <f>PRODUCT(0.25*J1297)</f>
        <v>2.5</v>
      </c>
      <c r="S1297" s="143">
        <f>J1297*1.5</f>
        <v>15</v>
      </c>
      <c r="T1297" s="143">
        <f>J1297*1.5</f>
        <v>15</v>
      </c>
      <c r="U1297" s="143">
        <f>J1297*0.5</f>
        <v>5</v>
      </c>
      <c r="V1297" s="143">
        <f>U1297+T1297+S1297+R1297</f>
        <v>37.5</v>
      </c>
    </row>
    <row r="1298" spans="1:22" s="128" customFormat="1" ht="15.6" hidden="1" x14ac:dyDescent="0.3">
      <c r="A1298" s="142" t="s">
        <v>486</v>
      </c>
      <c r="B1298" s="142">
        <v>521</v>
      </c>
      <c r="C1298" s="141">
        <v>46134</v>
      </c>
      <c r="D1298" s="140">
        <f>WEEKNUM(C1298)</f>
        <v>17</v>
      </c>
      <c r="E1298" s="142" t="s">
        <v>68</v>
      </c>
      <c r="F1298" s="142" t="s">
        <v>399</v>
      </c>
      <c r="G1298" s="142" t="s">
        <v>311</v>
      </c>
      <c r="H1298" s="142" t="s">
        <v>51</v>
      </c>
      <c r="I1298" s="142" t="s">
        <v>46</v>
      </c>
      <c r="J1298" s="157">
        <v>10</v>
      </c>
      <c r="K1298" s="143">
        <v>25</v>
      </c>
      <c r="L1298" s="143">
        <f>J1298*K1298</f>
        <v>250</v>
      </c>
      <c r="M1298" s="156">
        <f>L1298</f>
        <v>250</v>
      </c>
      <c r="N1298" s="141">
        <v>46163</v>
      </c>
      <c r="O1298" s="157">
        <f>WEEKNUM(N1298)</f>
        <v>21</v>
      </c>
      <c r="P1298" s="140"/>
      <c r="Q1298" s="157" t="s">
        <v>29</v>
      </c>
      <c r="R1298" s="143">
        <f>PRODUCT(0.25*J1298)</f>
        <v>2.5</v>
      </c>
      <c r="S1298" s="143">
        <f>J1298*1.5</f>
        <v>15</v>
      </c>
      <c r="T1298" s="143">
        <f>J1298*1.5</f>
        <v>15</v>
      </c>
      <c r="U1298" s="143">
        <f>J1298*0.5</f>
        <v>5</v>
      </c>
      <c r="V1298" s="143">
        <f>U1298+T1298+S1298+R1298</f>
        <v>37.5</v>
      </c>
    </row>
    <row r="1299" spans="1:22" s="128" customFormat="1" ht="15.6" hidden="1" x14ac:dyDescent="0.3">
      <c r="A1299" s="142" t="s">
        <v>477</v>
      </c>
      <c r="B1299" s="142">
        <v>520</v>
      </c>
      <c r="C1299" s="141">
        <v>46134</v>
      </c>
      <c r="D1299" s="140">
        <f>WEEKNUM(C1299)</f>
        <v>17</v>
      </c>
      <c r="E1299" s="140" t="s">
        <v>475</v>
      </c>
      <c r="F1299" s="140" t="s">
        <v>788</v>
      </c>
      <c r="G1299" s="142" t="s">
        <v>638</v>
      </c>
      <c r="H1299" s="142" t="s">
        <v>793</v>
      </c>
      <c r="I1299" s="142" t="s">
        <v>61</v>
      </c>
      <c r="J1299" s="157">
        <v>4000</v>
      </c>
      <c r="K1299" s="143">
        <v>12.3</v>
      </c>
      <c r="L1299" s="143">
        <f>J1299*K1299</f>
        <v>49200</v>
      </c>
      <c r="M1299" s="143">
        <f>L1299/2</f>
        <v>24600</v>
      </c>
      <c r="N1299" s="141">
        <v>46170</v>
      </c>
      <c r="O1299" s="157">
        <f>WEEKNUM(N1299)</f>
        <v>22</v>
      </c>
      <c r="P1299" s="140"/>
      <c r="Q1299" s="157" t="s">
        <v>29</v>
      </c>
      <c r="R1299" s="143">
        <f>PRODUCT(0.25*J1299)</f>
        <v>1000</v>
      </c>
      <c r="S1299" s="143">
        <f>J1299*1.5</f>
        <v>6000</v>
      </c>
      <c r="T1299" s="143">
        <f>J1299*1.5</f>
        <v>6000</v>
      </c>
      <c r="U1299" s="143">
        <f>J1299*0.5</f>
        <v>2000</v>
      </c>
      <c r="V1299" s="143">
        <f>U1299+T1299+S1299+R1299</f>
        <v>15000</v>
      </c>
    </row>
    <row r="1300" spans="1:22" s="128" customFormat="1" ht="15.6" hidden="1" x14ac:dyDescent="0.3">
      <c r="A1300" s="142" t="s">
        <v>477</v>
      </c>
      <c r="B1300" s="142">
        <v>519</v>
      </c>
      <c r="C1300" s="141">
        <v>46134</v>
      </c>
      <c r="D1300" s="140">
        <f>WEEKNUM(C1300)</f>
        <v>17</v>
      </c>
      <c r="E1300" s="142" t="s">
        <v>498</v>
      </c>
      <c r="F1300" s="142" t="s">
        <v>923</v>
      </c>
      <c r="G1300" s="142" t="s">
        <v>167</v>
      </c>
      <c r="H1300" s="142" t="s">
        <v>74</v>
      </c>
      <c r="I1300" s="142" t="s">
        <v>46</v>
      </c>
      <c r="J1300" s="157">
        <v>196</v>
      </c>
      <c r="K1300" s="143">
        <v>26.5</v>
      </c>
      <c r="L1300" s="143">
        <f>J1300*K1300</f>
        <v>5194</v>
      </c>
      <c r="M1300" s="143">
        <f>L1300/2</f>
        <v>2597</v>
      </c>
      <c r="N1300" s="141">
        <v>46181</v>
      </c>
      <c r="O1300" s="157">
        <f>WEEKNUM(N1300)</f>
        <v>24</v>
      </c>
      <c r="P1300" s="140"/>
      <c r="Q1300" s="157" t="s">
        <v>29</v>
      </c>
      <c r="R1300" s="143">
        <f>PRODUCT(0.25*J1300)</f>
        <v>49</v>
      </c>
      <c r="S1300" s="143">
        <f>J1300*1.5</f>
        <v>294</v>
      </c>
      <c r="T1300" s="143">
        <f>J1300*1.5</f>
        <v>294</v>
      </c>
      <c r="U1300" s="143">
        <f>J1300*0.5</f>
        <v>98</v>
      </c>
      <c r="V1300" s="143">
        <f>U1300+T1300+S1300+R1300</f>
        <v>735</v>
      </c>
    </row>
    <row r="1301" spans="1:22" s="128" customFormat="1" ht="15.6" hidden="1" x14ac:dyDescent="0.3">
      <c r="A1301" s="142" t="s">
        <v>477</v>
      </c>
      <c r="B1301" s="142">
        <v>519</v>
      </c>
      <c r="C1301" s="141">
        <v>46134</v>
      </c>
      <c r="D1301" s="140">
        <f>WEEKNUM(C1301)</f>
        <v>17</v>
      </c>
      <c r="E1301" s="142" t="s">
        <v>498</v>
      </c>
      <c r="F1301" s="142" t="s">
        <v>923</v>
      </c>
      <c r="G1301" s="142" t="s">
        <v>167</v>
      </c>
      <c r="H1301" s="142" t="s">
        <v>74</v>
      </c>
      <c r="I1301" s="142" t="s">
        <v>46</v>
      </c>
      <c r="J1301" s="157">
        <v>4</v>
      </c>
      <c r="K1301" s="143">
        <v>37</v>
      </c>
      <c r="L1301" s="143">
        <f>J1301*K1301</f>
        <v>148</v>
      </c>
      <c r="M1301" s="143">
        <f>L1301/2</f>
        <v>74</v>
      </c>
      <c r="N1301" s="141">
        <v>46181</v>
      </c>
      <c r="O1301" s="157">
        <f>WEEKNUM(N1301)</f>
        <v>24</v>
      </c>
      <c r="P1301" s="140"/>
      <c r="Q1301" s="157" t="s">
        <v>29</v>
      </c>
      <c r="R1301" s="143">
        <f>PRODUCT(0.25*J1301)</f>
        <v>1</v>
      </c>
      <c r="S1301" s="143">
        <f>J1301*1.5</f>
        <v>6</v>
      </c>
      <c r="T1301" s="143">
        <f>J1301*1.5</f>
        <v>6</v>
      </c>
      <c r="U1301" s="143">
        <f>J1301*0.5</f>
        <v>2</v>
      </c>
      <c r="V1301" s="143">
        <f>U1301+T1301+S1301+R1301</f>
        <v>15</v>
      </c>
    </row>
    <row r="1302" spans="1:22" s="128" customFormat="1" ht="15.6" hidden="1" x14ac:dyDescent="0.3">
      <c r="A1302" s="142" t="s">
        <v>486</v>
      </c>
      <c r="B1302" s="142">
        <v>522</v>
      </c>
      <c r="C1302" s="141">
        <v>46135</v>
      </c>
      <c r="D1302" s="140">
        <f>WEEKNUM(C1302)</f>
        <v>17</v>
      </c>
      <c r="E1302" s="142" t="s">
        <v>68</v>
      </c>
      <c r="F1302" s="142" t="s">
        <v>400</v>
      </c>
      <c r="G1302" s="142" t="s">
        <v>301</v>
      </c>
      <c r="H1302" s="142" t="s">
        <v>74</v>
      </c>
      <c r="I1302" s="142" t="s">
        <v>46</v>
      </c>
      <c r="J1302" s="157">
        <v>8</v>
      </c>
      <c r="K1302" s="143">
        <v>36.75</v>
      </c>
      <c r="L1302" s="143">
        <f>J1302*K1302</f>
        <v>294</v>
      </c>
      <c r="M1302" s="156">
        <f>L1302</f>
        <v>294</v>
      </c>
      <c r="N1302" s="141">
        <v>46135</v>
      </c>
      <c r="O1302" s="157">
        <f>WEEKNUM(N1302)</f>
        <v>17</v>
      </c>
      <c r="P1302" s="140"/>
      <c r="Q1302" s="142" t="s">
        <v>29</v>
      </c>
      <c r="R1302" s="143"/>
      <c r="S1302" s="143"/>
      <c r="T1302" s="143"/>
      <c r="U1302" s="143"/>
      <c r="V1302" s="143"/>
    </row>
    <row r="1303" spans="1:22" s="128" customFormat="1" ht="15.6" hidden="1" x14ac:dyDescent="0.3">
      <c r="A1303" s="142" t="s">
        <v>486</v>
      </c>
      <c r="B1303" s="142">
        <v>522</v>
      </c>
      <c r="C1303" s="141">
        <v>46135</v>
      </c>
      <c r="D1303" s="140">
        <f>WEEKNUM(C1303)</f>
        <v>17</v>
      </c>
      <c r="E1303" s="142" t="s">
        <v>68</v>
      </c>
      <c r="F1303" s="142" t="s">
        <v>400</v>
      </c>
      <c r="G1303" s="142" t="s">
        <v>311</v>
      </c>
      <c r="H1303" s="142" t="s">
        <v>51</v>
      </c>
      <c r="I1303" s="142" t="s">
        <v>46</v>
      </c>
      <c r="J1303" s="157">
        <v>2</v>
      </c>
      <c r="K1303" s="143">
        <v>25</v>
      </c>
      <c r="L1303" s="143">
        <f>J1303*K1303</f>
        <v>50</v>
      </c>
      <c r="M1303" s="156">
        <f>L1303</f>
        <v>50</v>
      </c>
      <c r="N1303" s="141">
        <v>46135</v>
      </c>
      <c r="O1303" s="157">
        <f>WEEKNUM(N1303)</f>
        <v>17</v>
      </c>
      <c r="P1303" s="140"/>
      <c r="Q1303" s="142" t="s">
        <v>29</v>
      </c>
      <c r="R1303" s="143"/>
      <c r="S1303" s="143"/>
      <c r="T1303" s="143"/>
      <c r="U1303" s="143"/>
      <c r="V1303" s="143"/>
    </row>
    <row r="1304" spans="1:22" s="128" customFormat="1" ht="15.6" hidden="1" x14ac:dyDescent="0.3">
      <c r="A1304" s="142" t="s">
        <v>486</v>
      </c>
      <c r="B1304" s="142">
        <v>522</v>
      </c>
      <c r="C1304" s="141">
        <v>46135</v>
      </c>
      <c r="D1304" s="140">
        <f>WEEKNUM(C1304)</f>
        <v>17</v>
      </c>
      <c r="E1304" s="142" t="s">
        <v>68</v>
      </c>
      <c r="F1304" s="142" t="s">
        <v>400</v>
      </c>
      <c r="G1304" s="142" t="s">
        <v>408</v>
      </c>
      <c r="H1304" s="142" t="s">
        <v>80</v>
      </c>
      <c r="I1304" s="142" t="s">
        <v>46</v>
      </c>
      <c r="J1304" s="157">
        <v>3</v>
      </c>
      <c r="K1304" s="143">
        <v>21</v>
      </c>
      <c r="L1304" s="143">
        <f>J1304*K1304</f>
        <v>63</v>
      </c>
      <c r="M1304" s="156">
        <f>L1304</f>
        <v>63</v>
      </c>
      <c r="N1304" s="141">
        <v>46135</v>
      </c>
      <c r="O1304" s="157">
        <f>WEEKNUM(N1304)</f>
        <v>17</v>
      </c>
      <c r="P1304" s="140"/>
      <c r="Q1304" s="142" t="s">
        <v>29</v>
      </c>
      <c r="R1304" s="143"/>
      <c r="S1304" s="143"/>
      <c r="T1304" s="143"/>
      <c r="U1304" s="143"/>
      <c r="V1304" s="143"/>
    </row>
    <row r="1305" spans="1:22" s="128" customFormat="1" ht="15.6" hidden="1" x14ac:dyDescent="0.3">
      <c r="A1305" s="142" t="s">
        <v>477</v>
      </c>
      <c r="B1305" s="142">
        <v>523</v>
      </c>
      <c r="C1305" s="141">
        <v>46136</v>
      </c>
      <c r="D1305" s="140">
        <f>WEEKNUM(C1305)</f>
        <v>17</v>
      </c>
      <c r="E1305" s="140" t="s">
        <v>475</v>
      </c>
      <c r="F1305" s="142" t="s">
        <v>560</v>
      </c>
      <c r="G1305" s="142" t="s">
        <v>311</v>
      </c>
      <c r="H1305" s="142" t="s">
        <v>51</v>
      </c>
      <c r="I1305" s="142" t="s">
        <v>46</v>
      </c>
      <c r="J1305" s="157">
        <v>100</v>
      </c>
      <c r="K1305" s="143">
        <v>15.5</v>
      </c>
      <c r="L1305" s="143">
        <f>J1305*K1305</f>
        <v>1550</v>
      </c>
      <c r="M1305" s="143">
        <f>L1305/2</f>
        <v>775</v>
      </c>
      <c r="N1305" s="141">
        <v>46161</v>
      </c>
      <c r="O1305" s="157">
        <f>WEEKNUM(N1305)</f>
        <v>21</v>
      </c>
      <c r="P1305" s="140"/>
      <c r="Q1305" s="157" t="s">
        <v>29</v>
      </c>
      <c r="R1305" s="143">
        <f>PRODUCT(0.25*J1305)</f>
        <v>25</v>
      </c>
      <c r="S1305" s="143">
        <f>J1305*1.5</f>
        <v>150</v>
      </c>
      <c r="T1305" s="143">
        <f>J1305*1.5</f>
        <v>150</v>
      </c>
      <c r="U1305" s="143">
        <f>J1305*0.5</f>
        <v>50</v>
      </c>
      <c r="V1305" s="143">
        <f>U1305+T1305+S1305+R1305</f>
        <v>375</v>
      </c>
    </row>
    <row r="1306" spans="1:22" s="128" customFormat="1" ht="15.6" hidden="1" x14ac:dyDescent="0.3">
      <c r="A1306" s="142" t="s">
        <v>477</v>
      </c>
      <c r="B1306" s="142">
        <v>523</v>
      </c>
      <c r="C1306" s="141">
        <v>46136</v>
      </c>
      <c r="D1306" s="140">
        <f>WEEKNUM(C1306)</f>
        <v>17</v>
      </c>
      <c r="E1306" s="140" t="s">
        <v>475</v>
      </c>
      <c r="F1306" s="142" t="s">
        <v>560</v>
      </c>
      <c r="G1306" s="142" t="s">
        <v>495</v>
      </c>
      <c r="H1306" s="142" t="s">
        <v>494</v>
      </c>
      <c r="I1306" s="142" t="s">
        <v>46</v>
      </c>
      <c r="J1306" s="157">
        <v>50</v>
      </c>
      <c r="K1306" s="143">
        <v>18</v>
      </c>
      <c r="L1306" s="143">
        <f>J1306*K1306</f>
        <v>900</v>
      </c>
      <c r="M1306" s="143">
        <f>L1306/2</f>
        <v>450</v>
      </c>
      <c r="N1306" s="141">
        <v>46161</v>
      </c>
      <c r="O1306" s="157">
        <f>WEEKNUM(N1306)</f>
        <v>21</v>
      </c>
      <c r="P1306" s="140"/>
      <c r="Q1306" s="157" t="s">
        <v>29</v>
      </c>
      <c r="R1306" s="143">
        <f>PRODUCT(0.25*J1306)</f>
        <v>12.5</v>
      </c>
      <c r="S1306" s="143">
        <f>J1306*1.5</f>
        <v>75</v>
      </c>
      <c r="T1306" s="143">
        <f>J1306*1.5</f>
        <v>75</v>
      </c>
      <c r="U1306" s="143">
        <f>J1306*0.5</f>
        <v>25</v>
      </c>
      <c r="V1306" s="143">
        <f>U1306+T1306+S1306+R1306</f>
        <v>187.5</v>
      </c>
    </row>
    <row r="1307" spans="1:22" s="128" customFormat="1" ht="15.6" hidden="1" x14ac:dyDescent="0.3">
      <c r="A1307" s="142" t="s">
        <v>486</v>
      </c>
      <c r="B1307" s="142">
        <v>525</v>
      </c>
      <c r="C1307" s="141">
        <v>46139</v>
      </c>
      <c r="D1307" s="140">
        <f>WEEKNUM(C1307)</f>
        <v>18</v>
      </c>
      <c r="E1307" s="140" t="s">
        <v>475</v>
      </c>
      <c r="F1307" s="142" t="s">
        <v>741</v>
      </c>
      <c r="G1307" s="142" t="s">
        <v>515</v>
      </c>
      <c r="H1307" s="142" t="s">
        <v>60</v>
      </c>
      <c r="I1307" s="142" t="s">
        <v>61</v>
      </c>
      <c r="J1307" s="157">
        <v>100</v>
      </c>
      <c r="K1307" s="143">
        <v>18.5</v>
      </c>
      <c r="L1307" s="143">
        <f>J1307*K1307</f>
        <v>1850</v>
      </c>
      <c r="M1307" s="143">
        <f>L1307/2</f>
        <v>925</v>
      </c>
      <c r="N1307" s="141">
        <v>46183</v>
      </c>
      <c r="O1307" s="157">
        <f>WEEKNUM(N1307)</f>
        <v>24</v>
      </c>
      <c r="P1307" s="140"/>
      <c r="Q1307" s="157" t="s">
        <v>29</v>
      </c>
      <c r="R1307" s="143">
        <f>PRODUCT(0.25*J1307)</f>
        <v>25</v>
      </c>
      <c r="S1307" s="143">
        <f>J1307*1.5</f>
        <v>150</v>
      </c>
      <c r="T1307" s="143">
        <f>J1307*1.5</f>
        <v>150</v>
      </c>
      <c r="U1307" s="143">
        <f>J1307*0.5</f>
        <v>50</v>
      </c>
      <c r="V1307" s="143">
        <f>U1307+T1307+S1307+R1307</f>
        <v>375</v>
      </c>
    </row>
    <row r="1308" spans="1:22" s="128" customFormat="1" ht="15.6" hidden="1" x14ac:dyDescent="0.3">
      <c r="A1308" s="142" t="s">
        <v>477</v>
      </c>
      <c r="B1308" s="142">
        <v>1104</v>
      </c>
      <c r="C1308" s="141">
        <v>46139</v>
      </c>
      <c r="D1308" s="140">
        <f>WEEKNUM(C1308)</f>
        <v>18</v>
      </c>
      <c r="E1308" s="142" t="s">
        <v>498</v>
      </c>
      <c r="F1308" s="140" t="s">
        <v>637</v>
      </c>
      <c r="G1308" s="142" t="s">
        <v>487</v>
      </c>
      <c r="H1308" s="142" t="s">
        <v>51</v>
      </c>
      <c r="I1308" s="142" t="s">
        <v>46</v>
      </c>
      <c r="J1308" s="157">
        <v>500</v>
      </c>
      <c r="K1308" s="143">
        <v>23.5</v>
      </c>
      <c r="L1308" s="143">
        <f>J1308*K1308</f>
        <v>11750</v>
      </c>
      <c r="M1308" s="143">
        <f>L1308</f>
        <v>11750</v>
      </c>
      <c r="N1308" s="141">
        <v>46160</v>
      </c>
      <c r="O1308" s="157">
        <f>WEEKNUM(N1308)</f>
        <v>21</v>
      </c>
      <c r="P1308" s="140"/>
      <c r="Q1308" s="142" t="s">
        <v>29</v>
      </c>
      <c r="R1308" s="143">
        <f>PRODUCT(0.25*J1308)</f>
        <v>125</v>
      </c>
      <c r="S1308" s="143">
        <f>J1308*1.5</f>
        <v>750</v>
      </c>
      <c r="T1308" s="143">
        <f>J1308*1.5</f>
        <v>750</v>
      </c>
      <c r="U1308" s="143">
        <f>J1308*0.5</f>
        <v>250</v>
      </c>
      <c r="V1308" s="143">
        <f>U1308+T1308+S1308+R1308</f>
        <v>1875</v>
      </c>
    </row>
    <row r="1309" spans="1:22" s="128" customFormat="1" ht="15.6" hidden="1" x14ac:dyDescent="0.3">
      <c r="A1309" s="142" t="s">
        <v>491</v>
      </c>
      <c r="B1309" s="142">
        <v>524</v>
      </c>
      <c r="C1309" s="141">
        <v>46139</v>
      </c>
      <c r="D1309" s="140">
        <f>WEEKNUM(C1309)</f>
        <v>18</v>
      </c>
      <c r="E1309" s="140" t="s">
        <v>478</v>
      </c>
      <c r="F1309" s="140" t="s">
        <v>146</v>
      </c>
      <c r="G1309" s="142" t="s">
        <v>965</v>
      </c>
      <c r="H1309" s="142" t="s">
        <v>95</v>
      </c>
      <c r="I1309" s="142" t="s">
        <v>46</v>
      </c>
      <c r="J1309" s="157">
        <v>200</v>
      </c>
      <c r="K1309" s="143">
        <v>16.5</v>
      </c>
      <c r="L1309" s="143">
        <f>J1309*K1309</f>
        <v>3300</v>
      </c>
      <c r="M1309" s="143">
        <f>L1309</f>
        <v>3300</v>
      </c>
      <c r="N1309" s="141">
        <v>46169</v>
      </c>
      <c r="O1309" s="157">
        <f>WEEKNUM(N1309)</f>
        <v>22</v>
      </c>
      <c r="P1309" s="140"/>
      <c r="Q1309" s="142" t="s">
        <v>29</v>
      </c>
      <c r="R1309" s="143">
        <f>PRODUCT(0.25*J1309)</f>
        <v>50</v>
      </c>
      <c r="S1309" s="143">
        <f>J1309*1.5</f>
        <v>300</v>
      </c>
      <c r="T1309" s="143">
        <f>J1309*1.5</f>
        <v>300</v>
      </c>
      <c r="U1309" s="143">
        <f>J1309*0.5</f>
        <v>100</v>
      </c>
      <c r="V1309" s="143">
        <f>U1309+T1309+S1309+R1309</f>
        <v>750</v>
      </c>
    </row>
    <row r="1310" spans="1:22" s="128" customFormat="1" ht="15.6" hidden="1" x14ac:dyDescent="0.3">
      <c r="A1310" s="142" t="s">
        <v>491</v>
      </c>
      <c r="B1310" s="142">
        <v>524</v>
      </c>
      <c r="C1310" s="141">
        <v>46139</v>
      </c>
      <c r="D1310" s="140">
        <f>WEEKNUM(C1310)</f>
        <v>18</v>
      </c>
      <c r="E1310" s="140" t="s">
        <v>478</v>
      </c>
      <c r="F1310" s="140" t="s">
        <v>146</v>
      </c>
      <c r="G1310" s="142" t="s">
        <v>966</v>
      </c>
      <c r="H1310" s="142" t="s">
        <v>967</v>
      </c>
      <c r="I1310" s="142" t="s">
        <v>46</v>
      </c>
      <c r="J1310" s="157">
        <v>500</v>
      </c>
      <c r="K1310" s="143">
        <v>2.5</v>
      </c>
      <c r="L1310" s="143">
        <f>J1310*K1310</f>
        <v>1250</v>
      </c>
      <c r="M1310" s="143">
        <f>L1310</f>
        <v>1250</v>
      </c>
      <c r="N1310" s="141">
        <v>46169</v>
      </c>
      <c r="O1310" s="157">
        <f>WEEKNUM(N1310)</f>
        <v>22</v>
      </c>
      <c r="P1310" s="140"/>
      <c r="Q1310" s="142" t="s">
        <v>29</v>
      </c>
      <c r="R1310" s="143">
        <f>PRODUCT(0.25*J1310)</f>
        <v>125</v>
      </c>
      <c r="S1310" s="143">
        <f>J1310*1.5</f>
        <v>750</v>
      </c>
      <c r="T1310" s="143">
        <f>J1310*1.5</f>
        <v>750</v>
      </c>
      <c r="U1310" s="143">
        <f>J1310*0.5</f>
        <v>250</v>
      </c>
      <c r="V1310" s="143">
        <f>U1310+T1310+S1310+R1310</f>
        <v>1875</v>
      </c>
    </row>
    <row r="1311" spans="1:22" s="128" customFormat="1" ht="15.6" hidden="1" x14ac:dyDescent="0.3">
      <c r="A1311" s="142" t="s">
        <v>477</v>
      </c>
      <c r="B1311" s="142">
        <v>526</v>
      </c>
      <c r="C1311" s="141">
        <v>46140</v>
      </c>
      <c r="D1311" s="140">
        <f>WEEKNUM(C1311)</f>
        <v>18</v>
      </c>
      <c r="E1311" s="140" t="s">
        <v>475</v>
      </c>
      <c r="F1311" s="142" t="s">
        <v>605</v>
      </c>
      <c r="G1311" s="142" t="s">
        <v>539</v>
      </c>
      <c r="H1311" s="142" t="s">
        <v>340</v>
      </c>
      <c r="I1311" s="142" t="s">
        <v>61</v>
      </c>
      <c r="J1311" s="157">
        <v>37</v>
      </c>
      <c r="K1311" s="143">
        <v>70</v>
      </c>
      <c r="L1311" s="143">
        <f>J1311*K1311</f>
        <v>2590</v>
      </c>
      <c r="M1311" s="143">
        <f>L1311</f>
        <v>2590</v>
      </c>
      <c r="N1311" s="141">
        <v>46157</v>
      </c>
      <c r="O1311" s="157">
        <f>WEEKNUM(N1311)</f>
        <v>20</v>
      </c>
      <c r="P1311" s="140"/>
      <c r="Q1311" s="157" t="s">
        <v>29</v>
      </c>
      <c r="R1311" s="143">
        <f>PRODUCT(0.25*J1311)</f>
        <v>9.25</v>
      </c>
      <c r="S1311" s="143">
        <f>J1311*1.5</f>
        <v>55.5</v>
      </c>
      <c r="T1311" s="143">
        <f>J1311*1.5</f>
        <v>55.5</v>
      </c>
      <c r="U1311" s="143">
        <f>J1311*0.5</f>
        <v>18.5</v>
      </c>
      <c r="V1311" s="143">
        <f>U1311+T1311+S1311+R1311</f>
        <v>138.75</v>
      </c>
    </row>
    <row r="1312" spans="1:22" s="128" customFormat="1" ht="15.6" hidden="1" x14ac:dyDescent="0.3">
      <c r="A1312" s="142" t="s">
        <v>486</v>
      </c>
      <c r="B1312" s="142">
        <v>529</v>
      </c>
      <c r="C1312" s="141">
        <v>46142</v>
      </c>
      <c r="D1312" s="140">
        <f>WEEKNUM(C1312)</f>
        <v>18</v>
      </c>
      <c r="E1312" s="140" t="s">
        <v>475</v>
      </c>
      <c r="F1312" s="142" t="s">
        <v>634</v>
      </c>
      <c r="G1312" s="142" t="s">
        <v>515</v>
      </c>
      <c r="H1312" s="142" t="s">
        <v>60</v>
      </c>
      <c r="I1312" s="142" t="s">
        <v>61</v>
      </c>
      <c r="J1312" s="157">
        <v>100</v>
      </c>
      <c r="K1312" s="143">
        <v>9</v>
      </c>
      <c r="L1312" s="143">
        <f>J1312*K1312</f>
        <v>900</v>
      </c>
      <c r="M1312" s="143">
        <f>L1312</f>
        <v>900</v>
      </c>
      <c r="N1312" s="141">
        <v>46171</v>
      </c>
      <c r="O1312" s="157">
        <f>WEEKNUM(N1312)</f>
        <v>22</v>
      </c>
      <c r="P1312" s="140"/>
      <c r="Q1312" s="142" t="s">
        <v>29</v>
      </c>
      <c r="R1312" s="143">
        <f>PRODUCT(0.25*J1312)</f>
        <v>25</v>
      </c>
      <c r="S1312" s="143">
        <f>J1312*1.5</f>
        <v>150</v>
      </c>
      <c r="T1312" s="143">
        <f>J1312*1.5</f>
        <v>150</v>
      </c>
      <c r="U1312" s="143">
        <f>J1312*0.5</f>
        <v>50</v>
      </c>
      <c r="V1312" s="143">
        <f>U1312+T1312+S1312+R1312</f>
        <v>375</v>
      </c>
    </row>
    <row r="1313" spans="1:23" s="134" customFormat="1" ht="15.6" hidden="1" x14ac:dyDescent="0.3">
      <c r="A1313" s="142" t="s">
        <v>477</v>
      </c>
      <c r="B1313" s="142">
        <v>533</v>
      </c>
      <c r="C1313" s="141">
        <v>46146</v>
      </c>
      <c r="D1313" s="140">
        <f>WEEKNUM(C1313)</f>
        <v>19</v>
      </c>
      <c r="E1313" s="140" t="s">
        <v>475</v>
      </c>
      <c r="F1313" s="140" t="s">
        <v>568</v>
      </c>
      <c r="G1313" s="142" t="s">
        <v>585</v>
      </c>
      <c r="H1313" s="142" t="s">
        <v>350</v>
      </c>
      <c r="I1313" s="142" t="s">
        <v>46</v>
      </c>
      <c r="J1313" s="157">
        <v>15</v>
      </c>
      <c r="K1313" s="143">
        <v>45</v>
      </c>
      <c r="L1313" s="143">
        <f>J1313*K1313</f>
        <v>675</v>
      </c>
      <c r="M1313" s="143">
        <v>675</v>
      </c>
      <c r="N1313" s="141">
        <v>46156</v>
      </c>
      <c r="O1313" s="157">
        <f>WEEKNUM(N1313)</f>
        <v>20</v>
      </c>
      <c r="P1313" s="140"/>
      <c r="Q1313" s="142" t="s">
        <v>29</v>
      </c>
      <c r="R1313" s="143">
        <f>PRODUCT(0.25*J1313)</f>
        <v>3.75</v>
      </c>
      <c r="S1313" s="143">
        <f>J1313*1.5</f>
        <v>22.5</v>
      </c>
      <c r="T1313" s="143">
        <f>J1313*1.5</f>
        <v>22.5</v>
      </c>
      <c r="U1313" s="143">
        <f>J1313*0.5</f>
        <v>7.5</v>
      </c>
      <c r="V1313" s="143">
        <f>U1313+T1313+S1313+R1313</f>
        <v>56.25</v>
      </c>
      <c r="W1313" s="145"/>
    </row>
    <row r="1314" spans="1:23" s="129" customFormat="1" ht="15.6" hidden="1" x14ac:dyDescent="0.3">
      <c r="A1314" s="142" t="s">
        <v>486</v>
      </c>
      <c r="B1314" s="142">
        <v>531</v>
      </c>
      <c r="C1314" s="141">
        <v>46146</v>
      </c>
      <c r="D1314" s="140">
        <f>WEEKNUM(C1314)</f>
        <v>19</v>
      </c>
      <c r="E1314" s="140" t="s">
        <v>475</v>
      </c>
      <c r="F1314" s="142" t="s">
        <v>721</v>
      </c>
      <c r="G1314" s="140" t="s">
        <v>480</v>
      </c>
      <c r="H1314" s="142" t="s">
        <v>51</v>
      </c>
      <c r="I1314" s="142" t="s">
        <v>46</v>
      </c>
      <c r="J1314" s="157">
        <v>100</v>
      </c>
      <c r="K1314" s="143">
        <v>19.899999999999999</v>
      </c>
      <c r="L1314" s="143">
        <f>J1314*K1314</f>
        <v>1989.9999999999998</v>
      </c>
      <c r="M1314" s="143">
        <f>L1314/2</f>
        <v>994.99999999999989</v>
      </c>
      <c r="N1314" s="141">
        <v>46160</v>
      </c>
      <c r="O1314" s="157">
        <f>WEEKNUM(N1314)</f>
        <v>21</v>
      </c>
      <c r="P1314" s="140"/>
      <c r="Q1314" s="142" t="s">
        <v>29</v>
      </c>
      <c r="R1314" s="143">
        <f>PRODUCT(0.25*J1314)</f>
        <v>25</v>
      </c>
      <c r="S1314" s="143">
        <f>J1314*1.5</f>
        <v>150</v>
      </c>
      <c r="T1314" s="143">
        <f>J1314*1.5</f>
        <v>150</v>
      </c>
      <c r="U1314" s="143">
        <f>J1314*0.5</f>
        <v>50</v>
      </c>
      <c r="V1314" s="143">
        <f>U1314+T1314+S1314+R1314</f>
        <v>375</v>
      </c>
      <c r="W1314" s="146"/>
    </row>
    <row r="1315" spans="1:23" s="128" customFormat="1" ht="15.6" hidden="1" x14ac:dyDescent="0.3">
      <c r="A1315" s="142" t="s">
        <v>486</v>
      </c>
      <c r="B1315" s="142">
        <v>530</v>
      </c>
      <c r="C1315" s="141">
        <v>46146</v>
      </c>
      <c r="D1315" s="140">
        <f>WEEKNUM(C1315)</f>
        <v>19</v>
      </c>
      <c r="E1315" s="140" t="s">
        <v>475</v>
      </c>
      <c r="F1315" s="142" t="s">
        <v>825</v>
      </c>
      <c r="G1315" s="142" t="s">
        <v>515</v>
      </c>
      <c r="H1315" s="142" t="s">
        <v>60</v>
      </c>
      <c r="I1315" s="142" t="s">
        <v>61</v>
      </c>
      <c r="J1315" s="157">
        <v>100</v>
      </c>
      <c r="K1315" s="143">
        <v>18.5</v>
      </c>
      <c r="L1315" s="143">
        <f>J1315*K1315</f>
        <v>1850</v>
      </c>
      <c r="M1315" s="143">
        <v>925</v>
      </c>
      <c r="N1315" s="141">
        <v>46189</v>
      </c>
      <c r="O1315" s="157">
        <f>WEEKNUM(N1315)</f>
        <v>25</v>
      </c>
      <c r="P1315" s="140"/>
      <c r="Q1315" s="142" t="s">
        <v>29</v>
      </c>
      <c r="R1315" s="143">
        <f>PRODUCT(0.25*J1315)</f>
        <v>25</v>
      </c>
      <c r="S1315" s="143">
        <f>J1315*1.5</f>
        <v>150</v>
      </c>
      <c r="T1315" s="143">
        <f>J1315*1.5</f>
        <v>150</v>
      </c>
      <c r="U1315" s="143">
        <f>J1315*0.5</f>
        <v>50</v>
      </c>
      <c r="V1315" s="143">
        <f>U1315+T1315+S1315+R1315</f>
        <v>375</v>
      </c>
    </row>
    <row r="1316" spans="1:23" s="128" customFormat="1" ht="15.6" hidden="1" x14ac:dyDescent="0.3">
      <c r="A1316" s="142" t="s">
        <v>477</v>
      </c>
      <c r="B1316" s="142">
        <v>532</v>
      </c>
      <c r="C1316" s="141">
        <v>46146</v>
      </c>
      <c r="D1316" s="140">
        <f>WEEKNUM(C1316)</f>
        <v>19</v>
      </c>
      <c r="E1316" s="140" t="s">
        <v>478</v>
      </c>
      <c r="F1316" s="140" t="s">
        <v>444</v>
      </c>
      <c r="G1316" s="130" t="s">
        <v>638</v>
      </c>
      <c r="H1316" s="142" t="s">
        <v>60</v>
      </c>
      <c r="I1316" s="142" t="s">
        <v>61</v>
      </c>
      <c r="J1316" s="157">
        <v>300</v>
      </c>
      <c r="K1316" s="143">
        <v>23</v>
      </c>
      <c r="L1316" s="143">
        <f>J1316*K1316</f>
        <v>6900</v>
      </c>
      <c r="M1316" s="143">
        <v>0</v>
      </c>
      <c r="N1316" s="141">
        <v>46160</v>
      </c>
      <c r="O1316" s="157">
        <f>WEEKNUM(N1316)</f>
        <v>21</v>
      </c>
      <c r="P1316" s="140"/>
      <c r="Q1316" s="142" t="s">
        <v>29</v>
      </c>
      <c r="R1316" s="143">
        <f>PRODUCT(0.25*J1316)</f>
        <v>75</v>
      </c>
      <c r="S1316" s="143">
        <f>J1316*1.5</f>
        <v>450</v>
      </c>
      <c r="T1316" s="143">
        <f>J1316*1.5</f>
        <v>450</v>
      </c>
      <c r="U1316" s="143">
        <f>J1316*0.5</f>
        <v>150</v>
      </c>
      <c r="V1316" s="143">
        <f>U1316+T1316+S1316+R1316</f>
        <v>1125</v>
      </c>
    </row>
    <row r="1317" spans="1:23" s="128" customFormat="1" ht="15.6" hidden="1" x14ac:dyDescent="0.3">
      <c r="A1317" s="142" t="s">
        <v>477</v>
      </c>
      <c r="B1317" s="142">
        <v>536</v>
      </c>
      <c r="C1317" s="141">
        <v>46147</v>
      </c>
      <c r="D1317" s="140">
        <f>WEEKNUM(C1317)</f>
        <v>19</v>
      </c>
      <c r="E1317" s="140" t="s">
        <v>475</v>
      </c>
      <c r="F1317" s="142" t="s">
        <v>779</v>
      </c>
      <c r="G1317" s="142" t="s">
        <v>311</v>
      </c>
      <c r="H1317" s="142" t="s">
        <v>51</v>
      </c>
      <c r="I1317" s="142" t="s">
        <v>46</v>
      </c>
      <c r="J1317" s="157">
        <v>100</v>
      </c>
      <c r="K1317" s="143">
        <v>17</v>
      </c>
      <c r="L1317" s="143">
        <f>J1317*K1317</f>
        <v>1700</v>
      </c>
      <c r="M1317" s="143">
        <v>850</v>
      </c>
      <c r="N1317" s="141">
        <v>46190</v>
      </c>
      <c r="O1317" s="157">
        <f>WEEKNUM(N1317)</f>
        <v>25</v>
      </c>
      <c r="P1317" s="140"/>
      <c r="Q1317" s="142" t="s">
        <v>29</v>
      </c>
      <c r="R1317" s="143">
        <f>PRODUCT(0.25*J1317)</f>
        <v>25</v>
      </c>
      <c r="S1317" s="143">
        <f>J1317*1.5</f>
        <v>150</v>
      </c>
      <c r="T1317" s="143">
        <f>J1317*1.5</f>
        <v>150</v>
      </c>
      <c r="U1317" s="143">
        <f>J1317*0.5</f>
        <v>50</v>
      </c>
      <c r="V1317" s="143">
        <f>U1317+T1317+S1317+R1317</f>
        <v>375</v>
      </c>
    </row>
    <row r="1318" spans="1:23" s="128" customFormat="1" ht="15.6" hidden="1" x14ac:dyDescent="0.3">
      <c r="A1318" s="142" t="s">
        <v>477</v>
      </c>
      <c r="B1318" s="142">
        <v>534</v>
      </c>
      <c r="C1318" s="141">
        <v>46147</v>
      </c>
      <c r="D1318" s="140">
        <f>WEEKNUM(C1318)</f>
        <v>19</v>
      </c>
      <c r="E1318" s="140" t="s">
        <v>475</v>
      </c>
      <c r="F1318" s="140" t="s">
        <v>809</v>
      </c>
      <c r="G1318" s="142" t="s">
        <v>218</v>
      </c>
      <c r="H1318" s="142" t="s">
        <v>74</v>
      </c>
      <c r="I1318" s="142" t="s">
        <v>46</v>
      </c>
      <c r="J1318" s="157">
        <v>150</v>
      </c>
      <c r="K1318" s="143">
        <v>24.5</v>
      </c>
      <c r="L1318" s="143">
        <f>J1318*K1318</f>
        <v>3675</v>
      </c>
      <c r="M1318" s="143">
        <f>L1318</f>
        <v>3675</v>
      </c>
      <c r="N1318" s="141">
        <v>46176</v>
      </c>
      <c r="O1318" s="157">
        <f>WEEKNUM(N1318)</f>
        <v>23</v>
      </c>
      <c r="P1318" s="140"/>
      <c r="Q1318" s="142" t="s">
        <v>29</v>
      </c>
      <c r="R1318" s="143">
        <f>PRODUCT(0.25*J1318)</f>
        <v>37.5</v>
      </c>
      <c r="S1318" s="143">
        <f>J1318*1.5</f>
        <v>225</v>
      </c>
      <c r="T1318" s="143">
        <f>J1318*1.5</f>
        <v>225</v>
      </c>
      <c r="U1318" s="143">
        <f>J1318*0.5</f>
        <v>75</v>
      </c>
      <c r="V1318" s="143">
        <f>U1318+T1318+S1318+R1318</f>
        <v>562.5</v>
      </c>
    </row>
    <row r="1319" spans="1:23" s="128" customFormat="1" ht="15.6" hidden="1" x14ac:dyDescent="0.3">
      <c r="A1319" s="142" t="s">
        <v>477</v>
      </c>
      <c r="B1319" s="142">
        <v>535</v>
      </c>
      <c r="C1319" s="141">
        <v>46147</v>
      </c>
      <c r="D1319" s="140">
        <f>WEEKNUM(C1319)</f>
        <v>19</v>
      </c>
      <c r="E1319" s="140" t="s">
        <v>475</v>
      </c>
      <c r="F1319" s="140" t="s">
        <v>809</v>
      </c>
      <c r="G1319" s="142" t="s">
        <v>554</v>
      </c>
      <c r="H1319" s="142" t="s">
        <v>555</v>
      </c>
      <c r="I1319" s="142" t="s">
        <v>46</v>
      </c>
      <c r="J1319" s="157">
        <v>200</v>
      </c>
      <c r="K1319" s="143">
        <v>26.5</v>
      </c>
      <c r="L1319" s="143">
        <f>J1319*K1319</f>
        <v>5300</v>
      </c>
      <c r="M1319" s="143">
        <f>L1319</f>
        <v>5300</v>
      </c>
      <c r="N1319" s="141">
        <v>46176</v>
      </c>
      <c r="O1319" s="157">
        <f>WEEKNUM(N1319)</f>
        <v>23</v>
      </c>
      <c r="P1319" s="140"/>
      <c r="Q1319" s="142" t="s">
        <v>29</v>
      </c>
      <c r="R1319" s="143">
        <f>PRODUCT(0.25*J1319)</f>
        <v>50</v>
      </c>
      <c r="S1319" s="143">
        <f>J1319*1.5</f>
        <v>300</v>
      </c>
      <c r="T1319" s="143">
        <f>J1319*1.5</f>
        <v>300</v>
      </c>
      <c r="U1319" s="143">
        <f>J1319*0.5</f>
        <v>100</v>
      </c>
      <c r="V1319" s="143">
        <f>U1319+T1319+S1319+R1319</f>
        <v>750</v>
      </c>
    </row>
    <row r="1320" spans="1:23" s="128" customFormat="1" ht="15.6" hidden="1" x14ac:dyDescent="0.3">
      <c r="A1320" s="142" t="s">
        <v>477</v>
      </c>
      <c r="B1320" s="142">
        <v>535</v>
      </c>
      <c r="C1320" s="141">
        <v>46147</v>
      </c>
      <c r="D1320" s="140">
        <f>WEEKNUM(C1320)</f>
        <v>19</v>
      </c>
      <c r="E1320" s="140" t="s">
        <v>475</v>
      </c>
      <c r="F1320" s="140" t="s">
        <v>809</v>
      </c>
      <c r="G1320" s="142" t="s">
        <v>311</v>
      </c>
      <c r="H1320" s="142" t="s">
        <v>51</v>
      </c>
      <c r="I1320" s="142" t="s">
        <v>46</v>
      </c>
      <c r="J1320" s="157">
        <v>500</v>
      </c>
      <c r="K1320" s="143">
        <v>14</v>
      </c>
      <c r="L1320" s="143">
        <f>J1320*K1320</f>
        <v>7000</v>
      </c>
      <c r="M1320" s="143">
        <f>L1320</f>
        <v>7000</v>
      </c>
      <c r="N1320" s="141">
        <v>46176</v>
      </c>
      <c r="O1320" s="157">
        <f>WEEKNUM(N1320)</f>
        <v>23</v>
      </c>
      <c r="P1320" s="140"/>
      <c r="Q1320" s="142" t="s">
        <v>29</v>
      </c>
      <c r="R1320" s="143">
        <f>PRODUCT(0.25*J1320)</f>
        <v>125</v>
      </c>
      <c r="S1320" s="143">
        <f>J1320*1.5</f>
        <v>750</v>
      </c>
      <c r="T1320" s="143">
        <f>J1320*1.5</f>
        <v>750</v>
      </c>
      <c r="U1320" s="143">
        <f>J1320*0.5</f>
        <v>250</v>
      </c>
      <c r="V1320" s="143">
        <f>U1320+T1320+S1320+R1320</f>
        <v>1875</v>
      </c>
    </row>
    <row r="1321" spans="1:23" s="128" customFormat="1" ht="15.6" hidden="1" x14ac:dyDescent="0.3">
      <c r="A1321" s="142" t="s">
        <v>477</v>
      </c>
      <c r="B1321" s="142">
        <v>535</v>
      </c>
      <c r="C1321" s="141">
        <v>46147</v>
      </c>
      <c r="D1321" s="140">
        <f>WEEKNUM(C1321)</f>
        <v>19</v>
      </c>
      <c r="E1321" s="140" t="s">
        <v>475</v>
      </c>
      <c r="F1321" s="140" t="s">
        <v>809</v>
      </c>
      <c r="G1321" s="142" t="s">
        <v>218</v>
      </c>
      <c r="H1321" s="142" t="s">
        <v>74</v>
      </c>
      <c r="I1321" s="142" t="s">
        <v>46</v>
      </c>
      <c r="J1321" s="157">
        <v>300</v>
      </c>
      <c r="K1321" s="143">
        <v>24.5</v>
      </c>
      <c r="L1321" s="143">
        <f>J1321*K1321</f>
        <v>7350</v>
      </c>
      <c r="M1321" s="143">
        <f>L1321</f>
        <v>7350</v>
      </c>
      <c r="N1321" s="141">
        <v>46176</v>
      </c>
      <c r="O1321" s="157">
        <f>WEEKNUM(N1321)</f>
        <v>23</v>
      </c>
      <c r="P1321" s="140"/>
      <c r="Q1321" s="142" t="s">
        <v>29</v>
      </c>
      <c r="R1321" s="143">
        <f>PRODUCT(0.25*J1321)</f>
        <v>75</v>
      </c>
      <c r="S1321" s="143">
        <f>J1321*1.5</f>
        <v>450</v>
      </c>
      <c r="T1321" s="143">
        <f>J1321*1.5</f>
        <v>450</v>
      </c>
      <c r="U1321" s="143">
        <f>J1321*0.5</f>
        <v>150</v>
      </c>
      <c r="V1321" s="143">
        <f>U1321+T1321+S1321+R1321</f>
        <v>1125</v>
      </c>
    </row>
    <row r="1322" spans="1:23" s="128" customFormat="1" ht="15.6" hidden="1" x14ac:dyDescent="0.3">
      <c r="A1322" s="142" t="s">
        <v>477</v>
      </c>
      <c r="B1322" s="142">
        <v>219</v>
      </c>
      <c r="C1322" s="141">
        <v>46148</v>
      </c>
      <c r="D1322" s="140">
        <f>WEEKNUM(C1322)</f>
        <v>19</v>
      </c>
      <c r="E1322" s="142" t="s">
        <v>498</v>
      </c>
      <c r="F1322" s="140" t="s">
        <v>446</v>
      </c>
      <c r="G1322" s="142" t="s">
        <v>155</v>
      </c>
      <c r="H1322" s="142" t="s">
        <v>51</v>
      </c>
      <c r="I1322" s="142" t="s">
        <v>46</v>
      </c>
      <c r="J1322" s="157">
        <v>2000</v>
      </c>
      <c r="K1322" s="143">
        <v>23.5</v>
      </c>
      <c r="L1322" s="143">
        <f>J1322*K1322</f>
        <v>47000</v>
      </c>
      <c r="M1322" s="143">
        <f>L1322</f>
        <v>47000</v>
      </c>
      <c r="N1322" s="141">
        <v>46178</v>
      </c>
      <c r="O1322" s="157">
        <f>WEEKNUM(N1322)</f>
        <v>23</v>
      </c>
      <c r="P1322" s="140"/>
      <c r="Q1322" s="142" t="s">
        <v>29</v>
      </c>
      <c r="R1322" s="143">
        <f>PRODUCT(0.25*J1322)</f>
        <v>500</v>
      </c>
      <c r="S1322" s="143">
        <f>J1322*1.5</f>
        <v>3000</v>
      </c>
      <c r="T1322" s="143">
        <f>J1322*1.5</f>
        <v>3000</v>
      </c>
      <c r="U1322" s="143">
        <f>J1322*0.5</f>
        <v>1000</v>
      </c>
      <c r="V1322" s="143">
        <f>U1322+T1322+S1322+R1322</f>
        <v>7500</v>
      </c>
    </row>
    <row r="1323" spans="1:23" s="128" customFormat="1" ht="15.6" hidden="1" x14ac:dyDescent="0.3">
      <c r="A1323" s="142" t="s">
        <v>477</v>
      </c>
      <c r="B1323" s="142">
        <v>537</v>
      </c>
      <c r="C1323" s="141">
        <v>46148</v>
      </c>
      <c r="D1323" s="140">
        <f>WEEKNUM(C1323)</f>
        <v>19</v>
      </c>
      <c r="E1323" s="140" t="s">
        <v>475</v>
      </c>
      <c r="F1323" s="140" t="s">
        <v>809</v>
      </c>
      <c r="G1323" s="142" t="s">
        <v>554</v>
      </c>
      <c r="H1323" s="142" t="s">
        <v>555</v>
      </c>
      <c r="I1323" s="142" t="s">
        <v>46</v>
      </c>
      <c r="J1323" s="157">
        <v>150</v>
      </c>
      <c r="K1323" s="143">
        <v>26.5</v>
      </c>
      <c r="L1323" s="143">
        <f>J1323*K1323</f>
        <v>3975</v>
      </c>
      <c r="M1323" s="143">
        <f>L1323</f>
        <v>3975</v>
      </c>
      <c r="N1323" s="141">
        <v>46176</v>
      </c>
      <c r="O1323" s="157">
        <f>WEEKNUM(N1323)</f>
        <v>23</v>
      </c>
      <c r="P1323" s="140"/>
      <c r="Q1323" s="142" t="s">
        <v>29</v>
      </c>
      <c r="R1323" s="143">
        <f>PRODUCT(0.25*J1323)</f>
        <v>37.5</v>
      </c>
      <c r="S1323" s="143">
        <f>J1323*1.5</f>
        <v>225</v>
      </c>
      <c r="T1323" s="143">
        <f>J1323*1.5</f>
        <v>225</v>
      </c>
      <c r="U1323" s="143">
        <f>J1323*0.5</f>
        <v>75</v>
      </c>
      <c r="V1323" s="143">
        <f>U1323+T1323+S1323+R1323</f>
        <v>562.5</v>
      </c>
    </row>
    <row r="1324" spans="1:23" s="128" customFormat="1" ht="15.6" hidden="1" x14ac:dyDescent="0.3">
      <c r="A1324" s="142" t="s">
        <v>477</v>
      </c>
      <c r="B1324" s="142">
        <v>537</v>
      </c>
      <c r="C1324" s="141">
        <v>46148</v>
      </c>
      <c r="D1324" s="140">
        <f>WEEKNUM(C1324)</f>
        <v>19</v>
      </c>
      <c r="E1324" s="140" t="s">
        <v>475</v>
      </c>
      <c r="F1324" s="140" t="s">
        <v>809</v>
      </c>
      <c r="G1324" s="142" t="s">
        <v>529</v>
      </c>
      <c r="H1324" s="142" t="s">
        <v>494</v>
      </c>
      <c r="I1324" s="142" t="s">
        <v>46</v>
      </c>
      <c r="J1324" s="157">
        <v>150</v>
      </c>
      <c r="K1324" s="143">
        <v>24.5</v>
      </c>
      <c r="L1324" s="143">
        <f>J1324*K1324</f>
        <v>3675</v>
      </c>
      <c r="M1324" s="143">
        <f>L1324</f>
        <v>3675</v>
      </c>
      <c r="N1324" s="141">
        <v>46176</v>
      </c>
      <c r="O1324" s="157">
        <f>WEEKNUM(N1324)</f>
        <v>23</v>
      </c>
      <c r="P1324" s="140"/>
      <c r="Q1324" s="142" t="s">
        <v>29</v>
      </c>
      <c r="R1324" s="143">
        <f>PRODUCT(0.25*J1324)</f>
        <v>37.5</v>
      </c>
      <c r="S1324" s="143">
        <f>J1324*1.5</f>
        <v>225</v>
      </c>
      <c r="T1324" s="143">
        <f>J1324*1.5</f>
        <v>225</v>
      </c>
      <c r="U1324" s="143">
        <f>J1324*0.5</f>
        <v>75</v>
      </c>
      <c r="V1324" s="143">
        <f>U1324+T1324+S1324+R1324</f>
        <v>562.5</v>
      </c>
    </row>
    <row r="1325" spans="1:23" s="128" customFormat="1" ht="15.6" hidden="1" x14ac:dyDescent="0.3">
      <c r="A1325" s="142" t="s">
        <v>486</v>
      </c>
      <c r="B1325" s="142">
        <v>538</v>
      </c>
      <c r="C1325" s="141">
        <v>46149</v>
      </c>
      <c r="D1325" s="140">
        <f>WEEKNUM(C1325)</f>
        <v>19</v>
      </c>
      <c r="E1325" s="140" t="s">
        <v>475</v>
      </c>
      <c r="F1325" s="142" t="s">
        <v>865</v>
      </c>
      <c r="G1325" s="142" t="s">
        <v>861</v>
      </c>
      <c r="H1325" s="142" t="s">
        <v>555</v>
      </c>
      <c r="I1325" s="142" t="s">
        <v>46</v>
      </c>
      <c r="J1325" s="157">
        <v>100</v>
      </c>
      <c r="K1325" s="143">
        <v>29</v>
      </c>
      <c r="L1325" s="143">
        <f>J1325*K1325</f>
        <v>2900</v>
      </c>
      <c r="M1325" s="143">
        <v>600</v>
      </c>
      <c r="N1325" s="141">
        <v>46188</v>
      </c>
      <c r="O1325" s="157">
        <f>WEEKNUM(N1325)</f>
        <v>25</v>
      </c>
      <c r="P1325" s="140"/>
      <c r="Q1325" s="142" t="s">
        <v>29</v>
      </c>
      <c r="R1325" s="143">
        <f>PRODUCT(0.25*J1325)</f>
        <v>25</v>
      </c>
      <c r="S1325" s="143">
        <f>J1325*1.5</f>
        <v>150</v>
      </c>
      <c r="T1325" s="143">
        <f>J1325*1.5</f>
        <v>150</v>
      </c>
      <c r="U1325" s="143">
        <f>J1325*0.5</f>
        <v>50</v>
      </c>
      <c r="V1325" s="143">
        <f>U1325+T1325+S1325+R1325</f>
        <v>375</v>
      </c>
    </row>
    <row r="1326" spans="1:23" s="128" customFormat="1" ht="15.6" hidden="1" x14ac:dyDescent="0.3">
      <c r="A1326" s="142" t="s">
        <v>486</v>
      </c>
      <c r="B1326" s="142">
        <v>538</v>
      </c>
      <c r="C1326" s="141">
        <v>46149</v>
      </c>
      <c r="D1326" s="140">
        <f>WEEKNUM(C1326)</f>
        <v>19</v>
      </c>
      <c r="E1326" s="140" t="s">
        <v>475</v>
      </c>
      <c r="F1326" s="142" t="s">
        <v>865</v>
      </c>
      <c r="G1326" s="142" t="s">
        <v>311</v>
      </c>
      <c r="H1326" s="142" t="s">
        <v>51</v>
      </c>
      <c r="I1326" s="142" t="s">
        <v>46</v>
      </c>
      <c r="J1326" s="157">
        <v>200</v>
      </c>
      <c r="K1326" s="143">
        <v>17</v>
      </c>
      <c r="L1326" s="143">
        <f>J1326*K1326</f>
        <v>3400</v>
      </c>
      <c r="M1326" s="143">
        <f>L1326</f>
        <v>3400</v>
      </c>
      <c r="N1326" s="141">
        <v>46188</v>
      </c>
      <c r="O1326" s="157">
        <f>WEEKNUM(N1326)</f>
        <v>25</v>
      </c>
      <c r="P1326" s="140"/>
      <c r="Q1326" s="142" t="s">
        <v>29</v>
      </c>
      <c r="R1326" s="143">
        <f>PRODUCT(0.25*J1326)</f>
        <v>50</v>
      </c>
      <c r="S1326" s="143">
        <f>J1326*1.5</f>
        <v>300</v>
      </c>
      <c r="T1326" s="143">
        <f>J1326*1.5</f>
        <v>300</v>
      </c>
      <c r="U1326" s="143">
        <f>J1326*0.5</f>
        <v>100</v>
      </c>
      <c r="V1326" s="143">
        <f>U1326+T1326+S1326+R1326</f>
        <v>750</v>
      </c>
    </row>
    <row r="1327" spans="1:23" s="128" customFormat="1" ht="15.6" hidden="1" x14ac:dyDescent="0.3">
      <c r="A1327" s="142" t="s">
        <v>486</v>
      </c>
      <c r="B1327" s="142">
        <v>539</v>
      </c>
      <c r="C1327" s="141">
        <v>46150</v>
      </c>
      <c r="D1327" s="140">
        <f>WEEKNUM(C1327)</f>
        <v>19</v>
      </c>
      <c r="E1327" s="142" t="s">
        <v>68</v>
      </c>
      <c r="F1327" s="142" t="s">
        <v>401</v>
      </c>
      <c r="G1327" s="142" t="s">
        <v>505</v>
      </c>
      <c r="H1327" s="142" t="s">
        <v>190</v>
      </c>
      <c r="I1327" s="142" t="s">
        <v>61</v>
      </c>
      <c r="J1327" s="157">
        <v>4</v>
      </c>
      <c r="K1327" s="143">
        <v>80</v>
      </c>
      <c r="L1327" s="143">
        <f>J1327*K1327</f>
        <v>320</v>
      </c>
      <c r="M1327" s="143">
        <v>0</v>
      </c>
      <c r="N1327" s="141">
        <v>46181</v>
      </c>
      <c r="O1327" s="157">
        <f>WEEKNUM(N1327)</f>
        <v>24</v>
      </c>
      <c r="P1327" s="140"/>
      <c r="Q1327" s="142" t="s">
        <v>29</v>
      </c>
      <c r="R1327" s="143">
        <f>PRODUCT(0.25*J1327)</f>
        <v>1</v>
      </c>
      <c r="S1327" s="143">
        <f>J1327*1.5</f>
        <v>6</v>
      </c>
      <c r="T1327" s="143">
        <f>J1327*1.5</f>
        <v>6</v>
      </c>
      <c r="U1327" s="143">
        <f>J1327*0.5</f>
        <v>2</v>
      </c>
      <c r="V1327" s="143">
        <f>U1327+T1327+S1327+R1327</f>
        <v>15</v>
      </c>
    </row>
    <row r="1328" spans="1:23" s="128" customFormat="1" ht="15.6" hidden="1" x14ac:dyDescent="0.3">
      <c r="A1328" s="142" t="s">
        <v>486</v>
      </c>
      <c r="B1328" s="142">
        <v>539</v>
      </c>
      <c r="C1328" s="141">
        <v>46150</v>
      </c>
      <c r="D1328" s="140">
        <f>WEEKNUM(C1328)</f>
        <v>19</v>
      </c>
      <c r="E1328" s="142" t="s">
        <v>68</v>
      </c>
      <c r="F1328" s="142" t="s">
        <v>401</v>
      </c>
      <c r="G1328" s="142" t="s">
        <v>301</v>
      </c>
      <c r="H1328" s="142" t="s">
        <v>74</v>
      </c>
      <c r="I1328" s="142" t="s">
        <v>46</v>
      </c>
      <c r="J1328" s="157">
        <v>6</v>
      </c>
      <c r="K1328" s="143">
        <v>36.75</v>
      </c>
      <c r="L1328" s="143">
        <f>J1328*K1328</f>
        <v>220.5</v>
      </c>
      <c r="M1328" s="143">
        <v>0</v>
      </c>
      <c r="N1328" s="141">
        <v>46181</v>
      </c>
      <c r="O1328" s="157">
        <f>WEEKNUM(N1328)</f>
        <v>24</v>
      </c>
      <c r="P1328" s="140"/>
      <c r="Q1328" s="142" t="s">
        <v>29</v>
      </c>
      <c r="R1328" s="143">
        <f>PRODUCT(0.25*J1328)</f>
        <v>1.5</v>
      </c>
      <c r="S1328" s="143">
        <f>J1328*1.5</f>
        <v>9</v>
      </c>
      <c r="T1328" s="143">
        <f>J1328*1.5</f>
        <v>9</v>
      </c>
      <c r="U1328" s="143">
        <f>J1328*0.5</f>
        <v>3</v>
      </c>
      <c r="V1328" s="143">
        <f>U1328+T1328+S1328+R1328</f>
        <v>22.5</v>
      </c>
    </row>
    <row r="1329" spans="1:23" s="128" customFormat="1" ht="15.6" hidden="1" x14ac:dyDescent="0.3">
      <c r="A1329" s="142" t="s">
        <v>486</v>
      </c>
      <c r="B1329" s="142">
        <v>539</v>
      </c>
      <c r="C1329" s="141">
        <v>46150</v>
      </c>
      <c r="D1329" s="140">
        <f>WEEKNUM(C1329)</f>
        <v>19</v>
      </c>
      <c r="E1329" s="142" t="s">
        <v>68</v>
      </c>
      <c r="F1329" s="142" t="s">
        <v>401</v>
      </c>
      <c r="G1329" s="142" t="s">
        <v>505</v>
      </c>
      <c r="H1329" s="142" t="s">
        <v>190</v>
      </c>
      <c r="I1329" s="142" t="s">
        <v>61</v>
      </c>
      <c r="J1329" s="157">
        <v>1</v>
      </c>
      <c r="K1329" s="143">
        <v>90</v>
      </c>
      <c r="L1329" s="143">
        <f>J1329*K1329</f>
        <v>90</v>
      </c>
      <c r="M1329" s="143">
        <v>0</v>
      </c>
      <c r="N1329" s="141">
        <v>46181</v>
      </c>
      <c r="O1329" s="157">
        <f>WEEKNUM(N1329)</f>
        <v>24</v>
      </c>
      <c r="P1329" s="140"/>
      <c r="Q1329" s="142" t="s">
        <v>29</v>
      </c>
      <c r="R1329" s="143">
        <f>PRODUCT(0.25*J1329)</f>
        <v>0.25</v>
      </c>
      <c r="S1329" s="143">
        <f>J1329*1.5</f>
        <v>1.5</v>
      </c>
      <c r="T1329" s="143">
        <f>J1329*1.5</f>
        <v>1.5</v>
      </c>
      <c r="U1329" s="143">
        <f>J1329*0.5</f>
        <v>0.5</v>
      </c>
      <c r="V1329" s="143">
        <f>U1329+T1329+S1329+R1329</f>
        <v>3.75</v>
      </c>
    </row>
    <row r="1330" spans="1:23" s="128" customFormat="1" ht="15.6" hidden="1" x14ac:dyDescent="0.3">
      <c r="A1330" s="142" t="s">
        <v>477</v>
      </c>
      <c r="B1330" s="142">
        <v>540</v>
      </c>
      <c r="C1330" s="141">
        <v>46150</v>
      </c>
      <c r="D1330" s="140">
        <f>WEEKNUM(C1330)</f>
        <v>19</v>
      </c>
      <c r="E1330" s="140" t="s">
        <v>475</v>
      </c>
      <c r="F1330" s="130" t="s">
        <v>619</v>
      </c>
      <c r="G1330" s="132" t="s">
        <v>218</v>
      </c>
      <c r="H1330" s="142" t="s">
        <v>74</v>
      </c>
      <c r="I1330" s="142" t="s">
        <v>46</v>
      </c>
      <c r="J1330" s="157">
        <v>660</v>
      </c>
      <c r="K1330" s="143">
        <v>36</v>
      </c>
      <c r="L1330" s="143">
        <f>J1330*K1330</f>
        <v>23760</v>
      </c>
      <c r="M1330" s="143">
        <f>L1330/2</f>
        <v>11880</v>
      </c>
      <c r="N1330" s="141">
        <v>46170</v>
      </c>
      <c r="O1330" s="157">
        <f>WEEKNUM(N1330)</f>
        <v>22</v>
      </c>
      <c r="P1330" s="140"/>
      <c r="Q1330" s="142" t="s">
        <v>29</v>
      </c>
      <c r="R1330" s="143">
        <f>PRODUCT(0.25*J1330)</f>
        <v>165</v>
      </c>
      <c r="S1330" s="143">
        <f>J1330*1.5</f>
        <v>990</v>
      </c>
      <c r="T1330" s="143">
        <f>J1330*1.5</f>
        <v>990</v>
      </c>
      <c r="U1330" s="143">
        <f>J1330*0.5</f>
        <v>330</v>
      </c>
      <c r="V1330" s="143">
        <f>U1330+T1330+S1330+R1330</f>
        <v>2475</v>
      </c>
    </row>
    <row r="1331" spans="1:23" s="128" customFormat="1" ht="15.6" hidden="1" x14ac:dyDescent="0.3">
      <c r="A1331" s="142" t="s">
        <v>477</v>
      </c>
      <c r="B1331" s="142">
        <v>541</v>
      </c>
      <c r="C1331" s="141">
        <v>46153</v>
      </c>
      <c r="D1331" s="140">
        <f>WEEKNUM(C1331)</f>
        <v>20</v>
      </c>
      <c r="E1331" s="140" t="s">
        <v>475</v>
      </c>
      <c r="F1331" s="142" t="s">
        <v>808</v>
      </c>
      <c r="G1331" s="142" t="s">
        <v>487</v>
      </c>
      <c r="H1331" s="142" t="s">
        <v>51</v>
      </c>
      <c r="I1331" s="142" t="s">
        <v>46</v>
      </c>
      <c r="J1331" s="157">
        <v>100</v>
      </c>
      <c r="K1331" s="143">
        <v>27</v>
      </c>
      <c r="L1331" s="143">
        <f>J1331*K1331</f>
        <v>2700</v>
      </c>
      <c r="M1331" s="143">
        <f>L1331/2</f>
        <v>1350</v>
      </c>
      <c r="N1331" s="141">
        <v>46182</v>
      </c>
      <c r="O1331" s="157">
        <f>WEEKNUM(N1331)</f>
        <v>24</v>
      </c>
      <c r="P1331" s="140"/>
      <c r="Q1331" s="142" t="s">
        <v>29</v>
      </c>
      <c r="R1331" s="143">
        <f>PRODUCT(0.25*J1331)</f>
        <v>25</v>
      </c>
      <c r="S1331" s="143">
        <f>J1331*1.5</f>
        <v>150</v>
      </c>
      <c r="T1331" s="143">
        <f>J1331*1.5</f>
        <v>150</v>
      </c>
      <c r="U1331" s="143">
        <f>J1331*0.5</f>
        <v>50</v>
      </c>
      <c r="V1331" s="143">
        <f>U1331+T1331+S1331+R1331</f>
        <v>375</v>
      </c>
    </row>
    <row r="1332" spans="1:23" s="128" customFormat="1" ht="15.6" hidden="1" x14ac:dyDescent="0.3">
      <c r="A1332" s="142" t="s">
        <v>477</v>
      </c>
      <c r="B1332" s="142">
        <v>542</v>
      </c>
      <c r="C1332" s="141">
        <v>46153</v>
      </c>
      <c r="D1332" s="140">
        <f>WEEKNUM(C1332)</f>
        <v>20</v>
      </c>
      <c r="E1332" s="140" t="s">
        <v>475</v>
      </c>
      <c r="F1332" s="140" t="s">
        <v>809</v>
      </c>
      <c r="G1332" s="142" t="s">
        <v>311</v>
      </c>
      <c r="H1332" s="142" t="s">
        <v>51</v>
      </c>
      <c r="I1332" s="142" t="s">
        <v>46</v>
      </c>
      <c r="J1332" s="157">
        <v>200</v>
      </c>
      <c r="K1332" s="143">
        <v>14</v>
      </c>
      <c r="L1332" s="143">
        <f>J1332*K1332</f>
        <v>2800</v>
      </c>
      <c r="M1332" s="143">
        <f>L1332/2</f>
        <v>1400</v>
      </c>
      <c r="N1332" s="141">
        <v>46168</v>
      </c>
      <c r="O1332" s="157">
        <f>WEEKNUM(N1332)</f>
        <v>22</v>
      </c>
      <c r="P1332" s="140"/>
      <c r="Q1332" s="142" t="s">
        <v>29</v>
      </c>
      <c r="R1332" s="143">
        <f>PRODUCT(0.25*J1332)</f>
        <v>50</v>
      </c>
      <c r="S1332" s="143">
        <f>J1332*1.5</f>
        <v>300</v>
      </c>
      <c r="T1332" s="143">
        <f>J1332*1.5</f>
        <v>300</v>
      </c>
      <c r="U1332" s="143">
        <f>J1332*0.5</f>
        <v>100</v>
      </c>
      <c r="V1332" s="143">
        <f>U1332+T1332+S1332+R1332</f>
        <v>750</v>
      </c>
    </row>
    <row r="1333" spans="1:23" s="128" customFormat="1" ht="15.6" hidden="1" x14ac:dyDescent="0.3">
      <c r="A1333" s="142" t="s">
        <v>477</v>
      </c>
      <c r="B1333" s="142">
        <v>544</v>
      </c>
      <c r="C1333" s="141">
        <v>46154</v>
      </c>
      <c r="D1333" s="140">
        <f>WEEKNUM(C1333)</f>
        <v>20</v>
      </c>
      <c r="E1333" s="140" t="s">
        <v>475</v>
      </c>
      <c r="F1333" s="142" t="s">
        <v>794</v>
      </c>
      <c r="G1333" s="142" t="s">
        <v>796</v>
      </c>
      <c r="H1333" s="142" t="s">
        <v>51</v>
      </c>
      <c r="I1333" s="142" t="s">
        <v>46</v>
      </c>
      <c r="J1333" s="157">
        <v>1036</v>
      </c>
      <c r="K1333" s="143">
        <v>26.8</v>
      </c>
      <c r="L1333" s="143">
        <f>J1333*K1333</f>
        <v>27764.799999999999</v>
      </c>
      <c r="M1333" s="143">
        <f>L1333</f>
        <v>27764.799999999999</v>
      </c>
      <c r="N1333" s="141">
        <v>46171</v>
      </c>
      <c r="O1333" s="157">
        <f>WEEKNUM(N1333)</f>
        <v>22</v>
      </c>
      <c r="P1333" s="140"/>
      <c r="Q1333" s="142" t="s">
        <v>29</v>
      </c>
      <c r="R1333" s="143">
        <f>PRODUCT(0.25*J1333)</f>
        <v>259</v>
      </c>
      <c r="S1333" s="143">
        <f>J1333*1.5</f>
        <v>1554</v>
      </c>
      <c r="T1333" s="143">
        <f>J1333*1.5</f>
        <v>1554</v>
      </c>
      <c r="U1333" s="143">
        <f>J1333*0.5</f>
        <v>518</v>
      </c>
      <c r="V1333" s="143">
        <f>U1333+T1333+S1333+R1333</f>
        <v>3885</v>
      </c>
    </row>
    <row r="1334" spans="1:23" s="128" customFormat="1" ht="15.6" hidden="1" x14ac:dyDescent="0.3">
      <c r="A1334" s="142" t="s">
        <v>477</v>
      </c>
      <c r="B1334" s="142">
        <v>1107</v>
      </c>
      <c r="C1334" s="141">
        <v>46154</v>
      </c>
      <c r="D1334" s="140">
        <f>WEEKNUM(C1334)</f>
        <v>20</v>
      </c>
      <c r="E1334" s="140" t="s">
        <v>478</v>
      </c>
      <c r="F1334" s="142" t="s">
        <v>832</v>
      </c>
      <c r="G1334" s="142" t="s">
        <v>841</v>
      </c>
      <c r="H1334" s="142" t="s">
        <v>304</v>
      </c>
      <c r="I1334" s="142" t="s">
        <v>46</v>
      </c>
      <c r="J1334" s="157">
        <v>100</v>
      </c>
      <c r="K1334" s="143">
        <v>12.76</v>
      </c>
      <c r="L1334" s="143">
        <f>K1334*J1334</f>
        <v>1276</v>
      </c>
      <c r="M1334" s="143">
        <f>L1334</f>
        <v>1276</v>
      </c>
      <c r="N1334" s="141">
        <v>46174</v>
      </c>
      <c r="O1334" s="157">
        <f>WEEKNUM(N1334)</f>
        <v>23</v>
      </c>
      <c r="P1334" s="140"/>
      <c r="Q1334" s="142" t="s">
        <v>29</v>
      </c>
      <c r="R1334" s="143">
        <f>PRODUCT(0.25*J1334)</f>
        <v>25</v>
      </c>
      <c r="S1334" s="143">
        <f>PRODUCT(0.25*J1334)</f>
        <v>25</v>
      </c>
      <c r="T1334" s="143">
        <f>J1334*1.5</f>
        <v>150</v>
      </c>
      <c r="U1334" s="143">
        <f>J1334*1.5</f>
        <v>150</v>
      </c>
      <c r="V1334" s="143">
        <f>J1334*0.5</f>
        <v>50</v>
      </c>
    </row>
    <row r="1335" spans="1:23" s="128" customFormat="1" ht="15.6" hidden="1" x14ac:dyDescent="0.3">
      <c r="A1335" s="142" t="s">
        <v>477</v>
      </c>
      <c r="B1335" s="142">
        <v>1107</v>
      </c>
      <c r="C1335" s="141">
        <v>46154</v>
      </c>
      <c r="D1335" s="140">
        <f>WEEKNUM(C1335)</f>
        <v>20</v>
      </c>
      <c r="E1335" s="140" t="s">
        <v>478</v>
      </c>
      <c r="F1335" s="142" t="s">
        <v>832</v>
      </c>
      <c r="G1335" s="142" t="s">
        <v>842</v>
      </c>
      <c r="H1335" s="142" t="s">
        <v>95</v>
      </c>
      <c r="I1335" s="142" t="s">
        <v>46</v>
      </c>
      <c r="J1335" s="157">
        <v>300</v>
      </c>
      <c r="K1335" s="143">
        <v>6.91</v>
      </c>
      <c r="L1335" s="143">
        <f>K1335*J1335</f>
        <v>2073</v>
      </c>
      <c r="M1335" s="143">
        <f>L1335</f>
        <v>2073</v>
      </c>
      <c r="N1335" s="141">
        <v>46174</v>
      </c>
      <c r="O1335" s="157">
        <f>WEEKNUM(N1335)</f>
        <v>23</v>
      </c>
      <c r="P1335" s="140"/>
      <c r="Q1335" s="187" t="s">
        <v>29</v>
      </c>
      <c r="R1335" s="188">
        <f>PRODUCT(0.25*J1335)</f>
        <v>75</v>
      </c>
      <c r="S1335" s="143">
        <f>PRODUCT(0.25*J1335)</f>
        <v>75</v>
      </c>
      <c r="T1335" s="143">
        <f>J1335*1.5</f>
        <v>450</v>
      </c>
      <c r="U1335" s="143">
        <f>J1335*1.5</f>
        <v>450</v>
      </c>
      <c r="V1335" s="143">
        <f>J1335*0.5</f>
        <v>150</v>
      </c>
    </row>
    <row r="1336" spans="1:23" s="128" customFormat="1" ht="15.6" hidden="1" x14ac:dyDescent="0.3">
      <c r="A1336" s="142" t="s">
        <v>477</v>
      </c>
      <c r="B1336" s="142">
        <v>545</v>
      </c>
      <c r="C1336" s="141">
        <v>46155</v>
      </c>
      <c r="D1336" s="140">
        <f>WEEKNUM(C1336)</f>
        <v>20</v>
      </c>
      <c r="E1336" s="140" t="s">
        <v>475</v>
      </c>
      <c r="F1336" s="140" t="s">
        <v>568</v>
      </c>
      <c r="G1336" s="142" t="s">
        <v>301</v>
      </c>
      <c r="H1336" s="142" t="s">
        <v>74</v>
      </c>
      <c r="I1336" s="142" t="s">
        <v>46</v>
      </c>
      <c r="J1336" s="157">
        <v>130</v>
      </c>
      <c r="K1336" s="143">
        <v>27.5</v>
      </c>
      <c r="L1336" s="143">
        <f>J1336*K1336</f>
        <v>3575</v>
      </c>
      <c r="M1336" s="143">
        <f>L1336</f>
        <v>3575</v>
      </c>
      <c r="N1336" s="141">
        <v>46171</v>
      </c>
      <c r="O1336" s="157">
        <f>WEEKNUM(N1336)</f>
        <v>22</v>
      </c>
      <c r="P1336" s="184"/>
      <c r="Q1336" s="142" t="s">
        <v>29</v>
      </c>
      <c r="R1336" s="143">
        <f>PRODUCT(0.25*J1336)</f>
        <v>32.5</v>
      </c>
      <c r="S1336" s="143">
        <f>J1336*1.5</f>
        <v>195</v>
      </c>
      <c r="T1336" s="143">
        <f>J1336*1.5</f>
        <v>195</v>
      </c>
      <c r="U1336" s="143">
        <f>J1336*0.5</f>
        <v>65</v>
      </c>
      <c r="V1336" s="143">
        <f>U1336+T1336+S1336+R1336</f>
        <v>487.5</v>
      </c>
    </row>
    <row r="1337" spans="1:23" s="128" customFormat="1" ht="15.6" hidden="1" x14ac:dyDescent="0.3">
      <c r="A1337" s="142" t="s">
        <v>477</v>
      </c>
      <c r="B1337" s="142">
        <v>546</v>
      </c>
      <c r="C1337" s="141">
        <v>46155</v>
      </c>
      <c r="D1337" s="140">
        <f>WEEKNUM(C1337)</f>
        <v>20</v>
      </c>
      <c r="E1337" s="140" t="s">
        <v>475</v>
      </c>
      <c r="F1337" s="142" t="s">
        <v>888</v>
      </c>
      <c r="G1337" s="142" t="s">
        <v>895</v>
      </c>
      <c r="H1337" s="142" t="s">
        <v>642</v>
      </c>
      <c r="I1337" s="142" t="s">
        <v>61</v>
      </c>
      <c r="J1337" s="157">
        <v>200</v>
      </c>
      <c r="K1337" s="143">
        <v>10.9</v>
      </c>
      <c r="L1337" s="143">
        <f>J1337*K1337</f>
        <v>2180</v>
      </c>
      <c r="M1337" s="143">
        <f>L1337</f>
        <v>2180</v>
      </c>
      <c r="N1337" s="141">
        <v>46184</v>
      </c>
      <c r="O1337" s="157">
        <f>WEEKNUM(N1337)</f>
        <v>24</v>
      </c>
      <c r="P1337" s="140"/>
      <c r="Q1337" s="182" t="s">
        <v>29</v>
      </c>
      <c r="R1337" s="183">
        <f>PRODUCT(0.25*J1337)</f>
        <v>50</v>
      </c>
      <c r="S1337" s="143">
        <f>J1337*1.5</f>
        <v>300</v>
      </c>
      <c r="T1337" s="143">
        <f>J1337*1.5</f>
        <v>300</v>
      </c>
      <c r="U1337" s="143">
        <f>J1337*0.5</f>
        <v>100</v>
      </c>
      <c r="V1337" s="143">
        <f>U1337+T1337+S1337+R1337</f>
        <v>750</v>
      </c>
      <c r="W1337" s="138"/>
    </row>
    <row r="1338" spans="1:23" s="128" customFormat="1" ht="15.6" hidden="1" x14ac:dyDescent="0.3">
      <c r="A1338" s="142" t="s">
        <v>477</v>
      </c>
      <c r="B1338" s="142">
        <v>551</v>
      </c>
      <c r="C1338" s="141">
        <v>46156</v>
      </c>
      <c r="D1338" s="140">
        <f>WEEKNUM(C1338)</f>
        <v>20</v>
      </c>
      <c r="E1338" s="142" t="s">
        <v>498</v>
      </c>
      <c r="F1338" s="142" t="s">
        <v>540</v>
      </c>
      <c r="G1338" s="142" t="s">
        <v>487</v>
      </c>
      <c r="H1338" s="142" t="s">
        <v>51</v>
      </c>
      <c r="I1338" s="142" t="s">
        <v>46</v>
      </c>
      <c r="J1338" s="157">
        <v>50</v>
      </c>
      <c r="K1338" s="143">
        <v>35</v>
      </c>
      <c r="L1338" s="143">
        <f>J1338*K1338</f>
        <v>1750</v>
      </c>
      <c r="M1338" s="143">
        <v>875</v>
      </c>
      <c r="N1338" s="141">
        <v>46185</v>
      </c>
      <c r="O1338" s="157">
        <f>WEEKNUM(N1338)</f>
        <v>24</v>
      </c>
      <c r="P1338" s="140"/>
      <c r="Q1338" s="142" t="s">
        <v>29</v>
      </c>
      <c r="R1338" s="143">
        <f>PRODUCT(0.25*J1338)</f>
        <v>12.5</v>
      </c>
      <c r="S1338" s="143">
        <f>J1338*1.5</f>
        <v>75</v>
      </c>
      <c r="T1338" s="143">
        <f>J1338*1.5</f>
        <v>75</v>
      </c>
      <c r="U1338" s="143">
        <f>J1338*0.5</f>
        <v>25</v>
      </c>
      <c r="V1338" s="143">
        <f>U1338+T1338+S1338+R1338</f>
        <v>187.5</v>
      </c>
      <c r="W1338" s="138"/>
    </row>
    <row r="1339" spans="1:23" s="128" customFormat="1" ht="15.6" hidden="1" x14ac:dyDescent="0.3">
      <c r="A1339" s="142" t="s">
        <v>486</v>
      </c>
      <c r="B1339" s="142">
        <v>552</v>
      </c>
      <c r="C1339" s="141">
        <v>46156</v>
      </c>
      <c r="D1339" s="140">
        <f>WEEKNUM(C1339)</f>
        <v>20</v>
      </c>
      <c r="E1339" s="140" t="s">
        <v>475</v>
      </c>
      <c r="F1339" s="142" t="s">
        <v>643</v>
      </c>
      <c r="G1339" s="142" t="s">
        <v>495</v>
      </c>
      <c r="H1339" s="142" t="s">
        <v>494</v>
      </c>
      <c r="I1339" s="142" t="s">
        <v>46</v>
      </c>
      <c r="J1339" s="157">
        <v>30</v>
      </c>
      <c r="K1339" s="143">
        <v>25</v>
      </c>
      <c r="L1339" s="143">
        <f>J1339*K1339</f>
        <v>750</v>
      </c>
      <c r="M1339" s="143">
        <v>375</v>
      </c>
      <c r="N1339" s="141">
        <v>46185</v>
      </c>
      <c r="O1339" s="157">
        <f>WEEKNUM(N1339)</f>
        <v>24</v>
      </c>
      <c r="P1339" s="140"/>
      <c r="Q1339" s="142" t="s">
        <v>29</v>
      </c>
      <c r="R1339" s="143">
        <f>PRODUCT(0.25*J1339)</f>
        <v>7.5</v>
      </c>
      <c r="S1339" s="143">
        <f>J1339*1.5</f>
        <v>45</v>
      </c>
      <c r="T1339" s="143">
        <f>J1339*1.5</f>
        <v>45</v>
      </c>
      <c r="U1339" s="143">
        <f>J1339*0.5</f>
        <v>15</v>
      </c>
      <c r="V1339" s="143">
        <f>U1339+T1339+S1339+R1339</f>
        <v>112.5</v>
      </c>
      <c r="W1339" s="138"/>
    </row>
    <row r="1340" spans="1:23" s="128" customFormat="1" ht="15.6" hidden="1" x14ac:dyDescent="0.3">
      <c r="A1340" s="142" t="s">
        <v>477</v>
      </c>
      <c r="B1340" s="142">
        <v>555</v>
      </c>
      <c r="C1340" s="141">
        <v>46156</v>
      </c>
      <c r="D1340" s="140">
        <f>WEEKNUM(C1340)</f>
        <v>20</v>
      </c>
      <c r="E1340" s="142" t="s">
        <v>498</v>
      </c>
      <c r="F1340" s="142" t="s">
        <v>883</v>
      </c>
      <c r="G1340" s="142" t="s">
        <v>559</v>
      </c>
      <c r="H1340" s="142" t="s">
        <v>38</v>
      </c>
      <c r="I1340" s="142" t="s">
        <v>61</v>
      </c>
      <c r="J1340" s="157">
        <v>200</v>
      </c>
      <c r="K1340" s="143">
        <v>55</v>
      </c>
      <c r="L1340" s="143">
        <f>J1340*K1340</f>
        <v>11000</v>
      </c>
      <c r="M1340" s="143">
        <v>5500</v>
      </c>
      <c r="N1340" s="141">
        <v>46199</v>
      </c>
      <c r="O1340" s="157">
        <f>WEEKNUM(N1340)</f>
        <v>26</v>
      </c>
      <c r="P1340" s="140"/>
      <c r="Q1340" s="142" t="s">
        <v>29</v>
      </c>
      <c r="R1340" s="143">
        <f>PRODUCT(0.25*J1340)</f>
        <v>50</v>
      </c>
      <c r="S1340" s="143">
        <f>J1340*1.5</f>
        <v>300</v>
      </c>
      <c r="T1340" s="143">
        <f>J1340*1.5</f>
        <v>300</v>
      </c>
      <c r="U1340" s="143">
        <f>J1340*0.5</f>
        <v>100</v>
      </c>
      <c r="V1340" s="143">
        <f>U1340+T1340+S1340+R1340</f>
        <v>750</v>
      </c>
      <c r="W1340" s="138"/>
    </row>
    <row r="1341" spans="1:23" s="128" customFormat="1" ht="15.6" hidden="1" x14ac:dyDescent="0.3">
      <c r="A1341" s="142" t="s">
        <v>486</v>
      </c>
      <c r="B1341" s="142">
        <v>557</v>
      </c>
      <c r="C1341" s="141">
        <v>46157</v>
      </c>
      <c r="D1341" s="140">
        <f>WEEKNUM(C1341)</f>
        <v>20</v>
      </c>
      <c r="E1341" s="142" t="s">
        <v>68</v>
      </c>
      <c r="F1341" s="142" t="s">
        <v>391</v>
      </c>
      <c r="G1341" s="140" t="s">
        <v>356</v>
      </c>
      <c r="H1341" s="140" t="s">
        <v>321</v>
      </c>
      <c r="I1341" s="142" t="s">
        <v>46</v>
      </c>
      <c r="J1341" s="157">
        <v>6</v>
      </c>
      <c r="K1341" s="143">
        <v>85</v>
      </c>
      <c r="L1341" s="143">
        <f>J1341*K1341</f>
        <v>510</v>
      </c>
      <c r="M1341" s="156">
        <f>L1341</f>
        <v>510</v>
      </c>
      <c r="N1341" s="141">
        <v>46188</v>
      </c>
      <c r="O1341" s="157">
        <f>WEEKNUM(N1341)</f>
        <v>25</v>
      </c>
      <c r="P1341" s="140"/>
      <c r="Q1341" s="142" t="s">
        <v>29</v>
      </c>
      <c r="R1341" s="143">
        <f>PRODUCT(0.25*J1341)</f>
        <v>1.5</v>
      </c>
      <c r="S1341" s="143">
        <f>J1341*1.5</f>
        <v>9</v>
      </c>
      <c r="T1341" s="143">
        <f>J1341*1.5</f>
        <v>9</v>
      </c>
      <c r="U1341" s="143">
        <f>J1341*0.5</f>
        <v>3</v>
      </c>
      <c r="V1341" s="143">
        <f>U1341+T1341+S1341+R1341</f>
        <v>22.5</v>
      </c>
      <c r="W1341" s="138"/>
    </row>
    <row r="1342" spans="1:23" s="128" customFormat="1" ht="15.6" hidden="1" x14ac:dyDescent="0.3">
      <c r="A1342" s="142" t="s">
        <v>486</v>
      </c>
      <c r="B1342" s="142">
        <v>554</v>
      </c>
      <c r="C1342" s="141">
        <v>46157</v>
      </c>
      <c r="D1342" s="140">
        <f>WEEKNUM(C1342)</f>
        <v>20</v>
      </c>
      <c r="E1342" s="140" t="s">
        <v>475</v>
      </c>
      <c r="F1342" s="142" t="s">
        <v>97</v>
      </c>
      <c r="G1342" s="142" t="s">
        <v>218</v>
      </c>
      <c r="H1342" s="142" t="s">
        <v>74</v>
      </c>
      <c r="I1342" s="142" t="s">
        <v>46</v>
      </c>
      <c r="J1342" s="157">
        <v>115</v>
      </c>
      <c r="K1342" s="143">
        <v>27.5</v>
      </c>
      <c r="L1342" s="143">
        <f>J1342*K1342</f>
        <v>3162.5</v>
      </c>
      <c r="M1342" s="143">
        <f>L1342/2</f>
        <v>1581.25</v>
      </c>
      <c r="N1342" s="141">
        <v>46170</v>
      </c>
      <c r="O1342" s="157">
        <f>WEEKNUM(N1342)</f>
        <v>22</v>
      </c>
      <c r="P1342" s="140"/>
      <c r="Q1342" s="142" t="s">
        <v>29</v>
      </c>
      <c r="R1342" s="143">
        <f>PRODUCT(0.25*J1342)</f>
        <v>28.75</v>
      </c>
      <c r="S1342" s="143">
        <f>J1342*1.5</f>
        <v>172.5</v>
      </c>
      <c r="T1342" s="143">
        <f>J1342*1.5</f>
        <v>172.5</v>
      </c>
      <c r="U1342" s="143">
        <f>J1342*0.5</f>
        <v>57.5</v>
      </c>
      <c r="V1342" s="143">
        <f>U1342+T1342+S1342+R1342</f>
        <v>431.25</v>
      </c>
      <c r="W1342" s="138"/>
    </row>
    <row r="1343" spans="1:23" s="128" customFormat="1" ht="15.6" hidden="1" x14ac:dyDescent="0.3">
      <c r="A1343" s="142" t="s">
        <v>477</v>
      </c>
      <c r="B1343" s="142">
        <v>563</v>
      </c>
      <c r="C1343" s="141">
        <v>46160</v>
      </c>
      <c r="D1343" s="140">
        <v>21</v>
      </c>
      <c r="E1343" s="140" t="s">
        <v>475</v>
      </c>
      <c r="F1343" s="142" t="s">
        <v>679</v>
      </c>
      <c r="G1343" s="142" t="s">
        <v>495</v>
      </c>
      <c r="H1343" s="142" t="s">
        <v>494</v>
      </c>
      <c r="I1343" s="142" t="s">
        <v>46</v>
      </c>
      <c r="J1343" s="157">
        <v>75</v>
      </c>
      <c r="K1343" s="143">
        <v>28</v>
      </c>
      <c r="L1343" s="143">
        <f>K1343*J1343</f>
        <v>2100</v>
      </c>
      <c r="M1343" s="143">
        <f>L1343</f>
        <v>2100</v>
      </c>
      <c r="N1343" s="141">
        <v>46190</v>
      </c>
      <c r="O1343" s="164">
        <f>WEEKNUM(N1343)</f>
        <v>25</v>
      </c>
      <c r="P1343" s="140"/>
      <c r="Q1343" s="142" t="s">
        <v>29</v>
      </c>
      <c r="R1343" s="143">
        <f>PRODUCT(0.25*J1343)</f>
        <v>18.75</v>
      </c>
      <c r="S1343" s="143">
        <f>J1343*1.5</f>
        <v>112.5</v>
      </c>
      <c r="T1343" s="143">
        <f>J1343*1.5</f>
        <v>112.5</v>
      </c>
      <c r="U1343" s="143">
        <f>J1343*0.5</f>
        <v>37.5</v>
      </c>
      <c r="V1343" s="143">
        <f>U1343+T1343+S1343+R1343</f>
        <v>281.25</v>
      </c>
      <c r="W1343" s="138"/>
    </row>
    <row r="1344" spans="1:23" s="128" customFormat="1" ht="15.6" hidden="1" x14ac:dyDescent="0.3">
      <c r="A1344" s="142" t="s">
        <v>477</v>
      </c>
      <c r="B1344" s="142">
        <v>559</v>
      </c>
      <c r="C1344" s="141">
        <v>46160</v>
      </c>
      <c r="D1344" s="140">
        <f>WEEKNUM(C1344)</f>
        <v>21</v>
      </c>
      <c r="E1344" s="142" t="s">
        <v>498</v>
      </c>
      <c r="F1344" s="140" t="s">
        <v>637</v>
      </c>
      <c r="G1344" s="142" t="s">
        <v>559</v>
      </c>
      <c r="H1344" s="142" t="s">
        <v>38</v>
      </c>
      <c r="I1344" s="142" t="s">
        <v>61</v>
      </c>
      <c r="J1344" s="157">
        <v>145</v>
      </c>
      <c r="K1344" s="143">
        <v>45</v>
      </c>
      <c r="L1344" s="143">
        <f>J1344*K1344</f>
        <v>6525</v>
      </c>
      <c r="M1344" s="143">
        <f>L1344</f>
        <v>6525</v>
      </c>
      <c r="N1344" s="141">
        <v>46203</v>
      </c>
      <c r="O1344" s="157">
        <f>WEEKNUM(N1344)</f>
        <v>27</v>
      </c>
      <c r="P1344" s="140"/>
      <c r="Q1344" s="187" t="s">
        <v>29</v>
      </c>
      <c r="R1344" s="188">
        <f>PRODUCT(0.25*J1344)</f>
        <v>36.25</v>
      </c>
      <c r="S1344" s="143">
        <f>J1344*1.5</f>
        <v>217.5</v>
      </c>
      <c r="T1344" s="143">
        <f>J1344*1.5</f>
        <v>217.5</v>
      </c>
      <c r="U1344" s="143">
        <f>J1344*0.5</f>
        <v>72.5</v>
      </c>
      <c r="V1344" s="143">
        <f>U1344+T1344+S1344+R1344</f>
        <v>543.75</v>
      </c>
    </row>
    <row r="1345" spans="1:22" s="128" customFormat="1" ht="15.6" hidden="1" x14ac:dyDescent="0.3">
      <c r="A1345" s="142" t="s">
        <v>477</v>
      </c>
      <c r="B1345" s="142">
        <v>560</v>
      </c>
      <c r="C1345" s="141">
        <v>46160</v>
      </c>
      <c r="D1345" s="140">
        <f>WEEKNUM(C1345)</f>
        <v>21</v>
      </c>
      <c r="E1345" s="140" t="s">
        <v>475</v>
      </c>
      <c r="F1345" s="142" t="s">
        <v>525</v>
      </c>
      <c r="G1345" s="140" t="s">
        <v>480</v>
      </c>
      <c r="H1345" s="142" t="s">
        <v>51</v>
      </c>
      <c r="I1345" s="142" t="s">
        <v>46</v>
      </c>
      <c r="J1345" s="157">
        <v>100</v>
      </c>
      <c r="K1345" s="143">
        <v>19.7</v>
      </c>
      <c r="L1345" s="143">
        <f>J1345*K1345</f>
        <v>1970</v>
      </c>
      <c r="M1345" s="143">
        <v>1000</v>
      </c>
      <c r="N1345" s="141">
        <v>46189</v>
      </c>
      <c r="O1345" s="157">
        <f>WEEKNUM(N1345)</f>
        <v>25</v>
      </c>
      <c r="P1345" s="184"/>
      <c r="Q1345" s="142" t="s">
        <v>29</v>
      </c>
      <c r="R1345" s="143">
        <f>PRODUCT(0.25*J1345)</f>
        <v>25</v>
      </c>
      <c r="S1345" s="143">
        <f>J1345*1.5</f>
        <v>150</v>
      </c>
      <c r="T1345" s="143">
        <f>J1345*1.5</f>
        <v>150</v>
      </c>
      <c r="U1345" s="143">
        <f>J1345*0.5</f>
        <v>50</v>
      </c>
      <c r="V1345" s="143">
        <f>U1345+T1345+S1345+R1345</f>
        <v>375</v>
      </c>
    </row>
    <row r="1346" spans="1:22" s="128" customFormat="1" ht="15.6" hidden="1" x14ac:dyDescent="0.3">
      <c r="A1346" s="142" t="s">
        <v>477</v>
      </c>
      <c r="B1346" s="142">
        <v>564</v>
      </c>
      <c r="C1346" s="141">
        <v>46161</v>
      </c>
      <c r="D1346" s="140">
        <v>21</v>
      </c>
      <c r="E1346" s="142" t="s">
        <v>498</v>
      </c>
      <c r="F1346" s="140" t="s">
        <v>563</v>
      </c>
      <c r="G1346" s="142" t="s">
        <v>487</v>
      </c>
      <c r="H1346" s="142" t="s">
        <v>51</v>
      </c>
      <c r="I1346" s="142" t="s">
        <v>46</v>
      </c>
      <c r="J1346" s="164">
        <v>300</v>
      </c>
      <c r="K1346" s="165">
        <v>24.5</v>
      </c>
      <c r="L1346" s="165">
        <v>7350</v>
      </c>
      <c r="M1346" s="165">
        <v>7350</v>
      </c>
      <c r="N1346" s="141">
        <v>46188</v>
      </c>
      <c r="O1346" s="164">
        <f>WEEKNUM(N1346)</f>
        <v>25</v>
      </c>
      <c r="P1346" s="184"/>
      <c r="Q1346" s="142" t="s">
        <v>29</v>
      </c>
      <c r="R1346" s="143">
        <f>PRODUCT(0.25*J1346)</f>
        <v>75</v>
      </c>
      <c r="S1346" s="143">
        <f>J1346*1.5</f>
        <v>450</v>
      </c>
      <c r="T1346" s="143">
        <f>J1346*1.5</f>
        <v>450</v>
      </c>
      <c r="U1346" s="143">
        <f>J1346*0.5</f>
        <v>150</v>
      </c>
      <c r="V1346" s="143">
        <f>U1346+T1346+S1346+R1346</f>
        <v>1125</v>
      </c>
    </row>
    <row r="1347" spans="1:22" s="128" customFormat="1" ht="15.6" hidden="1" x14ac:dyDescent="0.3">
      <c r="A1347" s="142" t="s">
        <v>477</v>
      </c>
      <c r="B1347" s="142">
        <v>562</v>
      </c>
      <c r="C1347" s="141">
        <v>46161</v>
      </c>
      <c r="D1347" s="140">
        <f>WEEKNUM(C1347)</f>
        <v>21</v>
      </c>
      <c r="E1347" s="140" t="s">
        <v>475</v>
      </c>
      <c r="F1347" s="142" t="s">
        <v>683</v>
      </c>
      <c r="G1347" s="142" t="s">
        <v>529</v>
      </c>
      <c r="H1347" s="142" t="s">
        <v>494</v>
      </c>
      <c r="I1347" s="142" t="s">
        <v>46</v>
      </c>
      <c r="J1347" s="157">
        <v>10</v>
      </c>
      <c r="K1347" s="143">
        <v>55</v>
      </c>
      <c r="L1347" s="143">
        <f>K1347*J1347</f>
        <v>550</v>
      </c>
      <c r="M1347" s="143">
        <f>L1347</f>
        <v>550</v>
      </c>
      <c r="N1347" s="141">
        <v>46168</v>
      </c>
      <c r="O1347" s="245">
        <f>WEEKNUM(N1347)</f>
        <v>22</v>
      </c>
      <c r="P1347" s="140"/>
      <c r="Q1347" s="182" t="s">
        <v>29</v>
      </c>
      <c r="R1347" s="183">
        <f>PRODUCT(0.25*J1347)</f>
        <v>2.5</v>
      </c>
      <c r="S1347" s="143">
        <f>PRODUCT(0.25*J1347)</f>
        <v>2.5</v>
      </c>
      <c r="T1347" s="143">
        <f>J1347*1.5</f>
        <v>15</v>
      </c>
      <c r="U1347" s="143">
        <f>J1347*1.5</f>
        <v>15</v>
      </c>
      <c r="V1347" s="143">
        <f>J1347*0.5</f>
        <v>5</v>
      </c>
    </row>
    <row r="1348" spans="1:22" s="128" customFormat="1" ht="15.6" hidden="1" x14ac:dyDescent="0.3">
      <c r="A1348" s="142" t="s">
        <v>486</v>
      </c>
      <c r="B1348" s="142">
        <v>558</v>
      </c>
      <c r="C1348" s="141">
        <v>46161</v>
      </c>
      <c r="D1348" s="140">
        <v>21</v>
      </c>
      <c r="E1348" s="140" t="s">
        <v>475</v>
      </c>
      <c r="F1348" s="142" t="s">
        <v>968</v>
      </c>
      <c r="G1348" s="142" t="s">
        <v>515</v>
      </c>
      <c r="H1348" s="142" t="s">
        <v>60</v>
      </c>
      <c r="I1348" s="142" t="s">
        <v>61</v>
      </c>
      <c r="J1348" s="164">
        <v>100</v>
      </c>
      <c r="K1348" s="165">
        <v>23.87</v>
      </c>
      <c r="L1348" s="165">
        <v>2387</v>
      </c>
      <c r="M1348" s="165">
        <v>0</v>
      </c>
      <c r="N1348" s="141">
        <v>46190</v>
      </c>
      <c r="O1348" s="164">
        <f>WEEKNUM(N1348)</f>
        <v>25</v>
      </c>
      <c r="P1348" s="140"/>
      <c r="Q1348" s="142" t="s">
        <v>29</v>
      </c>
      <c r="R1348" s="143">
        <f>PRODUCT(0.25*J1348)</f>
        <v>25</v>
      </c>
      <c r="S1348" s="143">
        <f>J1348*1.5</f>
        <v>150</v>
      </c>
      <c r="T1348" s="143">
        <f>J1348*1.5</f>
        <v>150</v>
      </c>
      <c r="U1348" s="143">
        <f>J1348*0.5</f>
        <v>50</v>
      </c>
      <c r="V1348" s="143">
        <f>U1348+T1348+S1348+R1348</f>
        <v>375</v>
      </c>
    </row>
    <row r="1349" spans="1:22" s="128" customFormat="1" ht="15.6" hidden="1" x14ac:dyDescent="0.3">
      <c r="A1349" s="142" t="s">
        <v>477</v>
      </c>
      <c r="B1349" s="142">
        <v>568</v>
      </c>
      <c r="C1349" s="141">
        <v>46163</v>
      </c>
      <c r="D1349" s="140">
        <v>21</v>
      </c>
      <c r="E1349" s="140" t="s">
        <v>475</v>
      </c>
      <c r="F1349" s="142" t="s">
        <v>663</v>
      </c>
      <c r="G1349" s="142" t="s">
        <v>664</v>
      </c>
      <c r="H1349" s="142" t="s">
        <v>304</v>
      </c>
      <c r="I1349" s="142" t="s">
        <v>61</v>
      </c>
      <c r="J1349" s="157">
        <v>100</v>
      </c>
      <c r="K1349" s="143">
        <v>25</v>
      </c>
      <c r="L1349" s="143">
        <f>K1349*J1349</f>
        <v>2500</v>
      </c>
      <c r="M1349" s="143">
        <f>L1349</f>
        <v>2500</v>
      </c>
      <c r="N1349" s="141">
        <v>46192</v>
      </c>
      <c r="O1349" s="164">
        <f>WEEKNUM(N1349)</f>
        <v>25</v>
      </c>
      <c r="P1349" s="140"/>
      <c r="Q1349" s="142" t="s">
        <v>29</v>
      </c>
      <c r="R1349" s="143">
        <f>PRODUCT(0.25*J1349)</f>
        <v>25</v>
      </c>
      <c r="S1349" s="143">
        <f>J1349*1.5</f>
        <v>150</v>
      </c>
      <c r="T1349" s="143">
        <f>J1349*1.5</f>
        <v>150</v>
      </c>
      <c r="U1349" s="143">
        <f>J1349*0.5</f>
        <v>50</v>
      </c>
      <c r="V1349" s="143">
        <f>U1349+T1349+S1349+R1349</f>
        <v>375</v>
      </c>
    </row>
    <row r="1350" spans="1:22" s="128" customFormat="1" ht="15.6" hidden="1" x14ac:dyDescent="0.3">
      <c r="A1350" s="142" t="s">
        <v>477</v>
      </c>
      <c r="B1350" s="142">
        <v>566</v>
      </c>
      <c r="C1350" s="141">
        <v>46163</v>
      </c>
      <c r="D1350" s="140">
        <v>21</v>
      </c>
      <c r="E1350" s="142" t="s">
        <v>498</v>
      </c>
      <c r="F1350" s="140" t="s">
        <v>637</v>
      </c>
      <c r="G1350" s="142" t="s">
        <v>487</v>
      </c>
      <c r="H1350" s="142" t="s">
        <v>51</v>
      </c>
      <c r="I1350" s="142" t="s">
        <v>46</v>
      </c>
      <c r="J1350" s="157">
        <v>300</v>
      </c>
      <c r="K1350" s="143">
        <v>23.5</v>
      </c>
      <c r="L1350" s="143">
        <f>K1350*J1350</f>
        <v>7050</v>
      </c>
      <c r="M1350" s="143">
        <f>L1350</f>
        <v>7050</v>
      </c>
      <c r="N1350" s="141">
        <v>46188</v>
      </c>
      <c r="O1350" s="164">
        <f>WEEKNUM(N1350)</f>
        <v>25</v>
      </c>
      <c r="P1350" s="140"/>
      <c r="Q1350" s="142" t="s">
        <v>29</v>
      </c>
      <c r="R1350" s="143">
        <f>PRODUCT(0.25*J1350)</f>
        <v>75</v>
      </c>
      <c r="S1350" s="143">
        <f>J1350*1.5</f>
        <v>450</v>
      </c>
      <c r="T1350" s="143">
        <f>J1350*1.5</f>
        <v>450</v>
      </c>
      <c r="U1350" s="143">
        <f>J1350*0.5</f>
        <v>150</v>
      </c>
      <c r="V1350" s="143">
        <f>U1350+T1350+S1350+R1350</f>
        <v>1125</v>
      </c>
    </row>
    <row r="1351" spans="1:22" s="128" customFormat="1" ht="15.6" hidden="1" x14ac:dyDescent="0.3">
      <c r="A1351" s="142" t="s">
        <v>486</v>
      </c>
      <c r="B1351" s="142">
        <v>553</v>
      </c>
      <c r="C1351" s="141">
        <v>46163</v>
      </c>
      <c r="D1351" s="140">
        <v>21</v>
      </c>
      <c r="E1351" s="140" t="s">
        <v>475</v>
      </c>
      <c r="F1351" s="142" t="s">
        <v>451</v>
      </c>
      <c r="G1351" s="142" t="s">
        <v>487</v>
      </c>
      <c r="H1351" s="142" t="s">
        <v>51</v>
      </c>
      <c r="I1351" s="142" t="s">
        <v>46</v>
      </c>
      <c r="J1351" s="157">
        <v>100</v>
      </c>
      <c r="K1351" s="143">
        <v>23.5</v>
      </c>
      <c r="L1351" s="143">
        <f>K1351*J1351</f>
        <v>2350</v>
      </c>
      <c r="M1351" s="143">
        <f>L1351</f>
        <v>2350</v>
      </c>
      <c r="N1351" s="141">
        <v>46192</v>
      </c>
      <c r="O1351" s="164">
        <f>WEEKNUM(N1351)</f>
        <v>25</v>
      </c>
      <c r="P1351" s="174"/>
      <c r="Q1351" s="142" t="s">
        <v>29</v>
      </c>
      <c r="R1351" s="143">
        <f>PRODUCT(0.25*J1351)</f>
        <v>25</v>
      </c>
      <c r="S1351" s="143">
        <f>PRODUCT(0.25*J1351)</f>
        <v>25</v>
      </c>
      <c r="T1351" s="143">
        <f>J1351*1.5</f>
        <v>150</v>
      </c>
      <c r="U1351" s="143">
        <f>J1351*1.5</f>
        <v>150</v>
      </c>
      <c r="V1351" s="143">
        <f>J1351*0.5</f>
        <v>50</v>
      </c>
    </row>
    <row r="1352" spans="1:22" s="128" customFormat="1" ht="15.6" hidden="1" x14ac:dyDescent="0.3">
      <c r="A1352" s="142" t="s">
        <v>477</v>
      </c>
      <c r="B1352" s="142">
        <v>567</v>
      </c>
      <c r="C1352" s="141">
        <v>46163</v>
      </c>
      <c r="D1352" s="140">
        <v>21</v>
      </c>
      <c r="E1352" s="140" t="s">
        <v>478</v>
      </c>
      <c r="F1352" s="140" t="s">
        <v>444</v>
      </c>
      <c r="G1352" s="130" t="s">
        <v>638</v>
      </c>
      <c r="H1352" s="142" t="s">
        <v>60</v>
      </c>
      <c r="I1352" s="142" t="s">
        <v>61</v>
      </c>
      <c r="J1352" s="157">
        <v>300</v>
      </c>
      <c r="K1352" s="143">
        <v>23</v>
      </c>
      <c r="L1352" s="143">
        <f>K1352*J1352</f>
        <v>6900</v>
      </c>
      <c r="M1352" s="143">
        <v>0</v>
      </c>
      <c r="N1352" s="141">
        <v>46189</v>
      </c>
      <c r="O1352" s="164">
        <f>WEEKNUM(N1352)</f>
        <v>25</v>
      </c>
      <c r="P1352" s="174"/>
      <c r="Q1352" s="142" t="s">
        <v>29</v>
      </c>
      <c r="R1352" s="143">
        <f>PRODUCT(0.25*J1352)</f>
        <v>75</v>
      </c>
      <c r="S1352" s="143">
        <f>J1352*1.5</f>
        <v>450</v>
      </c>
      <c r="T1352" s="143">
        <f>J1352*1.5</f>
        <v>450</v>
      </c>
      <c r="U1352" s="143">
        <f>J1352*0.5</f>
        <v>150</v>
      </c>
      <c r="V1352" s="143">
        <f>U1352+T1352+S1352+R1352</f>
        <v>1125</v>
      </c>
    </row>
    <row r="1353" spans="1:22" s="128" customFormat="1" ht="15.6" hidden="1" x14ac:dyDescent="0.3">
      <c r="A1353" s="142" t="s">
        <v>486</v>
      </c>
      <c r="B1353" s="142">
        <v>561</v>
      </c>
      <c r="C1353" s="141">
        <v>46164</v>
      </c>
      <c r="D1353" s="140">
        <v>21</v>
      </c>
      <c r="E1353" s="140" t="s">
        <v>475</v>
      </c>
      <c r="F1353" s="142" t="s">
        <v>685</v>
      </c>
      <c r="G1353" s="142" t="s">
        <v>311</v>
      </c>
      <c r="H1353" s="142" t="s">
        <v>51</v>
      </c>
      <c r="I1353" s="142" t="s">
        <v>46</v>
      </c>
      <c r="J1353" s="157">
        <v>100</v>
      </c>
      <c r="K1353" s="143">
        <v>17</v>
      </c>
      <c r="L1353" s="143">
        <f>K1353*J1353</f>
        <v>1700</v>
      </c>
      <c r="M1353" s="143">
        <f>L1353</f>
        <v>1700</v>
      </c>
      <c r="N1353" s="141">
        <v>46192</v>
      </c>
      <c r="O1353" s="164">
        <f>WEEKNUM(N1353)</f>
        <v>25</v>
      </c>
      <c r="P1353" s="174"/>
      <c r="Q1353" s="142" t="s">
        <v>29</v>
      </c>
      <c r="R1353" s="143">
        <f>PRODUCT(0.25*J1353)</f>
        <v>25</v>
      </c>
      <c r="S1353" s="143">
        <f>PRODUCT(0.25*J1353)</f>
        <v>25</v>
      </c>
      <c r="T1353" s="143">
        <f>J1353*1.5</f>
        <v>150</v>
      </c>
      <c r="U1353" s="143">
        <f>J1353*1.5</f>
        <v>150</v>
      </c>
      <c r="V1353" s="143">
        <f>J1353*0.5</f>
        <v>50</v>
      </c>
    </row>
    <row r="1354" spans="1:22" s="128" customFormat="1" ht="15.6" hidden="1" x14ac:dyDescent="0.3">
      <c r="A1354" s="182" t="s">
        <v>486</v>
      </c>
      <c r="B1354" s="182">
        <v>561</v>
      </c>
      <c r="C1354" s="200">
        <v>46164</v>
      </c>
      <c r="D1354" s="144">
        <v>21</v>
      </c>
      <c r="E1354" s="144" t="s">
        <v>475</v>
      </c>
      <c r="F1354" s="142" t="s">
        <v>685</v>
      </c>
      <c r="G1354" s="182" t="s">
        <v>546</v>
      </c>
      <c r="H1354" s="182" t="s">
        <v>494</v>
      </c>
      <c r="I1354" s="182" t="s">
        <v>46</v>
      </c>
      <c r="J1354" s="189">
        <v>50</v>
      </c>
      <c r="K1354" s="183">
        <v>18.5</v>
      </c>
      <c r="L1354" s="183">
        <f>K1354*J1354</f>
        <v>925</v>
      </c>
      <c r="M1354" s="183">
        <f>L1354</f>
        <v>925</v>
      </c>
      <c r="N1354" s="200">
        <v>46192</v>
      </c>
      <c r="O1354" s="164">
        <f>WEEKNUM(N1354)</f>
        <v>25</v>
      </c>
      <c r="P1354" s="203"/>
      <c r="Q1354" s="142" t="s">
        <v>29</v>
      </c>
      <c r="R1354" s="143">
        <f>PRODUCT(0.25*J1354)</f>
        <v>12.5</v>
      </c>
      <c r="S1354" s="143">
        <f>PRODUCT(0.25*J1354)</f>
        <v>12.5</v>
      </c>
      <c r="T1354" s="143">
        <f>J1354*1.5</f>
        <v>75</v>
      </c>
      <c r="U1354" s="143">
        <f>J1354*1.5</f>
        <v>75</v>
      </c>
      <c r="V1354" s="143">
        <f>J1354*0.5</f>
        <v>25</v>
      </c>
    </row>
    <row r="1355" spans="1:22" s="128" customFormat="1" ht="15.6" hidden="1" x14ac:dyDescent="0.3">
      <c r="A1355" s="182" t="s">
        <v>486</v>
      </c>
      <c r="B1355" s="182">
        <v>561</v>
      </c>
      <c r="C1355" s="200">
        <v>46164</v>
      </c>
      <c r="D1355" s="144">
        <v>21</v>
      </c>
      <c r="E1355" s="140" t="s">
        <v>475</v>
      </c>
      <c r="F1355" s="182" t="s">
        <v>685</v>
      </c>
      <c r="G1355" s="142" t="s">
        <v>686</v>
      </c>
      <c r="H1355" s="182" t="s">
        <v>555</v>
      </c>
      <c r="I1355" s="182" t="s">
        <v>46</v>
      </c>
      <c r="J1355" s="189">
        <v>10</v>
      </c>
      <c r="K1355" s="183">
        <v>55</v>
      </c>
      <c r="L1355" s="183">
        <f>K1355*J1355</f>
        <v>550</v>
      </c>
      <c r="M1355" s="183">
        <f>L1355</f>
        <v>550</v>
      </c>
      <c r="N1355" s="200">
        <v>46192</v>
      </c>
      <c r="O1355" s="164">
        <f>WEEKNUM(N1355)</f>
        <v>25</v>
      </c>
      <c r="P1355" s="203"/>
      <c r="Q1355" s="142" t="s">
        <v>29</v>
      </c>
      <c r="R1355" s="143">
        <f>PRODUCT(0.25*J1355)</f>
        <v>2.5</v>
      </c>
      <c r="S1355" s="143">
        <f>PRODUCT(0.25*J1355)</f>
        <v>2.5</v>
      </c>
      <c r="T1355" s="143">
        <f>J1355*1.5</f>
        <v>15</v>
      </c>
      <c r="U1355" s="143">
        <f>J1355*1.5</f>
        <v>15</v>
      </c>
      <c r="V1355" s="143">
        <f>J1355*0.5</f>
        <v>5</v>
      </c>
    </row>
    <row r="1356" spans="1:22" s="128" customFormat="1" ht="15.6" hidden="1" x14ac:dyDescent="0.3">
      <c r="A1356" s="182" t="s">
        <v>477</v>
      </c>
      <c r="B1356" s="182">
        <v>569</v>
      </c>
      <c r="C1356" s="200">
        <v>46164</v>
      </c>
      <c r="D1356" s="144">
        <v>21</v>
      </c>
      <c r="E1356" s="144" t="s">
        <v>475</v>
      </c>
      <c r="F1356" s="182" t="s">
        <v>740</v>
      </c>
      <c r="G1356" s="142" t="s">
        <v>218</v>
      </c>
      <c r="H1356" s="182" t="s">
        <v>74</v>
      </c>
      <c r="I1356" s="182" t="s">
        <v>46</v>
      </c>
      <c r="J1356" s="189">
        <v>100</v>
      </c>
      <c r="K1356" s="183">
        <v>26.5</v>
      </c>
      <c r="L1356" s="183">
        <f>K1356*J1356</f>
        <v>2650</v>
      </c>
      <c r="M1356" s="143">
        <f>L1356</f>
        <v>2650</v>
      </c>
      <c r="N1356" s="200">
        <v>46195</v>
      </c>
      <c r="O1356" s="164">
        <f>WEEKNUM(N1356)</f>
        <v>26</v>
      </c>
      <c r="P1356" s="203"/>
      <c r="Q1356" s="142" t="s">
        <v>29</v>
      </c>
      <c r="R1356" s="143">
        <f>PRODUCT(0.25*J1356)</f>
        <v>25</v>
      </c>
      <c r="S1356" s="143">
        <f>PRODUCT(0.25*J1356)</f>
        <v>25</v>
      </c>
      <c r="T1356" s="143">
        <f>J1356*1.5</f>
        <v>150</v>
      </c>
      <c r="U1356" s="143">
        <f>J1356*1.5</f>
        <v>150</v>
      </c>
      <c r="V1356" s="143">
        <f>J1356*0.5</f>
        <v>50</v>
      </c>
    </row>
    <row r="1357" spans="1:22" s="128" customFormat="1" ht="15.6" hidden="1" x14ac:dyDescent="0.3">
      <c r="A1357" s="182" t="s">
        <v>477</v>
      </c>
      <c r="B1357" s="182">
        <v>569</v>
      </c>
      <c r="C1357" s="200">
        <v>46164</v>
      </c>
      <c r="D1357" s="144">
        <v>21</v>
      </c>
      <c r="E1357" s="144" t="s">
        <v>475</v>
      </c>
      <c r="F1357" s="182" t="s">
        <v>740</v>
      </c>
      <c r="G1357" s="142" t="s">
        <v>311</v>
      </c>
      <c r="H1357" s="182" t="s">
        <v>51</v>
      </c>
      <c r="I1357" s="182" t="s">
        <v>46</v>
      </c>
      <c r="J1357" s="189">
        <v>100</v>
      </c>
      <c r="K1357" s="183">
        <v>17</v>
      </c>
      <c r="L1357" s="183">
        <f>K1357*J1357</f>
        <v>1700</v>
      </c>
      <c r="M1357" s="143">
        <f>L1357</f>
        <v>1700</v>
      </c>
      <c r="N1357" s="200">
        <v>46195</v>
      </c>
      <c r="O1357" s="164">
        <f>WEEKNUM(N1357)</f>
        <v>26</v>
      </c>
      <c r="P1357" s="203"/>
      <c r="Q1357" s="142" t="s">
        <v>29</v>
      </c>
      <c r="R1357" s="143">
        <f>PRODUCT(0.25*J1357)</f>
        <v>25</v>
      </c>
      <c r="S1357" s="143">
        <f>PRODUCT(0.25*J1357)</f>
        <v>25</v>
      </c>
      <c r="T1357" s="143">
        <f>J1357*1.5</f>
        <v>150</v>
      </c>
      <c r="U1357" s="143">
        <f>J1357*1.5</f>
        <v>150</v>
      </c>
      <c r="V1357" s="143">
        <f>J1357*0.5</f>
        <v>50</v>
      </c>
    </row>
    <row r="1358" spans="1:22" s="128" customFormat="1" ht="15.6" hidden="1" x14ac:dyDescent="0.3">
      <c r="A1358" s="182" t="s">
        <v>477</v>
      </c>
      <c r="B1358" s="182">
        <v>569</v>
      </c>
      <c r="C1358" s="200">
        <v>46164</v>
      </c>
      <c r="D1358" s="144">
        <v>21</v>
      </c>
      <c r="E1358" s="140" t="s">
        <v>475</v>
      </c>
      <c r="F1358" s="182" t="s">
        <v>740</v>
      </c>
      <c r="G1358" s="142" t="s">
        <v>554</v>
      </c>
      <c r="H1358" s="182" t="s">
        <v>555</v>
      </c>
      <c r="I1358" s="182" t="s">
        <v>46</v>
      </c>
      <c r="J1358" s="189">
        <v>100</v>
      </c>
      <c r="K1358" s="183">
        <v>28</v>
      </c>
      <c r="L1358" s="183">
        <f>K1358*J1358</f>
        <v>2800</v>
      </c>
      <c r="M1358" s="183">
        <f>L1358</f>
        <v>2800</v>
      </c>
      <c r="N1358" s="200">
        <v>46195</v>
      </c>
      <c r="O1358" s="164">
        <f>WEEKNUM(N1358)</f>
        <v>26</v>
      </c>
      <c r="P1358" s="203"/>
      <c r="Q1358" s="142" t="s">
        <v>29</v>
      </c>
      <c r="R1358" s="143">
        <f>PRODUCT(0.25*J1358)</f>
        <v>25</v>
      </c>
      <c r="S1358" s="143">
        <f>PRODUCT(0.25*J1358)</f>
        <v>25</v>
      </c>
      <c r="T1358" s="143">
        <f>J1358*1.5</f>
        <v>150</v>
      </c>
      <c r="U1358" s="143">
        <f>J1358*1.5</f>
        <v>150</v>
      </c>
      <c r="V1358" s="143">
        <f>J1358*0.5</f>
        <v>50</v>
      </c>
    </row>
    <row r="1359" spans="1:22" s="128" customFormat="1" ht="15.6" hidden="1" x14ac:dyDescent="0.3">
      <c r="A1359" s="182" t="s">
        <v>477</v>
      </c>
      <c r="B1359" s="182">
        <v>570</v>
      </c>
      <c r="C1359" s="200">
        <v>46167</v>
      </c>
      <c r="D1359" s="144">
        <f>WEEKNUM(C1359)</f>
        <v>22</v>
      </c>
      <c r="E1359" s="144" t="s">
        <v>475</v>
      </c>
      <c r="F1359" s="144" t="s">
        <v>568</v>
      </c>
      <c r="G1359" s="142" t="s">
        <v>36</v>
      </c>
      <c r="H1359" s="182" t="s">
        <v>74</v>
      </c>
      <c r="I1359" s="182" t="s">
        <v>46</v>
      </c>
      <c r="J1359" s="189">
        <v>40</v>
      </c>
      <c r="K1359" s="183">
        <v>27.5</v>
      </c>
      <c r="L1359" s="183">
        <f>K1359*J1359</f>
        <v>1100</v>
      </c>
      <c r="M1359" s="143">
        <f>L1359</f>
        <v>1100</v>
      </c>
      <c r="N1359" s="200">
        <v>46182</v>
      </c>
      <c r="O1359" s="157">
        <f>WEEKNUM(N1359)</f>
        <v>24</v>
      </c>
      <c r="P1359" s="203"/>
      <c r="Q1359" s="142" t="s">
        <v>29</v>
      </c>
      <c r="R1359" s="143">
        <f>PRODUCT(0.25*J1359)</f>
        <v>10</v>
      </c>
      <c r="S1359" s="143">
        <f>PRODUCT(0.25*J1359)</f>
        <v>10</v>
      </c>
      <c r="T1359" s="143">
        <f>J1359*1.5</f>
        <v>60</v>
      </c>
      <c r="U1359" s="143">
        <f>J1359*1.5</f>
        <v>60</v>
      </c>
      <c r="V1359" s="143">
        <f>J1359*0.5</f>
        <v>20</v>
      </c>
    </row>
    <row r="1360" spans="1:22" s="128" customFormat="1" ht="15.6" hidden="1" x14ac:dyDescent="0.3">
      <c r="A1360" s="182" t="s">
        <v>477</v>
      </c>
      <c r="B1360" s="182">
        <v>572</v>
      </c>
      <c r="C1360" s="200">
        <v>46168</v>
      </c>
      <c r="D1360" s="144">
        <f>WEEKNUM(C1360)</f>
        <v>22</v>
      </c>
      <c r="E1360" s="144" t="s">
        <v>475</v>
      </c>
      <c r="F1360" s="142" t="s">
        <v>754</v>
      </c>
      <c r="G1360" s="182" t="s">
        <v>311</v>
      </c>
      <c r="H1360" s="182" t="s">
        <v>51</v>
      </c>
      <c r="I1360" s="182" t="s">
        <v>46</v>
      </c>
      <c r="J1360" s="189">
        <v>300</v>
      </c>
      <c r="K1360" s="183">
        <v>18</v>
      </c>
      <c r="L1360" s="183">
        <f>K1360*J1360</f>
        <v>5400</v>
      </c>
      <c r="M1360" s="143">
        <f>L1360</f>
        <v>5400</v>
      </c>
      <c r="N1360" s="200">
        <v>46197</v>
      </c>
      <c r="O1360" s="157">
        <f>WEEKNUM(N1360)</f>
        <v>26</v>
      </c>
      <c r="P1360" s="203"/>
      <c r="Q1360" s="142" t="s">
        <v>29</v>
      </c>
      <c r="R1360" s="143">
        <f>PRODUCT(0.25*J1360)</f>
        <v>75</v>
      </c>
      <c r="S1360" s="143">
        <f>PRODUCT(0.25*J1360)</f>
        <v>75</v>
      </c>
      <c r="T1360" s="143">
        <f>J1360*1.5</f>
        <v>450</v>
      </c>
      <c r="U1360" s="143">
        <f>J1360*1.5</f>
        <v>450</v>
      </c>
      <c r="V1360" s="143">
        <f>J1360*0.5</f>
        <v>150</v>
      </c>
    </row>
    <row r="1361" spans="1:22" s="128" customFormat="1" ht="15.6" hidden="1" x14ac:dyDescent="0.3">
      <c r="A1361" s="182" t="s">
        <v>477</v>
      </c>
      <c r="B1361" s="182">
        <v>573</v>
      </c>
      <c r="C1361" s="200">
        <v>46168</v>
      </c>
      <c r="D1361" s="144">
        <f>WEEKNUM(C1361)</f>
        <v>22</v>
      </c>
      <c r="E1361" s="182" t="s">
        <v>55</v>
      </c>
      <c r="F1361" s="142" t="s">
        <v>1003</v>
      </c>
      <c r="G1361" s="142" t="s">
        <v>1004</v>
      </c>
      <c r="H1361" s="182" t="s">
        <v>304</v>
      </c>
      <c r="I1361" s="182" t="s">
        <v>61</v>
      </c>
      <c r="J1361" s="189">
        <v>150</v>
      </c>
      <c r="K1361" s="183">
        <v>13.34</v>
      </c>
      <c r="L1361" s="183">
        <v>2000</v>
      </c>
      <c r="M1361" s="143">
        <f>L1361</f>
        <v>2000</v>
      </c>
      <c r="N1361" s="200">
        <v>46183</v>
      </c>
      <c r="O1361" s="157">
        <f>WEEKNUM(N1361)</f>
        <v>24</v>
      </c>
      <c r="P1361" s="203"/>
      <c r="Q1361" s="142" t="s">
        <v>29</v>
      </c>
      <c r="R1361" s="143">
        <f>PRODUCT(0.25*J1361)</f>
        <v>37.5</v>
      </c>
      <c r="S1361" s="143">
        <f>PRODUCT(0.25*J1361)</f>
        <v>37.5</v>
      </c>
      <c r="T1361" s="143">
        <f>J1361*1.5</f>
        <v>225</v>
      </c>
      <c r="U1361" s="143">
        <f>J1361*1.5</f>
        <v>225</v>
      </c>
      <c r="V1361" s="143">
        <f>J1361*0.5</f>
        <v>75</v>
      </c>
    </row>
    <row r="1362" spans="1:22" s="128" customFormat="1" ht="15.6" hidden="1" x14ac:dyDescent="0.3">
      <c r="A1362" s="182" t="s">
        <v>477</v>
      </c>
      <c r="B1362" s="182">
        <v>220</v>
      </c>
      <c r="C1362" s="200">
        <v>46169</v>
      </c>
      <c r="D1362" s="144">
        <f>WEEKNUM(C1362)</f>
        <v>22</v>
      </c>
      <c r="E1362" s="182" t="s">
        <v>498</v>
      </c>
      <c r="F1362" s="144" t="s">
        <v>446</v>
      </c>
      <c r="G1362" s="142" t="s">
        <v>487</v>
      </c>
      <c r="H1362" s="182" t="s">
        <v>51</v>
      </c>
      <c r="I1362" s="182" t="s">
        <v>46</v>
      </c>
      <c r="J1362" s="189">
        <v>2000</v>
      </c>
      <c r="K1362" s="183">
        <v>23.5</v>
      </c>
      <c r="L1362" s="183">
        <f>K1362*J1362</f>
        <v>47000</v>
      </c>
      <c r="M1362" s="143">
        <f>L1362</f>
        <v>47000</v>
      </c>
      <c r="N1362" s="200">
        <v>46209</v>
      </c>
      <c r="O1362" s="157">
        <f>WEEKNUM(N1362)</f>
        <v>28</v>
      </c>
      <c r="P1362" s="203"/>
      <c r="Q1362" s="142" t="s">
        <v>29</v>
      </c>
      <c r="R1362" s="143">
        <f>PRODUCT(0.25*J1362)</f>
        <v>500</v>
      </c>
      <c r="S1362" s="143">
        <f>PRODUCT(0.25*J1362)</f>
        <v>500</v>
      </c>
      <c r="T1362" s="143">
        <f>J1362*1.5</f>
        <v>3000</v>
      </c>
      <c r="U1362" s="143">
        <f>J1362*1.5</f>
        <v>3000</v>
      </c>
      <c r="V1362" s="143">
        <f>J1362*0.5</f>
        <v>1000</v>
      </c>
    </row>
    <row r="1363" spans="1:22" s="128" customFormat="1" ht="15.6" hidden="1" x14ac:dyDescent="0.3">
      <c r="A1363" s="182" t="s">
        <v>477</v>
      </c>
      <c r="B1363" s="182">
        <v>574</v>
      </c>
      <c r="C1363" s="200">
        <v>46170</v>
      </c>
      <c r="D1363" s="144">
        <f>WEEKNUM(C1363)</f>
        <v>22</v>
      </c>
      <c r="E1363" s="140" t="s">
        <v>475</v>
      </c>
      <c r="F1363" s="140" t="s">
        <v>761</v>
      </c>
      <c r="G1363" s="142" t="s">
        <v>771</v>
      </c>
      <c r="H1363" s="182" t="s">
        <v>60</v>
      </c>
      <c r="I1363" s="182" t="s">
        <v>61</v>
      </c>
      <c r="J1363" s="189">
        <v>2000</v>
      </c>
      <c r="K1363" s="183">
        <v>14.25</v>
      </c>
      <c r="L1363" s="183">
        <f>K1363*J1363</f>
        <v>28500</v>
      </c>
      <c r="M1363" s="143">
        <f>L1363</f>
        <v>28500</v>
      </c>
      <c r="N1363" s="200">
        <v>46199</v>
      </c>
      <c r="O1363" s="157">
        <f>WEEKNUM(N1363)</f>
        <v>26</v>
      </c>
      <c r="P1363" s="203"/>
      <c r="Q1363" s="142" t="s">
        <v>29</v>
      </c>
      <c r="R1363" s="143">
        <f>PRODUCT(0.25*J1363)</f>
        <v>500</v>
      </c>
      <c r="S1363" s="143">
        <f>PRODUCT(0.25*J1363)</f>
        <v>500</v>
      </c>
      <c r="T1363" s="143">
        <f>J1363*1.5</f>
        <v>3000</v>
      </c>
      <c r="U1363" s="143">
        <f>J1363*1.5</f>
        <v>3000</v>
      </c>
      <c r="V1363" s="143">
        <f>J1363*0.5</f>
        <v>1000</v>
      </c>
    </row>
    <row r="1364" spans="1:22" s="128" customFormat="1" ht="15.6" hidden="1" x14ac:dyDescent="0.3">
      <c r="A1364" s="182" t="s">
        <v>486</v>
      </c>
      <c r="B1364" s="182">
        <v>575</v>
      </c>
      <c r="C1364" s="200">
        <v>46170</v>
      </c>
      <c r="D1364" s="144">
        <f>WEEKNUM(C1364)</f>
        <v>22</v>
      </c>
      <c r="E1364" s="182" t="s">
        <v>68</v>
      </c>
      <c r="F1364" s="182" t="s">
        <v>400</v>
      </c>
      <c r="G1364" s="142" t="s">
        <v>301</v>
      </c>
      <c r="H1364" s="142" t="s">
        <v>74</v>
      </c>
      <c r="I1364" s="182" t="s">
        <v>46</v>
      </c>
      <c r="J1364" s="189">
        <v>4</v>
      </c>
      <c r="K1364" s="183">
        <v>36.75</v>
      </c>
      <c r="L1364" s="183">
        <f>K1364*J1364</f>
        <v>147</v>
      </c>
      <c r="M1364" s="156">
        <f>L1364</f>
        <v>147</v>
      </c>
      <c r="N1364" s="200">
        <v>46170</v>
      </c>
      <c r="O1364" s="157">
        <f>WEEKNUM(N1364)</f>
        <v>22</v>
      </c>
      <c r="P1364" s="203"/>
      <c r="Q1364" s="142" t="s">
        <v>29</v>
      </c>
      <c r="R1364" s="143">
        <f>PRODUCT(0.25*J1364)</f>
        <v>1</v>
      </c>
      <c r="S1364" s="143">
        <f>PRODUCT(0.25*J1364)</f>
        <v>1</v>
      </c>
      <c r="T1364" s="143">
        <f>J1364*1.5</f>
        <v>6</v>
      </c>
      <c r="U1364" s="143">
        <f>J1364*1.5</f>
        <v>6</v>
      </c>
      <c r="V1364" s="143">
        <f>J1364*0.5</f>
        <v>2</v>
      </c>
    </row>
    <row r="1365" spans="1:22" s="128" customFormat="1" ht="15.6" hidden="1" x14ac:dyDescent="0.3">
      <c r="A1365" s="182" t="s">
        <v>486</v>
      </c>
      <c r="B1365" s="182">
        <v>575</v>
      </c>
      <c r="C1365" s="200">
        <v>46170</v>
      </c>
      <c r="D1365" s="144">
        <f>WEEKNUM(C1365)</f>
        <v>22</v>
      </c>
      <c r="E1365" s="182" t="s">
        <v>68</v>
      </c>
      <c r="F1365" s="182" t="s">
        <v>400</v>
      </c>
      <c r="G1365" s="142" t="s">
        <v>311</v>
      </c>
      <c r="H1365" s="182" t="s">
        <v>51</v>
      </c>
      <c r="I1365" s="182" t="s">
        <v>46</v>
      </c>
      <c r="J1365" s="189">
        <v>1</v>
      </c>
      <c r="K1365" s="183">
        <v>25</v>
      </c>
      <c r="L1365" s="183">
        <f>K1365*J1365</f>
        <v>25</v>
      </c>
      <c r="M1365" s="156">
        <f>L1365</f>
        <v>25</v>
      </c>
      <c r="N1365" s="200">
        <v>46170</v>
      </c>
      <c r="O1365" s="157">
        <f>WEEKNUM(N1365)</f>
        <v>22</v>
      </c>
      <c r="P1365" s="203"/>
      <c r="Q1365" s="142" t="s">
        <v>29</v>
      </c>
      <c r="R1365" s="143">
        <f>PRODUCT(0.25*J1365)</f>
        <v>0.25</v>
      </c>
      <c r="S1365" s="143">
        <f>PRODUCT(0.25*J1365)</f>
        <v>0.25</v>
      </c>
      <c r="T1365" s="143">
        <f>J1365*1.5</f>
        <v>1.5</v>
      </c>
      <c r="U1365" s="143">
        <f>J1365*1.5</f>
        <v>1.5</v>
      </c>
      <c r="V1365" s="143">
        <f>J1365*0.5</f>
        <v>0.5</v>
      </c>
    </row>
    <row r="1366" spans="1:22" s="128" customFormat="1" ht="15.6" hidden="1" x14ac:dyDescent="0.3">
      <c r="A1366" s="182" t="s">
        <v>486</v>
      </c>
      <c r="B1366" s="182">
        <v>575</v>
      </c>
      <c r="C1366" s="200">
        <v>46170</v>
      </c>
      <c r="D1366" s="144">
        <f>WEEKNUM(C1366)</f>
        <v>22</v>
      </c>
      <c r="E1366" s="182" t="s">
        <v>68</v>
      </c>
      <c r="F1366" s="182" t="s">
        <v>400</v>
      </c>
      <c r="G1366" s="142" t="s">
        <v>408</v>
      </c>
      <c r="H1366" s="182" t="s">
        <v>80</v>
      </c>
      <c r="I1366" s="182" t="s">
        <v>46</v>
      </c>
      <c r="J1366" s="189">
        <v>2</v>
      </c>
      <c r="K1366" s="183">
        <v>21</v>
      </c>
      <c r="L1366" s="183">
        <f>K1366*J1366</f>
        <v>42</v>
      </c>
      <c r="M1366" s="156">
        <f>L1366</f>
        <v>42</v>
      </c>
      <c r="N1366" s="200">
        <v>46170</v>
      </c>
      <c r="O1366" s="157">
        <f>WEEKNUM(N1366)</f>
        <v>22</v>
      </c>
      <c r="P1366" s="203"/>
      <c r="Q1366" s="142" t="s">
        <v>29</v>
      </c>
      <c r="R1366" s="143">
        <f>PRODUCT(0.25*J1366)</f>
        <v>0.5</v>
      </c>
      <c r="S1366" s="143">
        <f>PRODUCT(0.25*J1366)</f>
        <v>0.5</v>
      </c>
      <c r="T1366" s="143">
        <f>J1366*1.5</f>
        <v>3</v>
      </c>
      <c r="U1366" s="143">
        <f>J1366*1.5</f>
        <v>3</v>
      </c>
      <c r="V1366" s="143">
        <f>J1366*0.5</f>
        <v>1</v>
      </c>
    </row>
    <row r="1367" spans="1:22" s="128" customFormat="1" ht="15.6" hidden="1" x14ac:dyDescent="0.3">
      <c r="A1367" s="182" t="s">
        <v>486</v>
      </c>
      <c r="B1367" s="182">
        <v>577</v>
      </c>
      <c r="C1367" s="200">
        <v>46171</v>
      </c>
      <c r="D1367" s="144">
        <f>WEEKNUM(C1367)</f>
        <v>22</v>
      </c>
      <c r="E1367" s="144" t="s">
        <v>475</v>
      </c>
      <c r="F1367" s="140" t="s">
        <v>869</v>
      </c>
      <c r="G1367" s="142" t="s">
        <v>311</v>
      </c>
      <c r="H1367" s="182" t="s">
        <v>51</v>
      </c>
      <c r="I1367" s="182" t="s">
        <v>46</v>
      </c>
      <c r="J1367" s="189">
        <v>100</v>
      </c>
      <c r="K1367" s="183">
        <v>17.7</v>
      </c>
      <c r="L1367" s="183">
        <f>K1367*J1367</f>
        <v>1770</v>
      </c>
      <c r="M1367" s="143">
        <v>0</v>
      </c>
      <c r="N1367" s="200">
        <v>46202</v>
      </c>
      <c r="O1367" s="157">
        <f>WEEKNUM(N1367)</f>
        <v>27</v>
      </c>
      <c r="P1367" s="203"/>
      <c r="Q1367" s="142" t="s">
        <v>29</v>
      </c>
      <c r="R1367" s="143">
        <f>PRODUCT(0.25*J1367)</f>
        <v>25</v>
      </c>
      <c r="S1367" s="143">
        <f>PRODUCT(0.25*J1367)</f>
        <v>25</v>
      </c>
      <c r="T1367" s="143">
        <f>J1367*1.5</f>
        <v>150</v>
      </c>
      <c r="U1367" s="143">
        <f>J1367*1.5</f>
        <v>150</v>
      </c>
      <c r="V1367" s="143">
        <f>J1367*0.5</f>
        <v>50</v>
      </c>
    </row>
    <row r="1368" spans="1:22" s="128" customFormat="1" ht="15.6" hidden="1" x14ac:dyDescent="0.3">
      <c r="A1368" s="134" t="s">
        <v>486</v>
      </c>
      <c r="B1368" s="137">
        <v>576</v>
      </c>
      <c r="C1368" s="135">
        <v>46171</v>
      </c>
      <c r="D1368" s="240">
        <v>33</v>
      </c>
      <c r="E1368" s="137" t="s">
        <v>68</v>
      </c>
      <c r="F1368" s="130" t="s">
        <v>1076</v>
      </c>
      <c r="G1368" s="132" t="s">
        <v>301</v>
      </c>
      <c r="H1368" s="137" t="s">
        <v>74</v>
      </c>
      <c r="I1368" s="137" t="s">
        <v>46</v>
      </c>
      <c r="J1368" s="137">
        <v>8</v>
      </c>
      <c r="K1368" s="167">
        <v>36.75</v>
      </c>
      <c r="L1368" s="167">
        <f>K1368*J1368</f>
        <v>294</v>
      </c>
      <c r="M1368" s="133">
        <v>0</v>
      </c>
      <c r="N1368" s="135">
        <v>46203</v>
      </c>
      <c r="O1368" s="168">
        <f>WEEKNUM(N1368)</f>
        <v>27</v>
      </c>
      <c r="P1368" s="175"/>
      <c r="Q1368" s="132" t="s">
        <v>29</v>
      </c>
      <c r="R1368" s="133"/>
      <c r="S1368" s="133"/>
      <c r="T1368" s="133"/>
      <c r="U1368" s="133"/>
      <c r="V1368" s="133"/>
    </row>
    <row r="1369" spans="1:22" s="128" customFormat="1" ht="15.6" hidden="1" x14ac:dyDescent="0.3">
      <c r="A1369" s="134" t="s">
        <v>486</v>
      </c>
      <c r="B1369" s="137">
        <v>576</v>
      </c>
      <c r="C1369" s="135">
        <v>46171</v>
      </c>
      <c r="D1369" s="240">
        <v>33</v>
      </c>
      <c r="E1369" s="132" t="s">
        <v>68</v>
      </c>
      <c r="F1369" s="130" t="s">
        <v>1076</v>
      </c>
      <c r="G1369" s="137" t="s">
        <v>311</v>
      </c>
      <c r="H1369" s="137" t="s">
        <v>51</v>
      </c>
      <c r="I1369" s="137" t="s">
        <v>46</v>
      </c>
      <c r="J1369" s="137">
        <v>3</v>
      </c>
      <c r="K1369" s="167">
        <v>25</v>
      </c>
      <c r="L1369" s="167">
        <f>K1369*J1369</f>
        <v>75</v>
      </c>
      <c r="M1369" s="133">
        <v>0</v>
      </c>
      <c r="N1369" s="135">
        <v>46203</v>
      </c>
      <c r="O1369" s="168">
        <f>WEEKNUM(N1369)</f>
        <v>27</v>
      </c>
      <c r="P1369" s="175"/>
      <c r="Q1369" s="132" t="s">
        <v>29</v>
      </c>
      <c r="R1369" s="133"/>
      <c r="S1369" s="133"/>
      <c r="T1369" s="133"/>
      <c r="U1369" s="133"/>
      <c r="V1369" s="133"/>
    </row>
    <row r="1370" spans="1:22" s="128" customFormat="1" ht="15.6" hidden="1" x14ac:dyDescent="0.3">
      <c r="A1370" s="134" t="s">
        <v>486</v>
      </c>
      <c r="B1370" s="137">
        <v>576</v>
      </c>
      <c r="C1370" s="135">
        <v>46171</v>
      </c>
      <c r="D1370" s="240">
        <v>33</v>
      </c>
      <c r="E1370" s="132" t="s">
        <v>68</v>
      </c>
      <c r="F1370" s="136" t="s">
        <v>1076</v>
      </c>
      <c r="G1370" s="137" t="s">
        <v>505</v>
      </c>
      <c r="H1370" s="137" t="s">
        <v>190</v>
      </c>
      <c r="I1370" s="137" t="s">
        <v>46</v>
      </c>
      <c r="J1370" s="137">
        <v>3</v>
      </c>
      <c r="K1370" s="167">
        <v>80</v>
      </c>
      <c r="L1370" s="167">
        <f>K1370*J1370</f>
        <v>240</v>
      </c>
      <c r="M1370" s="133">
        <v>0</v>
      </c>
      <c r="N1370" s="135">
        <v>46203</v>
      </c>
      <c r="O1370" s="168">
        <f>WEEKNUM(N1370)</f>
        <v>27</v>
      </c>
      <c r="P1370" s="175"/>
      <c r="Q1370" s="132" t="s">
        <v>29</v>
      </c>
      <c r="R1370" s="133"/>
      <c r="S1370" s="133"/>
      <c r="T1370" s="133"/>
      <c r="U1370" s="133"/>
      <c r="V1370" s="133"/>
    </row>
    <row r="1371" spans="1:22" s="128" customFormat="1" ht="15.6" hidden="1" x14ac:dyDescent="0.3">
      <c r="A1371" s="134" t="s">
        <v>486</v>
      </c>
      <c r="B1371" s="137">
        <v>576</v>
      </c>
      <c r="C1371" s="135">
        <v>46171</v>
      </c>
      <c r="D1371" s="240">
        <v>33</v>
      </c>
      <c r="E1371" s="132" t="s">
        <v>68</v>
      </c>
      <c r="F1371" s="136" t="s">
        <v>1076</v>
      </c>
      <c r="G1371" s="137" t="s">
        <v>620</v>
      </c>
      <c r="H1371" s="137" t="s">
        <v>74</v>
      </c>
      <c r="I1371" s="137" t="s">
        <v>46</v>
      </c>
      <c r="J1371" s="137">
        <v>4</v>
      </c>
      <c r="K1371" s="167">
        <v>47.5</v>
      </c>
      <c r="L1371" s="167">
        <f>K1371*J1371</f>
        <v>190</v>
      </c>
      <c r="M1371" s="133">
        <v>0</v>
      </c>
      <c r="N1371" s="135">
        <v>46203</v>
      </c>
      <c r="O1371" s="168">
        <f>WEEKNUM(N1371)</f>
        <v>27</v>
      </c>
      <c r="P1371" s="175"/>
      <c r="Q1371" s="132" t="s">
        <v>29</v>
      </c>
      <c r="R1371" s="133"/>
      <c r="S1371" s="133"/>
      <c r="T1371" s="133"/>
      <c r="U1371" s="133"/>
      <c r="V1371" s="133"/>
    </row>
    <row r="1372" spans="1:22" s="128" customFormat="1" ht="15.6" hidden="1" x14ac:dyDescent="0.3">
      <c r="A1372" s="137" t="s">
        <v>477</v>
      </c>
      <c r="B1372" s="137">
        <v>1245</v>
      </c>
      <c r="C1372" s="135">
        <v>46174</v>
      </c>
      <c r="D1372" s="144">
        <f>WEEKNUM(C1372)</f>
        <v>23</v>
      </c>
      <c r="E1372" s="132" t="s">
        <v>498</v>
      </c>
      <c r="F1372" s="144" t="s">
        <v>446</v>
      </c>
      <c r="G1372" s="137" t="s">
        <v>155</v>
      </c>
      <c r="H1372" s="137" t="s">
        <v>51</v>
      </c>
      <c r="I1372" s="137" t="s">
        <v>46</v>
      </c>
      <c r="J1372" s="166">
        <v>400</v>
      </c>
      <c r="K1372" s="167">
        <v>23.5</v>
      </c>
      <c r="L1372" s="167">
        <f>K1372*J1372</f>
        <v>9400</v>
      </c>
      <c r="M1372" s="183">
        <f>L1372</f>
        <v>9400</v>
      </c>
      <c r="N1372" s="135">
        <v>46191</v>
      </c>
      <c r="O1372" s="168">
        <f>WEEKNUM(N1372)</f>
        <v>25</v>
      </c>
      <c r="P1372" s="175"/>
      <c r="Q1372" s="132" t="s">
        <v>29</v>
      </c>
      <c r="R1372" s="143">
        <f>PRODUCT(0.25*J1372)</f>
        <v>100</v>
      </c>
      <c r="S1372" s="143">
        <f>PRODUCT(0.25*J1372)</f>
        <v>100</v>
      </c>
      <c r="T1372" s="143">
        <f>J1372*1.5</f>
        <v>600</v>
      </c>
      <c r="U1372" s="133">
        <f>J1372*1.5</f>
        <v>600</v>
      </c>
      <c r="V1372" s="133">
        <f>J1372*0.5</f>
        <v>200</v>
      </c>
    </row>
    <row r="1373" spans="1:22" s="128" customFormat="1" ht="15.6" hidden="1" x14ac:dyDescent="0.3">
      <c r="A1373" s="137" t="s">
        <v>477</v>
      </c>
      <c r="B1373" s="137">
        <v>580</v>
      </c>
      <c r="C1373" s="135">
        <v>46175</v>
      </c>
      <c r="D1373" s="144">
        <f>WEEKNUM(C1373)</f>
        <v>23</v>
      </c>
      <c r="E1373" s="144" t="s">
        <v>478</v>
      </c>
      <c r="F1373" s="136" t="s">
        <v>619</v>
      </c>
      <c r="G1373" s="137" t="s">
        <v>218</v>
      </c>
      <c r="H1373" s="137" t="s">
        <v>74</v>
      </c>
      <c r="I1373" s="137" t="s">
        <v>46</v>
      </c>
      <c r="J1373" s="166">
        <v>100</v>
      </c>
      <c r="K1373" s="167">
        <v>36</v>
      </c>
      <c r="L1373" s="167">
        <f>K1373*J1373</f>
        <v>3600</v>
      </c>
      <c r="M1373" s="133">
        <f>L1373</f>
        <v>3600</v>
      </c>
      <c r="N1373" s="135">
        <v>46184</v>
      </c>
      <c r="O1373" s="168">
        <f>WEEKNUM(N1373)</f>
        <v>24</v>
      </c>
      <c r="P1373" s="175"/>
      <c r="Q1373" s="132" t="s">
        <v>29</v>
      </c>
      <c r="R1373" s="143">
        <f>PRODUCT(0.25*J1373)</f>
        <v>25</v>
      </c>
      <c r="S1373" s="143">
        <f>PRODUCT(0.25*J1373)</f>
        <v>25</v>
      </c>
      <c r="T1373" s="143">
        <f>J1373*1.5</f>
        <v>150</v>
      </c>
      <c r="U1373" s="133">
        <f>J1373*1.5</f>
        <v>150</v>
      </c>
      <c r="V1373" s="133">
        <f>J1373*0.5</f>
        <v>50</v>
      </c>
    </row>
    <row r="1374" spans="1:22" s="128" customFormat="1" ht="15.6" hidden="1" x14ac:dyDescent="0.3">
      <c r="A1374" s="137" t="s">
        <v>486</v>
      </c>
      <c r="B1374" s="137">
        <v>581</v>
      </c>
      <c r="C1374" s="135">
        <v>46175</v>
      </c>
      <c r="D1374" s="144">
        <f>WEEKNUM(C1374)</f>
        <v>23</v>
      </c>
      <c r="E1374" s="137" t="s">
        <v>68</v>
      </c>
      <c r="F1374" s="136" t="s">
        <v>394</v>
      </c>
      <c r="G1374" s="182" t="s">
        <v>311</v>
      </c>
      <c r="H1374" s="137" t="s">
        <v>51</v>
      </c>
      <c r="I1374" s="137" t="s">
        <v>46</v>
      </c>
      <c r="J1374" s="166">
        <v>10</v>
      </c>
      <c r="K1374" s="167">
        <v>25</v>
      </c>
      <c r="L1374" s="167">
        <f>K1374*J1374</f>
        <v>250</v>
      </c>
      <c r="M1374" s="156">
        <f>L1374</f>
        <v>250</v>
      </c>
      <c r="N1374" s="135">
        <v>46197</v>
      </c>
      <c r="O1374" s="168">
        <f>WEEKNUM(N1374)</f>
        <v>26</v>
      </c>
      <c r="P1374" s="175"/>
      <c r="Q1374" s="132" t="s">
        <v>29</v>
      </c>
      <c r="R1374" s="143">
        <f>PRODUCT(0.25*J1374)</f>
        <v>2.5</v>
      </c>
      <c r="S1374" s="143">
        <f>PRODUCT(0.25*J1374)</f>
        <v>2.5</v>
      </c>
      <c r="T1374" s="143">
        <f>J1374*1.5</f>
        <v>15</v>
      </c>
      <c r="U1374" s="133">
        <f>J1374*1.5</f>
        <v>15</v>
      </c>
      <c r="V1374" s="133">
        <f>J1374*0.5</f>
        <v>5</v>
      </c>
    </row>
    <row r="1375" spans="1:22" s="128" customFormat="1" ht="15.6" hidden="1" x14ac:dyDescent="0.3">
      <c r="A1375" s="137" t="s">
        <v>486</v>
      </c>
      <c r="B1375" s="137">
        <v>581</v>
      </c>
      <c r="C1375" s="135">
        <v>46175</v>
      </c>
      <c r="D1375" s="144">
        <f>WEEKNUM(C1375)</f>
        <v>23</v>
      </c>
      <c r="E1375" s="137" t="s">
        <v>68</v>
      </c>
      <c r="F1375" s="136" t="s">
        <v>394</v>
      </c>
      <c r="G1375" s="137" t="s">
        <v>301</v>
      </c>
      <c r="H1375" s="137" t="s">
        <v>74</v>
      </c>
      <c r="I1375" s="137" t="s">
        <v>46</v>
      </c>
      <c r="J1375" s="166">
        <v>10</v>
      </c>
      <c r="K1375" s="167">
        <v>36.75</v>
      </c>
      <c r="L1375" s="167">
        <f>K1375*J1375</f>
        <v>367.5</v>
      </c>
      <c r="M1375" s="156">
        <f>L1375</f>
        <v>367.5</v>
      </c>
      <c r="N1375" s="135">
        <v>46197</v>
      </c>
      <c r="O1375" s="168">
        <f>WEEKNUM(N1375)</f>
        <v>26</v>
      </c>
      <c r="P1375" s="175"/>
      <c r="Q1375" s="132" t="s">
        <v>29</v>
      </c>
      <c r="R1375" s="143">
        <f>PRODUCT(0.25*J1375)</f>
        <v>2.5</v>
      </c>
      <c r="S1375" s="143">
        <f>PRODUCT(0.25*J1375)</f>
        <v>2.5</v>
      </c>
      <c r="T1375" s="143">
        <f>J1375*1.5</f>
        <v>15</v>
      </c>
      <c r="U1375" s="133">
        <f>J1375*1.5</f>
        <v>15</v>
      </c>
      <c r="V1375" s="133">
        <f>J1375*0.5</f>
        <v>5</v>
      </c>
    </row>
    <row r="1376" spans="1:22" s="128" customFormat="1" ht="15.6" hidden="1" x14ac:dyDescent="0.3">
      <c r="A1376" s="137" t="s">
        <v>477</v>
      </c>
      <c r="B1376" s="137">
        <v>582</v>
      </c>
      <c r="C1376" s="135">
        <v>46176</v>
      </c>
      <c r="D1376" s="144">
        <f>WEEKNUM(C1376)</f>
        <v>23</v>
      </c>
      <c r="E1376" s="137" t="s">
        <v>55</v>
      </c>
      <c r="F1376" s="182" t="s">
        <v>652</v>
      </c>
      <c r="G1376" s="136" t="s">
        <v>661</v>
      </c>
      <c r="H1376" s="137" t="s">
        <v>660</v>
      </c>
      <c r="I1376" s="137" t="s">
        <v>61</v>
      </c>
      <c r="J1376" s="166">
        <v>3000</v>
      </c>
      <c r="K1376" s="167">
        <v>5.3</v>
      </c>
      <c r="L1376" s="167">
        <f>K1376*J1376</f>
        <v>15900</v>
      </c>
      <c r="M1376" s="133">
        <f>L1376/2</f>
        <v>7950</v>
      </c>
      <c r="N1376" s="135">
        <v>46199</v>
      </c>
      <c r="O1376" s="168">
        <f>WEEKNUM(N1376)</f>
        <v>26</v>
      </c>
      <c r="P1376" s="175"/>
      <c r="Q1376" s="247" t="s">
        <v>29</v>
      </c>
      <c r="R1376" s="320">
        <f>PRODUCT(0.25*J1376)</f>
        <v>750</v>
      </c>
      <c r="S1376" s="133">
        <f>PRODUCT(0.25*J1376)</f>
        <v>750</v>
      </c>
      <c r="T1376" s="133">
        <f>J1376*1.5</f>
        <v>4500</v>
      </c>
      <c r="U1376" s="133">
        <f>J1376*1.5</f>
        <v>4500</v>
      </c>
      <c r="V1376" s="133">
        <f>J1376*0.5</f>
        <v>1500</v>
      </c>
    </row>
    <row r="1377" spans="1:22" s="128" customFormat="1" ht="15" hidden="1" customHeight="1" x14ac:dyDescent="0.3">
      <c r="A1377" s="137" t="s">
        <v>486</v>
      </c>
      <c r="B1377" s="137">
        <v>543</v>
      </c>
      <c r="C1377" s="135">
        <v>46176</v>
      </c>
      <c r="D1377" s="144">
        <f>WEEKNUM(C1377)</f>
        <v>23</v>
      </c>
      <c r="E1377" s="144" t="s">
        <v>475</v>
      </c>
      <c r="F1377" s="136" t="s">
        <v>696</v>
      </c>
      <c r="G1377" s="144" t="s">
        <v>480</v>
      </c>
      <c r="H1377" s="137" t="s">
        <v>51</v>
      </c>
      <c r="I1377" s="137" t="s">
        <v>46</v>
      </c>
      <c r="J1377" s="166">
        <v>100</v>
      </c>
      <c r="K1377" s="167">
        <v>19.899999999999999</v>
      </c>
      <c r="L1377" s="167">
        <f>K1377*J1377</f>
        <v>1989.9999999999998</v>
      </c>
      <c r="M1377" s="133">
        <f>L1377/2</f>
        <v>994.99999999999989</v>
      </c>
      <c r="N1377" s="135">
        <v>46205</v>
      </c>
      <c r="O1377" s="168">
        <f>WEEKNUM(N1377)</f>
        <v>27</v>
      </c>
      <c r="P1377" s="185"/>
      <c r="Q1377" s="132" t="s">
        <v>29</v>
      </c>
      <c r="R1377" s="143">
        <f>PRODUCT(0.25*J1377)</f>
        <v>25</v>
      </c>
      <c r="S1377" s="143">
        <f>PRODUCT(0.25*J1377)</f>
        <v>25</v>
      </c>
      <c r="T1377" s="143">
        <f>J1377*1.5</f>
        <v>150</v>
      </c>
      <c r="U1377" s="133">
        <f>J1377*1.5</f>
        <v>150</v>
      </c>
      <c r="V1377" s="133">
        <f>J1377*0.5</f>
        <v>50</v>
      </c>
    </row>
    <row r="1378" spans="1:22" s="128" customFormat="1" ht="15" hidden="1" customHeight="1" x14ac:dyDescent="0.3">
      <c r="A1378" s="137" t="s">
        <v>486</v>
      </c>
      <c r="B1378" s="137">
        <v>584</v>
      </c>
      <c r="C1378" s="135">
        <v>46181</v>
      </c>
      <c r="D1378" s="144">
        <f>WEEKNUM(C1378)</f>
        <v>24</v>
      </c>
      <c r="E1378" s="137" t="s">
        <v>68</v>
      </c>
      <c r="F1378" s="195" t="s">
        <v>337</v>
      </c>
      <c r="G1378" s="132" t="s">
        <v>301</v>
      </c>
      <c r="H1378" s="137" t="s">
        <v>74</v>
      </c>
      <c r="I1378" s="137" t="s">
        <v>46</v>
      </c>
      <c r="J1378" s="166">
        <v>14</v>
      </c>
      <c r="K1378" s="167">
        <v>36.75</v>
      </c>
      <c r="L1378" s="167">
        <f>K1378*J1378</f>
        <v>514.5</v>
      </c>
      <c r="M1378" s="156">
        <f>L1378</f>
        <v>514.5</v>
      </c>
      <c r="N1378" s="135">
        <v>46202</v>
      </c>
      <c r="O1378" s="168">
        <f>WEEKNUM(N1378)</f>
        <v>27</v>
      </c>
      <c r="P1378" s="185"/>
      <c r="Q1378" s="132" t="s">
        <v>29</v>
      </c>
      <c r="R1378" s="133">
        <f>PRODUCT(0.25*J1378)</f>
        <v>3.5</v>
      </c>
      <c r="S1378" s="133">
        <f>PRODUCT(0.25*J1378)</f>
        <v>3.5</v>
      </c>
      <c r="T1378" s="133">
        <f>J1378*1.5</f>
        <v>21</v>
      </c>
      <c r="U1378" s="133">
        <f>J1378*1.5</f>
        <v>21</v>
      </c>
      <c r="V1378" s="133">
        <f>J1378*0.5</f>
        <v>7</v>
      </c>
    </row>
    <row r="1379" spans="1:22" s="128" customFormat="1" ht="15" hidden="1" customHeight="1" x14ac:dyDescent="0.3">
      <c r="A1379" s="137" t="s">
        <v>486</v>
      </c>
      <c r="B1379" s="137">
        <v>584</v>
      </c>
      <c r="C1379" s="135">
        <v>46181</v>
      </c>
      <c r="D1379" s="144">
        <f>WEEKNUM(C1379)</f>
        <v>24</v>
      </c>
      <c r="E1379" s="137" t="s">
        <v>68</v>
      </c>
      <c r="F1379" s="199" t="s">
        <v>337</v>
      </c>
      <c r="G1379" s="142" t="s">
        <v>311</v>
      </c>
      <c r="H1379" s="137" t="s">
        <v>51</v>
      </c>
      <c r="I1379" s="137" t="s">
        <v>46</v>
      </c>
      <c r="J1379" s="166">
        <v>8</v>
      </c>
      <c r="K1379" s="167">
        <v>25</v>
      </c>
      <c r="L1379" s="167">
        <f>K1379*J1379</f>
        <v>200</v>
      </c>
      <c r="M1379" s="156">
        <f>L1379</f>
        <v>200</v>
      </c>
      <c r="N1379" s="135">
        <v>46202</v>
      </c>
      <c r="O1379" s="168">
        <f>WEEKNUM(N1379)</f>
        <v>27</v>
      </c>
      <c r="P1379" s="185"/>
      <c r="Q1379" s="132" t="s">
        <v>29</v>
      </c>
      <c r="R1379" s="133">
        <f>PRODUCT(0.25*J1379)</f>
        <v>2</v>
      </c>
      <c r="S1379" s="133">
        <f>PRODUCT(0.25*J1379)</f>
        <v>2</v>
      </c>
      <c r="T1379" s="133">
        <f>J1379*1.5</f>
        <v>12</v>
      </c>
      <c r="U1379" s="133">
        <f>J1379*1.5</f>
        <v>12</v>
      </c>
      <c r="V1379" s="133">
        <f>J1379*0.5</f>
        <v>4</v>
      </c>
    </row>
    <row r="1380" spans="1:22" s="128" customFormat="1" ht="15" hidden="1" customHeight="1" x14ac:dyDescent="0.3">
      <c r="A1380" s="137" t="s">
        <v>486</v>
      </c>
      <c r="B1380" s="137">
        <v>584</v>
      </c>
      <c r="C1380" s="135">
        <v>46181</v>
      </c>
      <c r="D1380" s="144">
        <f>WEEKNUM(C1380)</f>
        <v>24</v>
      </c>
      <c r="E1380" s="137" t="s">
        <v>68</v>
      </c>
      <c r="F1380" s="199" t="s">
        <v>337</v>
      </c>
      <c r="G1380" s="182" t="s">
        <v>408</v>
      </c>
      <c r="H1380" s="137" t="s">
        <v>80</v>
      </c>
      <c r="I1380" s="137" t="s">
        <v>46</v>
      </c>
      <c r="J1380" s="166">
        <v>8</v>
      </c>
      <c r="K1380" s="167">
        <v>21</v>
      </c>
      <c r="L1380" s="167">
        <f>K1380*J1380</f>
        <v>168</v>
      </c>
      <c r="M1380" s="156">
        <f>L1380</f>
        <v>168</v>
      </c>
      <c r="N1380" s="135">
        <v>46202</v>
      </c>
      <c r="O1380" s="168">
        <f>WEEKNUM(N1380)</f>
        <v>27</v>
      </c>
      <c r="P1380" s="185"/>
      <c r="Q1380" s="132" t="s">
        <v>29</v>
      </c>
      <c r="R1380" s="133">
        <f>PRODUCT(0.25*J1380)</f>
        <v>2</v>
      </c>
      <c r="S1380" s="133">
        <f>PRODUCT(0.25*J1380)</f>
        <v>2</v>
      </c>
      <c r="T1380" s="133">
        <f>J1380*1.5</f>
        <v>12</v>
      </c>
      <c r="U1380" s="133">
        <f>J1380*1.5</f>
        <v>12</v>
      </c>
      <c r="V1380" s="133">
        <f>J1380*0.5</f>
        <v>4</v>
      </c>
    </row>
    <row r="1381" spans="1:22" s="128" customFormat="1" ht="15" hidden="1" customHeight="1" x14ac:dyDescent="0.3">
      <c r="A1381" s="137" t="s">
        <v>477</v>
      </c>
      <c r="B1381" s="137">
        <v>585</v>
      </c>
      <c r="C1381" s="135">
        <v>46181</v>
      </c>
      <c r="D1381" s="144">
        <f>WEEKNUM(C1381)</f>
        <v>24</v>
      </c>
      <c r="E1381" s="144" t="s">
        <v>475</v>
      </c>
      <c r="F1381" s="182" t="s">
        <v>947</v>
      </c>
      <c r="G1381" s="144" t="s">
        <v>480</v>
      </c>
      <c r="H1381" s="137" t="s">
        <v>51</v>
      </c>
      <c r="I1381" s="137" t="s">
        <v>46</v>
      </c>
      <c r="J1381" s="166">
        <v>100</v>
      </c>
      <c r="K1381" s="167">
        <v>16.989999999999998</v>
      </c>
      <c r="L1381" s="167">
        <f>K1381*J1381</f>
        <v>1698.9999999999998</v>
      </c>
      <c r="M1381" s="133">
        <v>1699</v>
      </c>
      <c r="N1381" s="135">
        <v>46209</v>
      </c>
      <c r="O1381" s="168">
        <f>WEEKNUM(N1381)</f>
        <v>28</v>
      </c>
      <c r="P1381" s="185"/>
      <c r="Q1381" s="132" t="s">
        <v>29</v>
      </c>
      <c r="R1381" s="133">
        <f>PRODUCT(0.25*J1381)</f>
        <v>25</v>
      </c>
      <c r="S1381" s="133">
        <f>PRODUCT(0.25*J1381)</f>
        <v>25</v>
      </c>
      <c r="T1381" s="133">
        <f>J1381*1.5</f>
        <v>150</v>
      </c>
      <c r="U1381" s="133">
        <f>J1381*1.5</f>
        <v>150</v>
      </c>
      <c r="V1381" s="133">
        <f>J1381*0.5</f>
        <v>50</v>
      </c>
    </row>
    <row r="1382" spans="1:22" s="128" customFormat="1" ht="15" hidden="1" customHeight="1" x14ac:dyDescent="0.3">
      <c r="A1382" s="137" t="s">
        <v>486</v>
      </c>
      <c r="B1382" s="137">
        <v>587</v>
      </c>
      <c r="C1382" s="135">
        <v>46182</v>
      </c>
      <c r="D1382" s="144">
        <f>WEEKNUM(C1382)</f>
        <v>24</v>
      </c>
      <c r="E1382" s="137" t="s">
        <v>68</v>
      </c>
      <c r="F1382" s="136" t="s">
        <v>402</v>
      </c>
      <c r="G1382" s="144" t="s">
        <v>356</v>
      </c>
      <c r="H1382" s="144" t="s">
        <v>321</v>
      </c>
      <c r="I1382" s="137" t="s">
        <v>46</v>
      </c>
      <c r="J1382" s="166">
        <v>8</v>
      </c>
      <c r="K1382" s="167">
        <v>120</v>
      </c>
      <c r="L1382" s="167">
        <f>K1382*J1382</f>
        <v>960</v>
      </c>
      <c r="M1382" s="202">
        <f>L1382</f>
        <v>960</v>
      </c>
      <c r="N1382" s="135">
        <v>46203</v>
      </c>
      <c r="O1382" s="168">
        <f>WEEKNUM(N1382)</f>
        <v>27</v>
      </c>
      <c r="P1382" s="185"/>
      <c r="Q1382" s="132" t="s">
        <v>29</v>
      </c>
      <c r="R1382" s="133">
        <f>PRODUCT(0.25*J1382)</f>
        <v>2</v>
      </c>
      <c r="S1382" s="133">
        <f>PRODUCT(0.25*J1382)</f>
        <v>2</v>
      </c>
      <c r="T1382" s="133">
        <f>J1382*1.5</f>
        <v>12</v>
      </c>
      <c r="U1382" s="133">
        <f>J1382*1.5</f>
        <v>12</v>
      </c>
      <c r="V1382" s="133">
        <f>J1382*0.5</f>
        <v>4</v>
      </c>
    </row>
    <row r="1383" spans="1:22" s="128" customFormat="1" ht="15.6" hidden="1" customHeight="1" x14ac:dyDescent="0.3">
      <c r="A1383" s="137" t="s">
        <v>486</v>
      </c>
      <c r="B1383" s="137">
        <v>587</v>
      </c>
      <c r="C1383" s="135">
        <v>46182</v>
      </c>
      <c r="D1383" s="144">
        <f>WEEKNUM(C1383)</f>
        <v>24</v>
      </c>
      <c r="E1383" s="137" t="s">
        <v>68</v>
      </c>
      <c r="F1383" s="136" t="s">
        <v>402</v>
      </c>
      <c r="G1383" s="137" t="s">
        <v>301</v>
      </c>
      <c r="H1383" s="137" t="s">
        <v>74</v>
      </c>
      <c r="I1383" s="137" t="s">
        <v>46</v>
      </c>
      <c r="J1383" s="166">
        <v>10</v>
      </c>
      <c r="K1383" s="167">
        <v>36.75</v>
      </c>
      <c r="L1383" s="167">
        <f>K1383*J1383</f>
        <v>367.5</v>
      </c>
      <c r="M1383" s="202">
        <f>L1383</f>
        <v>367.5</v>
      </c>
      <c r="N1383" s="135">
        <v>46203</v>
      </c>
      <c r="O1383" s="168">
        <f>WEEKNUM(N1383)</f>
        <v>27</v>
      </c>
      <c r="P1383" s="185"/>
      <c r="Q1383" s="132" t="s">
        <v>29</v>
      </c>
      <c r="R1383" s="133">
        <f>PRODUCT(0.25*J1383)</f>
        <v>2.5</v>
      </c>
      <c r="S1383" s="133">
        <f>PRODUCT(0.25*J1383)</f>
        <v>2.5</v>
      </c>
      <c r="T1383" s="133">
        <f>J1383*1.5</f>
        <v>15</v>
      </c>
      <c r="U1383" s="133">
        <f>J1383*1.5</f>
        <v>15</v>
      </c>
      <c r="V1383" s="133">
        <f>J1383*0.5</f>
        <v>5</v>
      </c>
    </row>
    <row r="1384" spans="1:22" s="128" customFormat="1" ht="15.6" hidden="1" customHeight="1" x14ac:dyDescent="0.3">
      <c r="A1384" s="137" t="s">
        <v>486</v>
      </c>
      <c r="B1384" s="137">
        <v>587</v>
      </c>
      <c r="C1384" s="135">
        <v>46182</v>
      </c>
      <c r="D1384" s="144">
        <f>WEEKNUM(C1384)</f>
        <v>24</v>
      </c>
      <c r="E1384" s="137" t="s">
        <v>68</v>
      </c>
      <c r="F1384" s="130" t="s">
        <v>402</v>
      </c>
      <c r="G1384" s="137" t="s">
        <v>301</v>
      </c>
      <c r="H1384" s="137" t="s">
        <v>74</v>
      </c>
      <c r="I1384" s="137" t="s">
        <v>46</v>
      </c>
      <c r="J1384" s="166">
        <v>7</v>
      </c>
      <c r="K1384" s="167">
        <v>47.5</v>
      </c>
      <c r="L1384" s="167">
        <f>K1384*J1384</f>
        <v>332.5</v>
      </c>
      <c r="M1384" s="202">
        <f>L1384</f>
        <v>332.5</v>
      </c>
      <c r="N1384" s="135">
        <v>46203</v>
      </c>
      <c r="O1384" s="168">
        <f>WEEKNUM(N1384)</f>
        <v>27</v>
      </c>
      <c r="P1384" s="185"/>
      <c r="Q1384" s="132" t="s">
        <v>29</v>
      </c>
      <c r="R1384" s="133">
        <f>PRODUCT(0.25*J1384)</f>
        <v>1.75</v>
      </c>
      <c r="S1384" s="133">
        <f>PRODUCT(0.25*J1384)</f>
        <v>1.75</v>
      </c>
      <c r="T1384" s="133">
        <f>J1384*1.5</f>
        <v>10.5</v>
      </c>
      <c r="U1384" s="133">
        <f>J1384*1.5</f>
        <v>10.5</v>
      </c>
      <c r="V1384" s="133">
        <f>J1384*0.5</f>
        <v>3.5</v>
      </c>
    </row>
    <row r="1385" spans="1:22" s="128" customFormat="1" ht="15.6" hidden="1" customHeight="1" x14ac:dyDescent="0.3">
      <c r="A1385" s="137" t="s">
        <v>486</v>
      </c>
      <c r="B1385" s="137">
        <v>587</v>
      </c>
      <c r="C1385" s="135">
        <v>46182</v>
      </c>
      <c r="D1385" s="144">
        <f>WEEKNUM(C1385)</f>
        <v>24</v>
      </c>
      <c r="E1385" s="137" t="s">
        <v>68</v>
      </c>
      <c r="F1385" s="130" t="s">
        <v>402</v>
      </c>
      <c r="G1385" s="182" t="s">
        <v>339</v>
      </c>
      <c r="H1385" s="137" t="s">
        <v>340</v>
      </c>
      <c r="I1385" s="137" t="s">
        <v>46</v>
      </c>
      <c r="J1385" s="166">
        <v>2</v>
      </c>
      <c r="K1385" s="167">
        <v>65</v>
      </c>
      <c r="L1385" s="167">
        <f>K1385*J1385</f>
        <v>130</v>
      </c>
      <c r="M1385" s="202">
        <f>L1385</f>
        <v>130</v>
      </c>
      <c r="N1385" s="135">
        <v>46203</v>
      </c>
      <c r="O1385" s="168">
        <f>WEEKNUM(N1385)</f>
        <v>27</v>
      </c>
      <c r="P1385" s="185"/>
      <c r="Q1385" s="132" t="s">
        <v>29</v>
      </c>
      <c r="R1385" s="133">
        <f>PRODUCT(0.25*J1385)</f>
        <v>0.5</v>
      </c>
      <c r="S1385" s="133">
        <f>PRODUCT(0.25*J1385)</f>
        <v>0.5</v>
      </c>
      <c r="T1385" s="133">
        <f>J1385*1.5</f>
        <v>3</v>
      </c>
      <c r="U1385" s="133">
        <f>J1385*1.5</f>
        <v>3</v>
      </c>
      <c r="V1385" s="133">
        <f>J1385*0.5</f>
        <v>1</v>
      </c>
    </row>
    <row r="1386" spans="1:22" s="128" customFormat="1" ht="15.6" hidden="1" customHeight="1" x14ac:dyDescent="0.3">
      <c r="A1386" s="137" t="s">
        <v>486</v>
      </c>
      <c r="B1386" s="137">
        <v>587</v>
      </c>
      <c r="C1386" s="135">
        <v>46182</v>
      </c>
      <c r="D1386" s="144">
        <f>WEEKNUM(C1386)</f>
        <v>24</v>
      </c>
      <c r="E1386" s="137" t="s">
        <v>68</v>
      </c>
      <c r="F1386" s="130" t="s">
        <v>402</v>
      </c>
      <c r="G1386" s="182" t="s">
        <v>311</v>
      </c>
      <c r="H1386" s="137" t="s">
        <v>51</v>
      </c>
      <c r="I1386" s="137" t="s">
        <v>46</v>
      </c>
      <c r="J1386" s="166">
        <v>12</v>
      </c>
      <c r="K1386" s="167">
        <v>25</v>
      </c>
      <c r="L1386" s="167">
        <f>K1386*J1386</f>
        <v>300</v>
      </c>
      <c r="M1386" s="156">
        <f>L1386</f>
        <v>300</v>
      </c>
      <c r="N1386" s="135">
        <v>46203</v>
      </c>
      <c r="O1386" s="168">
        <f>WEEKNUM(N1386)</f>
        <v>27</v>
      </c>
      <c r="P1386" s="185"/>
      <c r="Q1386" s="132" t="s">
        <v>29</v>
      </c>
      <c r="R1386" s="133">
        <f>PRODUCT(0.25*J1386)</f>
        <v>3</v>
      </c>
      <c r="S1386" s="133">
        <f>PRODUCT(0.25*J1386)</f>
        <v>3</v>
      </c>
      <c r="T1386" s="133">
        <f>J1386*1.5</f>
        <v>18</v>
      </c>
      <c r="U1386" s="133">
        <f>J1386*1.5</f>
        <v>18</v>
      </c>
      <c r="V1386" s="133">
        <f>J1386*0.5</f>
        <v>6</v>
      </c>
    </row>
    <row r="1387" spans="1:22" s="128" customFormat="1" ht="15.6" hidden="1" customHeight="1" x14ac:dyDescent="0.3">
      <c r="A1387" s="137" t="s">
        <v>486</v>
      </c>
      <c r="B1387" s="137">
        <v>589</v>
      </c>
      <c r="C1387" s="135">
        <v>46182</v>
      </c>
      <c r="D1387" s="144">
        <f>WEEKNUM(C1387)</f>
        <v>24</v>
      </c>
      <c r="E1387" s="144" t="s">
        <v>475</v>
      </c>
      <c r="F1387" s="182" t="s">
        <v>451</v>
      </c>
      <c r="G1387" s="132" t="s">
        <v>167</v>
      </c>
      <c r="H1387" s="137" t="s">
        <v>74</v>
      </c>
      <c r="I1387" s="137" t="s">
        <v>46</v>
      </c>
      <c r="J1387" s="166">
        <v>100</v>
      </c>
      <c r="K1387" s="167">
        <v>37</v>
      </c>
      <c r="L1387" s="167">
        <f>K1387*J1387</f>
        <v>3700</v>
      </c>
      <c r="M1387" s="167">
        <f>L1387/2</f>
        <v>1850</v>
      </c>
      <c r="N1387" s="135">
        <v>46210</v>
      </c>
      <c r="O1387" s="168">
        <f>WEEKNUM(N1387)</f>
        <v>28</v>
      </c>
      <c r="P1387" s="185"/>
      <c r="Q1387" s="132" t="s">
        <v>29</v>
      </c>
      <c r="R1387" s="133">
        <f>PRODUCT(0.25*J1387)</f>
        <v>25</v>
      </c>
      <c r="S1387" s="133">
        <f>PRODUCT(0.25*J1387)</f>
        <v>25</v>
      </c>
      <c r="T1387" s="133">
        <f>J1387*1.5</f>
        <v>150</v>
      </c>
      <c r="U1387" s="133">
        <f>J1387*1.5</f>
        <v>150</v>
      </c>
      <c r="V1387" s="133">
        <f>J1387*0.5</f>
        <v>50</v>
      </c>
    </row>
    <row r="1388" spans="1:22" s="128" customFormat="1" ht="15.6" hidden="1" customHeight="1" x14ac:dyDescent="0.3">
      <c r="A1388" s="137" t="s">
        <v>486</v>
      </c>
      <c r="B1388" s="137">
        <v>589</v>
      </c>
      <c r="C1388" s="135">
        <v>46182</v>
      </c>
      <c r="D1388" s="144">
        <f>WEEKNUM(C1388)</f>
        <v>24</v>
      </c>
      <c r="E1388" s="144" t="s">
        <v>475</v>
      </c>
      <c r="F1388" s="182" t="s">
        <v>451</v>
      </c>
      <c r="G1388" s="132" t="s">
        <v>167</v>
      </c>
      <c r="H1388" s="137" t="s">
        <v>74</v>
      </c>
      <c r="I1388" s="137" t="s">
        <v>46</v>
      </c>
      <c r="J1388" s="166">
        <v>100</v>
      </c>
      <c r="K1388" s="167">
        <v>28</v>
      </c>
      <c r="L1388" s="167">
        <f>K1388*J1388</f>
        <v>2800</v>
      </c>
      <c r="M1388" s="133">
        <f>L1388/2</f>
        <v>1400</v>
      </c>
      <c r="N1388" s="135">
        <v>46210</v>
      </c>
      <c r="O1388" s="168">
        <f>WEEKNUM(N1388)</f>
        <v>28</v>
      </c>
      <c r="P1388" s="185"/>
      <c r="Q1388" s="132" t="s">
        <v>29</v>
      </c>
      <c r="R1388" s="133">
        <f>PRODUCT(0.25*J1388)</f>
        <v>25</v>
      </c>
      <c r="S1388" s="133">
        <f>PRODUCT(0.25*J1388)</f>
        <v>25</v>
      </c>
      <c r="T1388" s="133">
        <f>J1388*1.5</f>
        <v>150</v>
      </c>
      <c r="U1388" s="133">
        <f>J1388*1.5</f>
        <v>150</v>
      </c>
      <c r="V1388" s="133">
        <f>J1388*0.5</f>
        <v>50</v>
      </c>
    </row>
    <row r="1389" spans="1:22" s="128" customFormat="1" ht="15" hidden="1" customHeight="1" x14ac:dyDescent="0.3">
      <c r="A1389" s="137" t="s">
        <v>486</v>
      </c>
      <c r="B1389" s="137">
        <v>589</v>
      </c>
      <c r="C1389" s="135">
        <v>46182</v>
      </c>
      <c r="D1389" s="144">
        <f>WEEKNUM(C1389)</f>
        <v>24</v>
      </c>
      <c r="E1389" s="144" t="s">
        <v>475</v>
      </c>
      <c r="F1389" s="182" t="s">
        <v>451</v>
      </c>
      <c r="G1389" s="132" t="s">
        <v>554</v>
      </c>
      <c r="H1389" s="137" t="s">
        <v>555</v>
      </c>
      <c r="I1389" s="137" t="s">
        <v>46</v>
      </c>
      <c r="J1389" s="166">
        <v>100</v>
      </c>
      <c r="K1389" s="167">
        <v>26.5</v>
      </c>
      <c r="L1389" s="167">
        <f>K1389*J1389</f>
        <v>2650</v>
      </c>
      <c r="M1389" s="167">
        <f>L1389/2</f>
        <v>1325</v>
      </c>
      <c r="N1389" s="135">
        <v>46210</v>
      </c>
      <c r="O1389" s="168">
        <f>WEEKNUM(N1389)</f>
        <v>28</v>
      </c>
      <c r="P1389" s="185"/>
      <c r="Q1389" s="132" t="s">
        <v>29</v>
      </c>
      <c r="R1389" s="133">
        <f>PRODUCT(0.25*J1389)</f>
        <v>25</v>
      </c>
      <c r="S1389" s="133">
        <f>PRODUCT(0.25*J1389)</f>
        <v>25</v>
      </c>
      <c r="T1389" s="133">
        <f>J1389*1.5</f>
        <v>150</v>
      </c>
      <c r="U1389" s="133">
        <f>J1389*1.5</f>
        <v>150</v>
      </c>
      <c r="V1389" s="133">
        <f>J1389*0.5</f>
        <v>50</v>
      </c>
    </row>
    <row r="1390" spans="1:22" s="128" customFormat="1" ht="15" hidden="1" customHeight="1" x14ac:dyDescent="0.3">
      <c r="A1390" s="137" t="s">
        <v>486</v>
      </c>
      <c r="B1390" s="137">
        <v>588</v>
      </c>
      <c r="C1390" s="135">
        <v>46182</v>
      </c>
      <c r="D1390" s="144">
        <f>WEEKNUM(C1390)</f>
        <v>24</v>
      </c>
      <c r="E1390" s="144" t="s">
        <v>475</v>
      </c>
      <c r="F1390" s="130" t="s">
        <v>882</v>
      </c>
      <c r="G1390" s="140" t="s">
        <v>658</v>
      </c>
      <c r="H1390" s="137" t="s">
        <v>304</v>
      </c>
      <c r="I1390" s="137" t="s">
        <v>61</v>
      </c>
      <c r="J1390" s="166">
        <v>100</v>
      </c>
      <c r="K1390" s="167">
        <v>11.9</v>
      </c>
      <c r="L1390" s="167">
        <f>K1390*J1390</f>
        <v>1190</v>
      </c>
      <c r="M1390" s="133">
        <v>1190</v>
      </c>
      <c r="N1390" s="135">
        <v>46199</v>
      </c>
      <c r="O1390" s="168">
        <f>WEEKNUM(N1390)</f>
        <v>26</v>
      </c>
      <c r="P1390" s="185"/>
      <c r="Q1390" s="132" t="s">
        <v>29</v>
      </c>
      <c r="R1390" s="133">
        <f>PRODUCT(0.25*J1390)</f>
        <v>25</v>
      </c>
      <c r="S1390" s="133">
        <f>PRODUCT(0.25*J1390)</f>
        <v>25</v>
      </c>
      <c r="T1390" s="133">
        <f>J1390*1.5</f>
        <v>150</v>
      </c>
      <c r="U1390" s="133">
        <f>J1390*1.5</f>
        <v>150</v>
      </c>
      <c r="V1390" s="133">
        <f>J1390*0.5</f>
        <v>50</v>
      </c>
    </row>
    <row r="1391" spans="1:22" s="128" customFormat="1" ht="15" hidden="1" customHeight="1" x14ac:dyDescent="0.3">
      <c r="A1391" s="137" t="s">
        <v>477</v>
      </c>
      <c r="B1391" s="137">
        <v>1109</v>
      </c>
      <c r="C1391" s="135">
        <v>46183</v>
      </c>
      <c r="D1391" s="144">
        <f>WEEKNUM(C1391)</f>
        <v>24</v>
      </c>
      <c r="E1391" s="137" t="s">
        <v>475</v>
      </c>
      <c r="F1391" s="140" t="s">
        <v>568</v>
      </c>
      <c r="G1391" s="132" t="s">
        <v>301</v>
      </c>
      <c r="H1391" s="137" t="s">
        <v>74</v>
      </c>
      <c r="I1391" s="137" t="s">
        <v>46</v>
      </c>
      <c r="J1391" s="166">
        <v>250</v>
      </c>
      <c r="K1391" s="167">
        <v>27.3</v>
      </c>
      <c r="L1391" s="167">
        <f>K1391*J1391</f>
        <v>6825</v>
      </c>
      <c r="M1391" s="133">
        <v>6825</v>
      </c>
      <c r="N1391" s="135">
        <v>46195</v>
      </c>
      <c r="O1391" s="168">
        <f>WEEKNUM(N1391)</f>
        <v>26</v>
      </c>
      <c r="P1391" s="185"/>
      <c r="Q1391" s="132" t="s">
        <v>29</v>
      </c>
      <c r="R1391" s="133">
        <f>PRODUCT(0.25*J1391)</f>
        <v>62.5</v>
      </c>
      <c r="S1391" s="133">
        <f>PRODUCT(0.25*J1391)</f>
        <v>62.5</v>
      </c>
      <c r="T1391" s="133">
        <f>J1391*1.5</f>
        <v>375</v>
      </c>
      <c r="U1391" s="133">
        <f>J1391*1.5</f>
        <v>375</v>
      </c>
      <c r="V1391" s="133">
        <f>J1391*0.5</f>
        <v>125</v>
      </c>
    </row>
    <row r="1392" spans="1:22" s="128" customFormat="1" ht="15" hidden="1" customHeight="1" x14ac:dyDescent="0.3">
      <c r="A1392" s="137" t="s">
        <v>486</v>
      </c>
      <c r="B1392" s="137">
        <v>583</v>
      </c>
      <c r="C1392" s="135">
        <v>46183</v>
      </c>
      <c r="D1392" s="144">
        <f>WEEKNUM(C1392)</f>
        <v>24</v>
      </c>
      <c r="E1392" s="137" t="s">
        <v>475</v>
      </c>
      <c r="F1392" s="130" t="s">
        <v>588</v>
      </c>
      <c r="G1392" s="142" t="s">
        <v>311</v>
      </c>
      <c r="H1392" s="137" t="s">
        <v>51</v>
      </c>
      <c r="I1392" s="137" t="s">
        <v>46</v>
      </c>
      <c r="J1392" s="166">
        <v>100</v>
      </c>
      <c r="K1392" s="167">
        <v>17</v>
      </c>
      <c r="L1392" s="167">
        <f>K1392*J1392</f>
        <v>1700</v>
      </c>
      <c r="M1392" s="133">
        <f>L1392/2</f>
        <v>850</v>
      </c>
      <c r="N1392" s="135">
        <v>46211</v>
      </c>
      <c r="O1392" s="168">
        <f>WEEKNUM(N1392)</f>
        <v>28</v>
      </c>
      <c r="P1392" s="185"/>
      <c r="Q1392" s="132" t="s">
        <v>29</v>
      </c>
      <c r="R1392" s="133">
        <f>PRODUCT(0.25*J1392)</f>
        <v>25</v>
      </c>
      <c r="S1392" s="133">
        <f>PRODUCT(0.25*J1392)</f>
        <v>25</v>
      </c>
      <c r="T1392" s="133">
        <f>J1392*1.5</f>
        <v>150</v>
      </c>
      <c r="U1392" s="133">
        <f>J1392*1.5</f>
        <v>150</v>
      </c>
      <c r="V1392" s="133">
        <f>J1392*0.5</f>
        <v>50</v>
      </c>
    </row>
    <row r="1393" spans="1:22" s="128" customFormat="1" ht="15" hidden="1" customHeight="1" x14ac:dyDescent="0.3">
      <c r="A1393" s="137" t="s">
        <v>486</v>
      </c>
      <c r="B1393" s="137">
        <v>583</v>
      </c>
      <c r="C1393" s="135">
        <v>46183</v>
      </c>
      <c r="D1393" s="144">
        <f>WEEKNUM(C1393)</f>
        <v>24</v>
      </c>
      <c r="E1393" s="137" t="s">
        <v>475</v>
      </c>
      <c r="F1393" s="130" t="s">
        <v>588</v>
      </c>
      <c r="G1393" s="132" t="s">
        <v>546</v>
      </c>
      <c r="H1393" s="137" t="s">
        <v>529</v>
      </c>
      <c r="I1393" s="137" t="s">
        <v>46</v>
      </c>
      <c r="J1393" s="166">
        <v>100</v>
      </c>
      <c r="K1393" s="167">
        <v>17</v>
      </c>
      <c r="L1393" s="167">
        <f>K1393*J1393</f>
        <v>1700</v>
      </c>
      <c r="M1393" s="133">
        <f>L1393/2</f>
        <v>850</v>
      </c>
      <c r="N1393" s="135">
        <v>46211</v>
      </c>
      <c r="O1393" s="168">
        <f>WEEKNUM(N1393)</f>
        <v>28</v>
      </c>
      <c r="P1393" s="185"/>
      <c r="Q1393" s="132" t="s">
        <v>29</v>
      </c>
      <c r="R1393" s="133">
        <f>PRODUCT(0.25*J1393)</f>
        <v>25</v>
      </c>
      <c r="S1393" s="133">
        <f>PRODUCT(0.25*J1393)</f>
        <v>25</v>
      </c>
      <c r="T1393" s="133">
        <f>J1393*1.5</f>
        <v>150</v>
      </c>
      <c r="U1393" s="133">
        <f>J1393*1.5</f>
        <v>150</v>
      </c>
      <c r="V1393" s="133">
        <f>J1393*0.5</f>
        <v>50</v>
      </c>
    </row>
    <row r="1394" spans="1:22" s="128" customFormat="1" ht="15" hidden="1" customHeight="1" x14ac:dyDescent="0.3">
      <c r="A1394" s="137" t="s">
        <v>486</v>
      </c>
      <c r="B1394" s="137">
        <v>583</v>
      </c>
      <c r="C1394" s="135">
        <v>46183</v>
      </c>
      <c r="D1394" s="144">
        <f>WEEKNUM(C1394)</f>
        <v>24</v>
      </c>
      <c r="E1394" s="137" t="s">
        <v>475</v>
      </c>
      <c r="F1394" s="130" t="s">
        <v>588</v>
      </c>
      <c r="G1394" s="132" t="s">
        <v>589</v>
      </c>
      <c r="H1394" s="137" t="s">
        <v>51</v>
      </c>
      <c r="I1394" s="137" t="s">
        <v>46</v>
      </c>
      <c r="J1394" s="166">
        <v>10</v>
      </c>
      <c r="K1394" s="167">
        <v>150</v>
      </c>
      <c r="L1394" s="167">
        <f>K1394*J1394</f>
        <v>1500</v>
      </c>
      <c r="M1394" s="133">
        <f>L1394/2</f>
        <v>750</v>
      </c>
      <c r="N1394" s="135">
        <v>46211</v>
      </c>
      <c r="O1394" s="168">
        <f>WEEKNUM(N1394)</f>
        <v>28</v>
      </c>
      <c r="P1394" s="185"/>
      <c r="Q1394" s="132" t="s">
        <v>29</v>
      </c>
      <c r="R1394" s="133">
        <f>PRODUCT(0.25*J1394)</f>
        <v>2.5</v>
      </c>
      <c r="S1394" s="133">
        <f>PRODUCT(0.25*J1394)</f>
        <v>2.5</v>
      </c>
      <c r="T1394" s="133">
        <f>J1394*1.5</f>
        <v>15</v>
      </c>
      <c r="U1394" s="133">
        <f>J1394*1.5</f>
        <v>15</v>
      </c>
      <c r="V1394" s="133">
        <f>J1394*0.5</f>
        <v>5</v>
      </c>
    </row>
    <row r="1395" spans="1:22" s="128" customFormat="1" ht="15" hidden="1" customHeight="1" x14ac:dyDescent="0.3">
      <c r="A1395" s="137" t="s">
        <v>486</v>
      </c>
      <c r="B1395" s="137">
        <v>593</v>
      </c>
      <c r="C1395" s="135">
        <v>46185</v>
      </c>
      <c r="D1395" s="144">
        <f>WEEKNUM(C1395)</f>
        <v>24</v>
      </c>
      <c r="E1395" s="137" t="s">
        <v>475</v>
      </c>
      <c r="F1395" s="142" t="s">
        <v>553</v>
      </c>
      <c r="G1395" s="142" t="s">
        <v>489</v>
      </c>
      <c r="H1395" s="132" t="s">
        <v>51</v>
      </c>
      <c r="I1395" s="137" t="s">
        <v>61</v>
      </c>
      <c r="J1395" s="166">
        <v>10</v>
      </c>
      <c r="K1395" s="167">
        <v>100</v>
      </c>
      <c r="L1395" s="167">
        <f>K1395*J1395</f>
        <v>1000</v>
      </c>
      <c r="M1395" s="133">
        <v>0</v>
      </c>
      <c r="N1395" s="135">
        <v>46213</v>
      </c>
      <c r="O1395" s="168">
        <f>WEEKNUM(N1395)</f>
        <v>28</v>
      </c>
      <c r="P1395" s="185"/>
      <c r="Q1395" s="132" t="s">
        <v>29</v>
      </c>
      <c r="R1395" s="133">
        <f>PRODUCT(0.25*J1395)</f>
        <v>2.5</v>
      </c>
      <c r="S1395" s="133">
        <f>PRODUCT(0.25*J1395)</f>
        <v>2.5</v>
      </c>
      <c r="T1395" s="133">
        <f>J1395*1.5</f>
        <v>15</v>
      </c>
      <c r="U1395" s="133">
        <f>J1395*1.5</f>
        <v>15</v>
      </c>
      <c r="V1395" s="133">
        <f>J1395*0.5</f>
        <v>5</v>
      </c>
    </row>
    <row r="1396" spans="1:22" s="128" customFormat="1" ht="15" hidden="1" customHeight="1" x14ac:dyDescent="0.3">
      <c r="A1396" s="137" t="s">
        <v>486</v>
      </c>
      <c r="B1396" s="137">
        <v>591</v>
      </c>
      <c r="C1396" s="135">
        <v>46185</v>
      </c>
      <c r="D1396" s="144">
        <f>WEEKNUM(C1396)</f>
        <v>24</v>
      </c>
      <c r="E1396" s="137" t="s">
        <v>68</v>
      </c>
      <c r="F1396" s="130" t="s">
        <v>403</v>
      </c>
      <c r="G1396" s="132" t="s">
        <v>301</v>
      </c>
      <c r="H1396" s="137" t="s">
        <v>74</v>
      </c>
      <c r="I1396" s="137" t="s">
        <v>46</v>
      </c>
      <c r="J1396" s="166">
        <v>28</v>
      </c>
      <c r="K1396" s="167">
        <v>36.75</v>
      </c>
      <c r="L1396" s="167">
        <f>K1396*J1396</f>
        <v>1029</v>
      </c>
      <c r="M1396" s="156">
        <f>L1396/2</f>
        <v>514.5</v>
      </c>
      <c r="N1396" s="135">
        <v>46213</v>
      </c>
      <c r="O1396" s="168">
        <f>WEEKNUM(N1396)</f>
        <v>28</v>
      </c>
      <c r="P1396" s="185"/>
      <c r="Q1396" s="132" t="s">
        <v>29</v>
      </c>
      <c r="R1396" s="133">
        <f>PRODUCT(0.25*J1396)</f>
        <v>7</v>
      </c>
      <c r="S1396" s="133">
        <f>PRODUCT(0.25*J1396)</f>
        <v>7</v>
      </c>
      <c r="T1396" s="133">
        <f>J1396*1.5</f>
        <v>42</v>
      </c>
      <c r="U1396" s="133">
        <f>J1396*1.5</f>
        <v>42</v>
      </c>
      <c r="V1396" s="133">
        <f>J1396*0.5</f>
        <v>14</v>
      </c>
    </row>
    <row r="1397" spans="1:22" s="128" customFormat="1" ht="15" hidden="1" customHeight="1" x14ac:dyDescent="0.3">
      <c r="A1397" s="137" t="s">
        <v>486</v>
      </c>
      <c r="B1397" s="137">
        <v>591</v>
      </c>
      <c r="C1397" s="135">
        <v>46185</v>
      </c>
      <c r="D1397" s="144">
        <f>WEEKNUM(C1397)</f>
        <v>24</v>
      </c>
      <c r="E1397" s="137" t="s">
        <v>68</v>
      </c>
      <c r="F1397" s="130" t="s">
        <v>403</v>
      </c>
      <c r="G1397" s="182" t="s">
        <v>408</v>
      </c>
      <c r="H1397" s="137" t="s">
        <v>80</v>
      </c>
      <c r="I1397" s="137" t="s">
        <v>46</v>
      </c>
      <c r="J1397" s="166">
        <v>4</v>
      </c>
      <c r="K1397" s="167">
        <v>21</v>
      </c>
      <c r="L1397" s="167">
        <f>K1397*J1397</f>
        <v>84</v>
      </c>
      <c r="M1397" s="156">
        <f>L1397/2</f>
        <v>42</v>
      </c>
      <c r="N1397" s="135">
        <v>46213</v>
      </c>
      <c r="O1397" s="168">
        <f>WEEKNUM(N1397)</f>
        <v>28</v>
      </c>
      <c r="P1397" s="185"/>
      <c r="Q1397" s="132" t="s">
        <v>29</v>
      </c>
      <c r="R1397" s="133">
        <f>PRODUCT(0.25*J1397)</f>
        <v>1</v>
      </c>
      <c r="S1397" s="133">
        <f>PRODUCT(0.25*J1397)</f>
        <v>1</v>
      </c>
      <c r="T1397" s="133">
        <f>J1397*1.5</f>
        <v>6</v>
      </c>
      <c r="U1397" s="133">
        <f>J1397*1.5</f>
        <v>6</v>
      </c>
      <c r="V1397" s="133">
        <f>J1397*0.5</f>
        <v>2</v>
      </c>
    </row>
    <row r="1398" spans="1:22" s="128" customFormat="1" ht="15" hidden="1" customHeight="1" x14ac:dyDescent="0.3">
      <c r="A1398" s="137" t="s">
        <v>486</v>
      </c>
      <c r="B1398" s="137">
        <v>591</v>
      </c>
      <c r="C1398" s="135">
        <v>46185</v>
      </c>
      <c r="D1398" s="144">
        <f>WEEKNUM(C1398)</f>
        <v>24</v>
      </c>
      <c r="E1398" s="137" t="s">
        <v>68</v>
      </c>
      <c r="F1398" s="130" t="s">
        <v>403</v>
      </c>
      <c r="G1398" s="142" t="s">
        <v>311</v>
      </c>
      <c r="H1398" s="137" t="s">
        <v>51</v>
      </c>
      <c r="I1398" s="137" t="s">
        <v>46</v>
      </c>
      <c r="J1398" s="166">
        <v>7</v>
      </c>
      <c r="K1398" s="167">
        <v>25</v>
      </c>
      <c r="L1398" s="167">
        <f>K1398*J1398</f>
        <v>175</v>
      </c>
      <c r="M1398" s="202">
        <f>L1398/2</f>
        <v>87.5</v>
      </c>
      <c r="N1398" s="135">
        <v>46213</v>
      </c>
      <c r="O1398" s="168">
        <f>WEEKNUM(N1398)</f>
        <v>28</v>
      </c>
      <c r="P1398" s="185"/>
      <c r="Q1398" s="132" t="s">
        <v>29</v>
      </c>
      <c r="R1398" s="133">
        <f>PRODUCT(0.25*J1398)</f>
        <v>1.75</v>
      </c>
      <c r="S1398" s="133">
        <f>PRODUCT(0.25*J1398)</f>
        <v>1.75</v>
      </c>
      <c r="T1398" s="133">
        <f>J1398*1.5</f>
        <v>10.5</v>
      </c>
      <c r="U1398" s="133">
        <f>J1398*1.5</f>
        <v>10.5</v>
      </c>
      <c r="V1398" s="133">
        <f>J1398*0.5</f>
        <v>3.5</v>
      </c>
    </row>
    <row r="1399" spans="1:22" s="128" customFormat="1" ht="15" hidden="1" customHeight="1" x14ac:dyDescent="0.3">
      <c r="A1399" s="134" t="s">
        <v>477</v>
      </c>
      <c r="B1399" s="137">
        <v>594</v>
      </c>
      <c r="C1399" s="135">
        <v>46185</v>
      </c>
      <c r="D1399" s="144">
        <f>WEEKNUM(C1399)</f>
        <v>24</v>
      </c>
      <c r="E1399" s="137" t="s">
        <v>478</v>
      </c>
      <c r="F1399" s="130" t="s">
        <v>619</v>
      </c>
      <c r="G1399" s="137" t="s">
        <v>218</v>
      </c>
      <c r="H1399" s="137" t="s">
        <v>74</v>
      </c>
      <c r="I1399" s="137" t="s">
        <v>46</v>
      </c>
      <c r="J1399" s="137">
        <v>60</v>
      </c>
      <c r="K1399" s="167">
        <v>36</v>
      </c>
      <c r="L1399" s="167">
        <f>K1399*J1399</f>
        <v>2160</v>
      </c>
      <c r="M1399" s="167">
        <f>L1399/2</f>
        <v>1080</v>
      </c>
      <c r="N1399" s="135">
        <v>46191</v>
      </c>
      <c r="O1399" s="168">
        <f>WEEKNUM(N1399)</f>
        <v>25</v>
      </c>
      <c r="P1399" s="185"/>
      <c r="Q1399" s="132" t="s">
        <v>29</v>
      </c>
      <c r="R1399" s="133">
        <f>PRODUCT(0.25*J1399)</f>
        <v>15</v>
      </c>
      <c r="S1399" s="133">
        <f>PRODUCT(0.25*J1399)</f>
        <v>15</v>
      </c>
      <c r="T1399" s="133">
        <f>J1399*1.5</f>
        <v>90</v>
      </c>
      <c r="U1399" s="133">
        <f>J1399*1.5</f>
        <v>90</v>
      </c>
      <c r="V1399" s="133">
        <f>J1399*0.5</f>
        <v>30</v>
      </c>
    </row>
    <row r="1400" spans="1:22" s="128" customFormat="1" ht="15" hidden="1" customHeight="1" x14ac:dyDescent="0.3">
      <c r="A1400" s="137" t="s">
        <v>486</v>
      </c>
      <c r="B1400" s="137">
        <v>596</v>
      </c>
      <c r="C1400" s="135">
        <v>46188</v>
      </c>
      <c r="D1400" s="144">
        <f>WEEKNUM(C1400)</f>
        <v>25</v>
      </c>
      <c r="E1400" s="137" t="s">
        <v>475</v>
      </c>
      <c r="F1400" s="130" t="s">
        <v>601</v>
      </c>
      <c r="G1400" s="142" t="s">
        <v>311</v>
      </c>
      <c r="H1400" s="137" t="s">
        <v>51</v>
      </c>
      <c r="I1400" s="137" t="s">
        <v>46</v>
      </c>
      <c r="J1400" s="166">
        <v>100</v>
      </c>
      <c r="K1400" s="167">
        <v>17</v>
      </c>
      <c r="L1400" s="167">
        <f>K1400*J1400</f>
        <v>1700</v>
      </c>
      <c r="M1400" s="133">
        <v>0</v>
      </c>
      <c r="N1400" s="135">
        <v>46216</v>
      </c>
      <c r="O1400" s="168">
        <f>WEEKNUM(N1400)</f>
        <v>29</v>
      </c>
      <c r="P1400" s="185"/>
      <c r="Q1400" s="132" t="s">
        <v>29</v>
      </c>
      <c r="R1400" s="133">
        <f>PRODUCT(0.25*J1400)</f>
        <v>25</v>
      </c>
      <c r="S1400" s="133">
        <f>PRODUCT(0.25*J1400)</f>
        <v>25</v>
      </c>
      <c r="T1400" s="133">
        <f>J1400*1.5</f>
        <v>150</v>
      </c>
      <c r="U1400" s="133">
        <f>J1400*1.5</f>
        <v>150</v>
      </c>
      <c r="V1400" s="133">
        <f>J1400*0.5</f>
        <v>50</v>
      </c>
    </row>
    <row r="1401" spans="1:22" s="128" customFormat="1" ht="15" hidden="1" customHeight="1" x14ac:dyDescent="0.3">
      <c r="A1401" s="137" t="s">
        <v>486</v>
      </c>
      <c r="B1401" s="137">
        <v>597</v>
      </c>
      <c r="C1401" s="135">
        <v>46188</v>
      </c>
      <c r="D1401" s="144">
        <f>WEEKNUM(C1401)</f>
        <v>25</v>
      </c>
      <c r="E1401" s="137" t="s">
        <v>475</v>
      </c>
      <c r="F1401" s="142" t="s">
        <v>610</v>
      </c>
      <c r="G1401" s="144" t="s">
        <v>480</v>
      </c>
      <c r="H1401" s="137" t="s">
        <v>51</v>
      </c>
      <c r="I1401" s="137" t="s">
        <v>46</v>
      </c>
      <c r="J1401" s="166">
        <v>50</v>
      </c>
      <c r="K1401" s="167">
        <v>16.989999999999998</v>
      </c>
      <c r="L1401" s="167">
        <f>K1401*J1401</f>
        <v>849.49999999999989</v>
      </c>
      <c r="M1401" s="133">
        <v>0</v>
      </c>
      <c r="N1401" s="135">
        <v>46217</v>
      </c>
      <c r="O1401" s="168">
        <f>WEEKNUM(N1401)</f>
        <v>29</v>
      </c>
      <c r="P1401" s="185"/>
      <c r="Q1401" s="132" t="s">
        <v>29</v>
      </c>
      <c r="R1401" s="133">
        <f>PRODUCT(0.25*J1401)</f>
        <v>12.5</v>
      </c>
      <c r="S1401" s="133">
        <f>PRODUCT(0.25*J1401)</f>
        <v>12.5</v>
      </c>
      <c r="T1401" s="133">
        <f>J1401*1.5</f>
        <v>75</v>
      </c>
      <c r="U1401" s="133">
        <f>J1401*1.5</f>
        <v>75</v>
      </c>
      <c r="V1401" s="133">
        <f>J1401*0.5</f>
        <v>25</v>
      </c>
    </row>
    <row r="1402" spans="1:22" s="128" customFormat="1" ht="15" hidden="1" customHeight="1" x14ac:dyDescent="0.3">
      <c r="A1402" s="137" t="s">
        <v>486</v>
      </c>
      <c r="B1402" s="137">
        <v>597</v>
      </c>
      <c r="C1402" s="135">
        <v>46188</v>
      </c>
      <c r="D1402" s="144">
        <f>WEEKNUM(C1402)</f>
        <v>25</v>
      </c>
      <c r="E1402" s="137" t="s">
        <v>475</v>
      </c>
      <c r="F1402" s="142" t="s">
        <v>610</v>
      </c>
      <c r="G1402" s="137" t="s">
        <v>495</v>
      </c>
      <c r="H1402" s="137" t="s">
        <v>529</v>
      </c>
      <c r="I1402" s="137" t="s">
        <v>46</v>
      </c>
      <c r="J1402" s="166">
        <v>50</v>
      </c>
      <c r="K1402" s="167">
        <v>15.6</v>
      </c>
      <c r="L1402" s="167">
        <f>K1402*J1402</f>
        <v>780</v>
      </c>
      <c r="M1402" s="133">
        <v>0</v>
      </c>
      <c r="N1402" s="135">
        <v>46217</v>
      </c>
      <c r="O1402" s="168">
        <f>WEEKNUM(N1402)</f>
        <v>29</v>
      </c>
      <c r="P1402" s="185"/>
      <c r="Q1402" s="132" t="s">
        <v>29</v>
      </c>
      <c r="R1402" s="133">
        <f>PRODUCT(0.25*J1402)</f>
        <v>12.5</v>
      </c>
      <c r="S1402" s="133">
        <f>PRODUCT(0.25*J1402)</f>
        <v>12.5</v>
      </c>
      <c r="T1402" s="133">
        <f>J1402*1.5</f>
        <v>75</v>
      </c>
      <c r="U1402" s="133">
        <f>J1402*1.5</f>
        <v>75</v>
      </c>
      <c r="V1402" s="133">
        <f>J1402*0.5</f>
        <v>25</v>
      </c>
    </row>
    <row r="1403" spans="1:22" s="128" customFormat="1" ht="15" hidden="1" customHeight="1" x14ac:dyDescent="0.3">
      <c r="A1403" s="137" t="s">
        <v>486</v>
      </c>
      <c r="B1403" s="137">
        <v>595</v>
      </c>
      <c r="C1403" s="135">
        <v>46188</v>
      </c>
      <c r="D1403" s="144">
        <f>WEEKNUM(C1403)</f>
        <v>25</v>
      </c>
      <c r="E1403" s="137" t="s">
        <v>475</v>
      </c>
      <c r="F1403" s="130" t="s">
        <v>625</v>
      </c>
      <c r="G1403" s="142" t="s">
        <v>489</v>
      </c>
      <c r="H1403" s="137" t="s">
        <v>51</v>
      </c>
      <c r="I1403" s="137" t="s">
        <v>61</v>
      </c>
      <c r="J1403" s="166">
        <v>150</v>
      </c>
      <c r="K1403" s="167">
        <v>67</v>
      </c>
      <c r="L1403" s="167">
        <f>K1403*J1403</f>
        <v>10050</v>
      </c>
      <c r="M1403" s="133">
        <v>0</v>
      </c>
      <c r="N1403" s="135">
        <v>46214</v>
      </c>
      <c r="O1403" s="168">
        <f>WEEKNUM(N1403)</f>
        <v>28</v>
      </c>
      <c r="P1403" s="185"/>
      <c r="Q1403" s="132" t="s">
        <v>29</v>
      </c>
      <c r="R1403" s="133">
        <f>PRODUCT(0.25*J1403)</f>
        <v>37.5</v>
      </c>
      <c r="S1403" s="133">
        <f>PRODUCT(0.25*J1403)</f>
        <v>37.5</v>
      </c>
      <c r="T1403" s="133">
        <f>J1403*1.5</f>
        <v>225</v>
      </c>
      <c r="U1403" s="133">
        <f>J1403*1.5</f>
        <v>225</v>
      </c>
      <c r="V1403" s="133">
        <f>J1403*0.5</f>
        <v>75</v>
      </c>
    </row>
    <row r="1404" spans="1:22" s="128" customFormat="1" ht="15" hidden="1" customHeight="1" x14ac:dyDescent="0.3">
      <c r="A1404" s="137" t="s">
        <v>486</v>
      </c>
      <c r="B1404" s="137">
        <v>598</v>
      </c>
      <c r="C1404" s="135">
        <v>46188</v>
      </c>
      <c r="D1404" s="144">
        <f>WEEKNUM(C1404)</f>
        <v>25</v>
      </c>
      <c r="E1404" s="137" t="s">
        <v>475</v>
      </c>
      <c r="F1404" s="130" t="s">
        <v>635</v>
      </c>
      <c r="G1404" s="142" t="s">
        <v>311</v>
      </c>
      <c r="H1404" s="137" t="s">
        <v>51</v>
      </c>
      <c r="I1404" s="137" t="s">
        <v>46</v>
      </c>
      <c r="J1404" s="166">
        <v>100</v>
      </c>
      <c r="K1404" s="167">
        <v>14.99</v>
      </c>
      <c r="L1404" s="167">
        <f>K1404*J1404</f>
        <v>1499</v>
      </c>
      <c r="M1404" s="133">
        <v>0</v>
      </c>
      <c r="N1404" s="135">
        <v>46218</v>
      </c>
      <c r="O1404" s="168">
        <f>WEEKNUM(N1404)</f>
        <v>29</v>
      </c>
      <c r="P1404" s="185"/>
      <c r="Q1404" s="132" t="s">
        <v>29</v>
      </c>
      <c r="R1404" s="133">
        <f>PRODUCT(0.25*J1404)</f>
        <v>25</v>
      </c>
      <c r="S1404" s="133">
        <f>PRODUCT(0.25*J1404)</f>
        <v>25</v>
      </c>
      <c r="T1404" s="133">
        <f>J1404*1.5</f>
        <v>150</v>
      </c>
      <c r="U1404" s="133">
        <f>J1404*1.5</f>
        <v>150</v>
      </c>
      <c r="V1404" s="133">
        <f>J1404*0.5</f>
        <v>50</v>
      </c>
    </row>
    <row r="1405" spans="1:22" s="128" customFormat="1" ht="15" hidden="1" customHeight="1" x14ac:dyDescent="0.3">
      <c r="A1405" s="137" t="s">
        <v>486</v>
      </c>
      <c r="B1405" s="137">
        <v>598</v>
      </c>
      <c r="C1405" s="135">
        <v>46188</v>
      </c>
      <c r="D1405" s="144">
        <f>WEEKNUM(C1405)</f>
        <v>25</v>
      </c>
      <c r="E1405" s="137" t="s">
        <v>475</v>
      </c>
      <c r="F1405" s="130" t="s">
        <v>635</v>
      </c>
      <c r="G1405" s="132" t="s">
        <v>495</v>
      </c>
      <c r="H1405" s="132" t="s">
        <v>529</v>
      </c>
      <c r="I1405" s="137" t="s">
        <v>46</v>
      </c>
      <c r="J1405" s="166">
        <v>100</v>
      </c>
      <c r="K1405" s="167">
        <v>15.6</v>
      </c>
      <c r="L1405" s="167">
        <f>K1405*J1405</f>
        <v>1560</v>
      </c>
      <c r="M1405" s="133">
        <v>0</v>
      </c>
      <c r="N1405" s="135">
        <v>46218</v>
      </c>
      <c r="O1405" s="168">
        <f>WEEKNUM(N1405)</f>
        <v>29</v>
      </c>
      <c r="P1405" s="185"/>
      <c r="Q1405" s="132" t="s">
        <v>29</v>
      </c>
      <c r="R1405" s="133">
        <f>PRODUCT(0.25*J1405)</f>
        <v>25</v>
      </c>
      <c r="S1405" s="133">
        <f>PRODUCT(0.25*J1405)</f>
        <v>25</v>
      </c>
      <c r="T1405" s="133">
        <f>J1405*1.5</f>
        <v>150</v>
      </c>
      <c r="U1405" s="133">
        <f>J1405*1.5</f>
        <v>150</v>
      </c>
      <c r="V1405" s="133">
        <f>J1405*0.5</f>
        <v>50</v>
      </c>
    </row>
    <row r="1406" spans="1:22" s="128" customFormat="1" ht="15" hidden="1" customHeight="1" x14ac:dyDescent="0.3">
      <c r="A1406" s="137" t="s">
        <v>486</v>
      </c>
      <c r="B1406" s="137">
        <v>592</v>
      </c>
      <c r="C1406" s="135">
        <v>46188</v>
      </c>
      <c r="D1406" s="144">
        <f>WEEKNUM(C1406)</f>
        <v>25</v>
      </c>
      <c r="E1406" s="137" t="s">
        <v>475</v>
      </c>
      <c r="F1406" s="130" t="s">
        <v>636</v>
      </c>
      <c r="G1406" s="132" t="s">
        <v>218</v>
      </c>
      <c r="H1406" s="137" t="s">
        <v>74</v>
      </c>
      <c r="I1406" s="137" t="s">
        <v>46</v>
      </c>
      <c r="J1406" s="166">
        <v>100</v>
      </c>
      <c r="K1406" s="167">
        <v>22.5</v>
      </c>
      <c r="L1406" s="167">
        <f>K1406*J1406</f>
        <v>2250</v>
      </c>
      <c r="M1406" s="133">
        <v>1125</v>
      </c>
      <c r="N1406" s="135">
        <v>46213</v>
      </c>
      <c r="O1406" s="168">
        <f>WEEKNUM(N1406)</f>
        <v>28</v>
      </c>
      <c r="P1406" s="185"/>
      <c r="Q1406" s="132" t="s">
        <v>29</v>
      </c>
      <c r="R1406" s="133">
        <f>PRODUCT(0.25*J1406)</f>
        <v>25</v>
      </c>
      <c r="S1406" s="133">
        <f>PRODUCT(0.25*J1406)</f>
        <v>25</v>
      </c>
      <c r="T1406" s="133">
        <f>J1406*1.5</f>
        <v>150</v>
      </c>
      <c r="U1406" s="133">
        <f>J1406*1.5</f>
        <v>150</v>
      </c>
      <c r="V1406" s="133">
        <f>J1406*0.5</f>
        <v>50</v>
      </c>
    </row>
    <row r="1407" spans="1:22" s="128" customFormat="1" ht="15" hidden="1" customHeight="1" x14ac:dyDescent="0.3">
      <c r="A1407" s="137" t="s">
        <v>477</v>
      </c>
      <c r="B1407" s="137">
        <v>602</v>
      </c>
      <c r="C1407" s="135">
        <v>46189</v>
      </c>
      <c r="D1407" s="144">
        <f>WEEKNUM(C1407)</f>
        <v>25</v>
      </c>
      <c r="E1407" s="137" t="s">
        <v>475</v>
      </c>
      <c r="F1407" s="130" t="s">
        <v>619</v>
      </c>
      <c r="G1407" s="132" t="s">
        <v>218</v>
      </c>
      <c r="H1407" s="137" t="s">
        <v>74</v>
      </c>
      <c r="I1407" s="137" t="s">
        <v>46</v>
      </c>
      <c r="J1407" s="166">
        <v>100</v>
      </c>
      <c r="K1407" s="167">
        <v>36</v>
      </c>
      <c r="L1407" s="167">
        <f>K1407*J1407</f>
        <v>3600</v>
      </c>
      <c r="M1407" s="133">
        <v>3600</v>
      </c>
      <c r="N1407" s="135">
        <v>46191</v>
      </c>
      <c r="O1407" s="168">
        <f>WEEKNUM(N1407)</f>
        <v>25</v>
      </c>
      <c r="P1407" s="185"/>
      <c r="Q1407" s="132" t="s">
        <v>29</v>
      </c>
      <c r="R1407" s="133">
        <f>PRODUCT(0.25*J1407)</f>
        <v>25</v>
      </c>
      <c r="S1407" s="133">
        <f>PRODUCT(0.25*J1407)</f>
        <v>25</v>
      </c>
      <c r="T1407" s="133">
        <f>J1407*1.5</f>
        <v>150</v>
      </c>
      <c r="U1407" s="133">
        <f>J1407*1.5</f>
        <v>150</v>
      </c>
      <c r="V1407" s="133">
        <f>J1407*0.5</f>
        <v>50</v>
      </c>
    </row>
    <row r="1408" spans="1:22" s="128" customFormat="1" ht="15" hidden="1" customHeight="1" x14ac:dyDescent="0.3">
      <c r="A1408" s="137" t="s">
        <v>486</v>
      </c>
      <c r="B1408" s="137">
        <v>606</v>
      </c>
      <c r="C1408" s="135">
        <v>46190</v>
      </c>
      <c r="D1408" s="144">
        <f>WEEKNUM(C1408)</f>
        <v>25</v>
      </c>
      <c r="E1408" s="137" t="s">
        <v>68</v>
      </c>
      <c r="F1408" s="129" t="s">
        <v>404</v>
      </c>
      <c r="G1408" s="182" t="s">
        <v>311</v>
      </c>
      <c r="H1408" s="137" t="s">
        <v>51</v>
      </c>
      <c r="I1408" s="137" t="s">
        <v>46</v>
      </c>
      <c r="J1408" s="166">
        <v>6</v>
      </c>
      <c r="K1408" s="167">
        <v>25</v>
      </c>
      <c r="L1408" s="167">
        <f>K1408*J1408</f>
        <v>150</v>
      </c>
      <c r="M1408" s="156">
        <f>L1408</f>
        <v>150</v>
      </c>
      <c r="N1408" s="135">
        <v>46192</v>
      </c>
      <c r="O1408" s="168">
        <f>WEEKNUM(N1408)</f>
        <v>25</v>
      </c>
      <c r="P1408" s="185"/>
      <c r="Q1408" s="132" t="s">
        <v>29</v>
      </c>
      <c r="R1408" s="133">
        <f>PRODUCT(0.25*J1408)</f>
        <v>1.5</v>
      </c>
      <c r="S1408" s="133">
        <f>PRODUCT(0.25*J1408)</f>
        <v>1.5</v>
      </c>
      <c r="T1408" s="133">
        <f>J1408*1.5</f>
        <v>9</v>
      </c>
      <c r="U1408" s="133">
        <f>J1408*1.5</f>
        <v>9</v>
      </c>
      <c r="V1408" s="133">
        <f>J1408*0.5</f>
        <v>3</v>
      </c>
    </row>
    <row r="1409" spans="1:22" s="128" customFormat="1" ht="15" hidden="1" customHeight="1" x14ac:dyDescent="0.3">
      <c r="A1409" s="137" t="s">
        <v>486</v>
      </c>
      <c r="B1409" s="137">
        <v>601</v>
      </c>
      <c r="C1409" s="135">
        <v>46190</v>
      </c>
      <c r="D1409" s="144">
        <f>WEEKNUM(C1409)</f>
        <v>25</v>
      </c>
      <c r="E1409" s="137" t="s">
        <v>475</v>
      </c>
      <c r="F1409" s="130" t="s">
        <v>514</v>
      </c>
      <c r="G1409" s="142" t="s">
        <v>311</v>
      </c>
      <c r="H1409" s="132" t="s">
        <v>51</v>
      </c>
      <c r="I1409" s="137" t="s">
        <v>46</v>
      </c>
      <c r="J1409" s="166">
        <v>200</v>
      </c>
      <c r="K1409" s="167">
        <v>14.99</v>
      </c>
      <c r="L1409" s="167">
        <f>K1409*J1409</f>
        <v>2998</v>
      </c>
      <c r="M1409" s="133">
        <v>0</v>
      </c>
      <c r="N1409" s="135">
        <v>46219</v>
      </c>
      <c r="O1409" s="168">
        <f>WEEKNUM(N1409)</f>
        <v>29</v>
      </c>
      <c r="P1409" s="185"/>
      <c r="Q1409" s="132" t="s">
        <v>29</v>
      </c>
      <c r="R1409" s="133">
        <f>PRODUCT(0.25*J1409)</f>
        <v>50</v>
      </c>
      <c r="S1409" s="133">
        <f>PRODUCT(0.25*J1409)</f>
        <v>50</v>
      </c>
      <c r="T1409" s="133">
        <f>J1409*1.5</f>
        <v>300</v>
      </c>
      <c r="U1409" s="133">
        <f>J1409*1.5</f>
        <v>300</v>
      </c>
      <c r="V1409" s="133">
        <f>J1409*0.5</f>
        <v>100</v>
      </c>
    </row>
    <row r="1410" spans="1:22" s="128" customFormat="1" ht="15" hidden="1" customHeight="1" x14ac:dyDescent="0.3">
      <c r="A1410" s="137" t="s">
        <v>486</v>
      </c>
      <c r="B1410" s="137">
        <v>603</v>
      </c>
      <c r="C1410" s="135">
        <v>46190</v>
      </c>
      <c r="D1410" s="144">
        <f>WEEKNUM(C1410)</f>
        <v>25</v>
      </c>
      <c r="E1410" s="137" t="s">
        <v>68</v>
      </c>
      <c r="F1410" s="129" t="s">
        <v>404</v>
      </c>
      <c r="G1410" s="182" t="s">
        <v>505</v>
      </c>
      <c r="H1410" s="137" t="s">
        <v>190</v>
      </c>
      <c r="I1410" s="182" t="s">
        <v>61</v>
      </c>
      <c r="J1410" s="166">
        <v>3</v>
      </c>
      <c r="K1410" s="167">
        <v>80</v>
      </c>
      <c r="L1410" s="167">
        <f>K1410*J1410</f>
        <v>240</v>
      </c>
      <c r="M1410" s="156">
        <f>L1410/2</f>
        <v>120</v>
      </c>
      <c r="N1410" s="135">
        <v>46216</v>
      </c>
      <c r="O1410" s="168">
        <f>WEEKNUM(N1410)</f>
        <v>29</v>
      </c>
      <c r="P1410" s="185"/>
      <c r="Q1410" s="132" t="s">
        <v>29</v>
      </c>
      <c r="R1410" s="133">
        <f>PRODUCT(0.25*J1410)</f>
        <v>0.75</v>
      </c>
      <c r="S1410" s="133">
        <f>PRODUCT(0.25*J1410)</f>
        <v>0.75</v>
      </c>
      <c r="T1410" s="133">
        <f>J1410*1.5</f>
        <v>4.5</v>
      </c>
      <c r="U1410" s="133">
        <f>J1410*1.5</f>
        <v>4.5</v>
      </c>
      <c r="V1410" s="133">
        <f>J1410*0.5</f>
        <v>1.5</v>
      </c>
    </row>
    <row r="1411" spans="1:22" s="128" customFormat="1" ht="15" hidden="1" customHeight="1" x14ac:dyDescent="0.3">
      <c r="A1411" s="137" t="s">
        <v>486</v>
      </c>
      <c r="B1411" s="137">
        <v>603</v>
      </c>
      <c r="C1411" s="135">
        <v>46190</v>
      </c>
      <c r="D1411" s="144">
        <f>WEEKNUM(C1411)</f>
        <v>25</v>
      </c>
      <c r="E1411" s="137" t="s">
        <v>68</v>
      </c>
      <c r="F1411" s="129" t="s">
        <v>404</v>
      </c>
      <c r="G1411" s="142" t="s">
        <v>408</v>
      </c>
      <c r="H1411" s="137" t="s">
        <v>80</v>
      </c>
      <c r="I1411" s="137" t="s">
        <v>46</v>
      </c>
      <c r="J1411" s="166">
        <v>3</v>
      </c>
      <c r="K1411" s="167">
        <v>21</v>
      </c>
      <c r="L1411" s="167">
        <f>K1411*J1411</f>
        <v>63</v>
      </c>
      <c r="M1411" s="156">
        <f>L1411/2</f>
        <v>31.5</v>
      </c>
      <c r="N1411" s="135">
        <v>46216</v>
      </c>
      <c r="O1411" s="168">
        <f>WEEKNUM(N1411)</f>
        <v>29</v>
      </c>
      <c r="P1411" s="185"/>
      <c r="Q1411" s="132" t="s">
        <v>29</v>
      </c>
      <c r="R1411" s="133">
        <f>PRODUCT(0.25*J1411)</f>
        <v>0.75</v>
      </c>
      <c r="S1411" s="133">
        <f>PRODUCT(0.25*J1411)</f>
        <v>0.75</v>
      </c>
      <c r="T1411" s="133">
        <f>J1411*1.5</f>
        <v>4.5</v>
      </c>
      <c r="U1411" s="133">
        <f>J1411*1.5</f>
        <v>4.5</v>
      </c>
      <c r="V1411" s="133">
        <f>J1411*0.5</f>
        <v>1.5</v>
      </c>
    </row>
    <row r="1412" spans="1:22" s="128" customFormat="1" ht="15" hidden="1" customHeight="1" x14ac:dyDescent="0.3">
      <c r="A1412" s="137" t="s">
        <v>486</v>
      </c>
      <c r="B1412" s="137">
        <v>603</v>
      </c>
      <c r="C1412" s="135">
        <v>46190</v>
      </c>
      <c r="D1412" s="144">
        <f>WEEKNUM(C1412)</f>
        <v>25</v>
      </c>
      <c r="E1412" s="137" t="s">
        <v>68</v>
      </c>
      <c r="F1412" s="129" t="s">
        <v>404</v>
      </c>
      <c r="G1412" s="142" t="s">
        <v>374</v>
      </c>
      <c r="H1412" s="137" t="s">
        <v>74</v>
      </c>
      <c r="I1412" s="137" t="s">
        <v>46</v>
      </c>
      <c r="J1412" s="166">
        <v>6</v>
      </c>
      <c r="K1412" s="167">
        <v>47.5</v>
      </c>
      <c r="L1412" s="167">
        <f>K1412*J1412</f>
        <v>285</v>
      </c>
      <c r="M1412" s="156">
        <f>L1412/2</f>
        <v>142.5</v>
      </c>
      <c r="N1412" s="135">
        <v>46216</v>
      </c>
      <c r="O1412" s="168">
        <f>WEEKNUM(N1412)</f>
        <v>29</v>
      </c>
      <c r="P1412" s="185"/>
      <c r="Q1412" s="132" t="s">
        <v>29</v>
      </c>
      <c r="R1412" s="133">
        <f>PRODUCT(0.25*J1412)</f>
        <v>1.5</v>
      </c>
      <c r="S1412" s="133">
        <f>PRODUCT(0.25*J1412)</f>
        <v>1.5</v>
      </c>
      <c r="T1412" s="133">
        <f>J1412*1.5</f>
        <v>9</v>
      </c>
      <c r="U1412" s="133">
        <f>J1412*1.5</f>
        <v>9</v>
      </c>
      <c r="V1412" s="133">
        <f>J1412*0.5</f>
        <v>3</v>
      </c>
    </row>
    <row r="1413" spans="1:22" s="128" customFormat="1" ht="15" hidden="1" customHeight="1" x14ac:dyDescent="0.3">
      <c r="A1413" s="137" t="s">
        <v>486</v>
      </c>
      <c r="B1413" s="137">
        <v>603</v>
      </c>
      <c r="C1413" s="135">
        <v>46190</v>
      </c>
      <c r="D1413" s="144">
        <f>WEEKNUM(C1413)</f>
        <v>25</v>
      </c>
      <c r="E1413" s="137" t="s">
        <v>68</v>
      </c>
      <c r="F1413" s="129" t="s">
        <v>404</v>
      </c>
      <c r="G1413" s="132" t="s">
        <v>301</v>
      </c>
      <c r="H1413" s="137" t="s">
        <v>74</v>
      </c>
      <c r="I1413" s="137" t="s">
        <v>46</v>
      </c>
      <c r="J1413" s="166">
        <v>2</v>
      </c>
      <c r="K1413" s="167">
        <v>36.75</v>
      </c>
      <c r="L1413" s="167">
        <f>K1413*J1413</f>
        <v>73.5</v>
      </c>
      <c r="M1413" s="156">
        <f>L1413/2</f>
        <v>36.75</v>
      </c>
      <c r="N1413" s="135">
        <v>46216</v>
      </c>
      <c r="O1413" s="168">
        <f>WEEKNUM(N1413)</f>
        <v>29</v>
      </c>
      <c r="P1413" s="185"/>
      <c r="Q1413" s="132" t="s">
        <v>29</v>
      </c>
      <c r="R1413" s="133">
        <f>PRODUCT(0.25*J1413)</f>
        <v>0.5</v>
      </c>
      <c r="S1413" s="133">
        <f>PRODUCT(0.25*J1413)</f>
        <v>0.5</v>
      </c>
      <c r="T1413" s="133">
        <f>J1413*1.5</f>
        <v>3</v>
      </c>
      <c r="U1413" s="133">
        <f>J1413*1.5</f>
        <v>3</v>
      </c>
      <c r="V1413" s="133">
        <f>J1413*0.5</f>
        <v>1</v>
      </c>
    </row>
    <row r="1414" spans="1:22" s="128" customFormat="1" ht="15" hidden="1" customHeight="1" x14ac:dyDescent="0.3">
      <c r="A1414" s="137" t="s">
        <v>486</v>
      </c>
      <c r="B1414" s="137">
        <v>603</v>
      </c>
      <c r="C1414" s="135">
        <v>46190</v>
      </c>
      <c r="D1414" s="144">
        <f>WEEKNUM(C1414)</f>
        <v>25</v>
      </c>
      <c r="E1414" s="137" t="s">
        <v>68</v>
      </c>
      <c r="F1414" s="129" t="s">
        <v>404</v>
      </c>
      <c r="G1414" s="142" t="s">
        <v>339</v>
      </c>
      <c r="H1414" s="137" t="s">
        <v>340</v>
      </c>
      <c r="I1414" s="137" t="s">
        <v>46</v>
      </c>
      <c r="J1414" s="166">
        <v>1</v>
      </c>
      <c r="K1414" s="167">
        <v>65</v>
      </c>
      <c r="L1414" s="167">
        <f>K1414*J1414</f>
        <v>65</v>
      </c>
      <c r="M1414" s="156">
        <f>L1414/2</f>
        <v>32.5</v>
      </c>
      <c r="N1414" s="135">
        <v>46216</v>
      </c>
      <c r="O1414" s="168">
        <f>WEEKNUM(N1414)</f>
        <v>29</v>
      </c>
      <c r="P1414" s="185"/>
      <c r="Q1414" s="132" t="s">
        <v>29</v>
      </c>
      <c r="R1414" s="133">
        <f>PRODUCT(0.25*J1414)</f>
        <v>0.25</v>
      </c>
      <c r="S1414" s="133">
        <f>PRODUCT(0.25*J1414)</f>
        <v>0.25</v>
      </c>
      <c r="T1414" s="133">
        <f>J1414*1.5</f>
        <v>1.5</v>
      </c>
      <c r="U1414" s="133">
        <f>J1414*1.5</f>
        <v>1.5</v>
      </c>
      <c r="V1414" s="133">
        <f>J1414*0.5</f>
        <v>0.5</v>
      </c>
    </row>
    <row r="1415" spans="1:22" s="128" customFormat="1" ht="15" hidden="1" customHeight="1" x14ac:dyDescent="0.3">
      <c r="A1415" s="137" t="s">
        <v>486</v>
      </c>
      <c r="B1415" s="137">
        <v>603</v>
      </c>
      <c r="C1415" s="135">
        <v>46190</v>
      </c>
      <c r="D1415" s="144">
        <f>WEEKNUM(C1415)</f>
        <v>25</v>
      </c>
      <c r="E1415" s="137" t="s">
        <v>68</v>
      </c>
      <c r="F1415" s="129" t="s">
        <v>404</v>
      </c>
      <c r="G1415" s="144" t="s">
        <v>356</v>
      </c>
      <c r="H1415" s="144" t="s">
        <v>321</v>
      </c>
      <c r="I1415" s="137" t="s">
        <v>61</v>
      </c>
      <c r="J1415" s="166">
        <v>1</v>
      </c>
      <c r="K1415" s="167">
        <v>120</v>
      </c>
      <c r="L1415" s="167">
        <f>K1415*J1415</f>
        <v>120</v>
      </c>
      <c r="M1415" s="156">
        <f>L1415/2</f>
        <v>60</v>
      </c>
      <c r="N1415" s="135">
        <v>46216</v>
      </c>
      <c r="O1415" s="168">
        <f>WEEKNUM(N1415)</f>
        <v>29</v>
      </c>
      <c r="P1415" s="185"/>
      <c r="Q1415" s="132" t="s">
        <v>29</v>
      </c>
      <c r="R1415" s="133">
        <f>PRODUCT(0.25*J1415)</f>
        <v>0.25</v>
      </c>
      <c r="S1415" s="133">
        <f>PRODUCT(0.25*J1415)</f>
        <v>0.25</v>
      </c>
      <c r="T1415" s="133">
        <f>J1415*1.5</f>
        <v>1.5</v>
      </c>
      <c r="U1415" s="133">
        <f>J1415*1.5</f>
        <v>1.5</v>
      </c>
      <c r="V1415" s="133">
        <f>J1415*0.5</f>
        <v>0.5</v>
      </c>
    </row>
    <row r="1416" spans="1:22" s="128" customFormat="1" ht="15" hidden="1" customHeight="1" x14ac:dyDescent="0.3">
      <c r="A1416" s="137" t="s">
        <v>477</v>
      </c>
      <c r="B1416" s="137">
        <v>605</v>
      </c>
      <c r="C1416" s="135">
        <v>46190</v>
      </c>
      <c r="D1416" s="144">
        <f>WEEKNUM(C1416)</f>
        <v>25</v>
      </c>
      <c r="E1416" s="137" t="s">
        <v>498</v>
      </c>
      <c r="F1416" s="130" t="s">
        <v>637</v>
      </c>
      <c r="G1416" s="182" t="s">
        <v>487</v>
      </c>
      <c r="H1416" s="137" t="s">
        <v>51</v>
      </c>
      <c r="I1416" s="137" t="s">
        <v>46</v>
      </c>
      <c r="J1416" s="166">
        <v>300</v>
      </c>
      <c r="K1416" s="167">
        <v>23.5</v>
      </c>
      <c r="L1416" s="167">
        <f>K1416*J1416</f>
        <v>7050</v>
      </c>
      <c r="M1416" s="133">
        <v>7050</v>
      </c>
      <c r="N1416" s="135">
        <v>46218</v>
      </c>
      <c r="O1416" s="168">
        <f>WEEKNUM(N1416)</f>
        <v>29</v>
      </c>
      <c r="P1416" s="185"/>
      <c r="Q1416" s="132" t="s">
        <v>29</v>
      </c>
      <c r="R1416" s="133">
        <f>PRODUCT(0.25*J1416)</f>
        <v>75</v>
      </c>
      <c r="S1416" s="133">
        <f>PRODUCT(0.25*J1416)</f>
        <v>75</v>
      </c>
      <c r="T1416" s="133">
        <f>J1416*1.5</f>
        <v>450</v>
      </c>
      <c r="U1416" s="133">
        <f>J1416*1.5</f>
        <v>450</v>
      </c>
      <c r="V1416" s="133">
        <f>J1416*0.5</f>
        <v>150</v>
      </c>
    </row>
    <row r="1417" spans="1:22" s="128" customFormat="1" ht="15" hidden="1" customHeight="1" x14ac:dyDescent="0.3">
      <c r="A1417" s="137" t="s">
        <v>477</v>
      </c>
      <c r="B1417" s="137">
        <v>604</v>
      </c>
      <c r="C1417" s="135">
        <v>46190</v>
      </c>
      <c r="D1417" s="144">
        <f>WEEKNUM(C1417)</f>
        <v>25</v>
      </c>
      <c r="E1417" s="137" t="s">
        <v>478</v>
      </c>
      <c r="F1417" s="140" t="s">
        <v>444</v>
      </c>
      <c r="G1417" s="136" t="s">
        <v>638</v>
      </c>
      <c r="H1417" s="137" t="s">
        <v>60</v>
      </c>
      <c r="I1417" s="137" t="s">
        <v>61</v>
      </c>
      <c r="J1417" s="166">
        <v>300</v>
      </c>
      <c r="K1417" s="167">
        <v>23</v>
      </c>
      <c r="L1417" s="167">
        <f>K1417*J1417</f>
        <v>6900</v>
      </c>
      <c r="M1417" s="133">
        <v>6900</v>
      </c>
      <c r="N1417" s="135">
        <v>46219</v>
      </c>
      <c r="O1417" s="168">
        <f>WEEKNUM(N1417)</f>
        <v>29</v>
      </c>
      <c r="P1417" s="185"/>
      <c r="Q1417" s="132" t="s">
        <v>29</v>
      </c>
      <c r="R1417" s="133">
        <f>PRODUCT(0.25*J1417)</f>
        <v>75</v>
      </c>
      <c r="S1417" s="133">
        <f>PRODUCT(0.25*J1417)</f>
        <v>75</v>
      </c>
      <c r="T1417" s="133">
        <f>J1417*1.5</f>
        <v>450</v>
      </c>
      <c r="U1417" s="133">
        <f>J1417*1.5</f>
        <v>450</v>
      </c>
      <c r="V1417" s="133">
        <f>J1417*0.5</f>
        <v>150</v>
      </c>
    </row>
    <row r="1418" spans="1:22" s="128" customFormat="1" ht="15" hidden="1" customHeight="1" x14ac:dyDescent="0.3">
      <c r="A1418" s="137" t="s">
        <v>486</v>
      </c>
      <c r="B1418" s="137">
        <v>607</v>
      </c>
      <c r="C1418" s="135">
        <v>46191</v>
      </c>
      <c r="D1418" s="144">
        <f>WEEKNUM(C1418)</f>
        <v>25</v>
      </c>
      <c r="E1418" s="137" t="s">
        <v>475</v>
      </c>
      <c r="F1418" s="130" t="s">
        <v>662</v>
      </c>
      <c r="G1418" s="137" t="s">
        <v>218</v>
      </c>
      <c r="H1418" s="137" t="s">
        <v>74</v>
      </c>
      <c r="I1418" s="137" t="s">
        <v>46</v>
      </c>
      <c r="J1418" s="166">
        <v>120</v>
      </c>
      <c r="K1418" s="167">
        <v>22.5</v>
      </c>
      <c r="L1418" s="167">
        <f>K1418*J1418</f>
        <v>2700</v>
      </c>
      <c r="M1418" s="133">
        <f>L1418/2</f>
        <v>1350</v>
      </c>
      <c r="N1418" s="135">
        <v>46220</v>
      </c>
      <c r="O1418" s="168">
        <f>WEEKNUM(N1418)</f>
        <v>29</v>
      </c>
      <c r="P1418" s="185"/>
      <c r="Q1418" s="132" t="s">
        <v>29</v>
      </c>
      <c r="R1418" s="133">
        <f>PRODUCT(0.25*J1418)</f>
        <v>30</v>
      </c>
      <c r="S1418" s="133">
        <f>PRODUCT(0.25*J1418)</f>
        <v>30</v>
      </c>
      <c r="T1418" s="133">
        <f>J1418*1.5</f>
        <v>180</v>
      </c>
      <c r="U1418" s="133">
        <f>J1418*1.5</f>
        <v>180</v>
      </c>
      <c r="V1418" s="133">
        <f>J1418*0.5</f>
        <v>60</v>
      </c>
    </row>
    <row r="1419" spans="1:22" s="128" customFormat="1" ht="15" hidden="1" customHeight="1" x14ac:dyDescent="0.3">
      <c r="A1419" s="137" t="s">
        <v>477</v>
      </c>
      <c r="B1419" s="137">
        <v>609</v>
      </c>
      <c r="C1419" s="135">
        <v>46192</v>
      </c>
      <c r="D1419" s="144">
        <f>WEEKNUM(C1419)</f>
        <v>25</v>
      </c>
      <c r="E1419" s="137" t="s">
        <v>475</v>
      </c>
      <c r="F1419" s="130" t="s">
        <v>533</v>
      </c>
      <c r="G1419" s="137" t="s">
        <v>534</v>
      </c>
      <c r="H1419" s="137" t="s">
        <v>60</v>
      </c>
      <c r="I1419" s="137" t="s">
        <v>61</v>
      </c>
      <c r="J1419" s="137">
        <v>50</v>
      </c>
      <c r="K1419" s="167">
        <v>25</v>
      </c>
      <c r="L1419" s="167">
        <f>K1419*J1419</f>
        <v>1250</v>
      </c>
      <c r="M1419" s="133">
        <v>1250</v>
      </c>
      <c r="N1419" s="135">
        <v>46203</v>
      </c>
      <c r="O1419" s="168">
        <f>WEEKNUM(N1419)</f>
        <v>27</v>
      </c>
      <c r="P1419" s="185"/>
      <c r="Q1419" s="132" t="s">
        <v>29</v>
      </c>
      <c r="R1419" s="133">
        <f>PRODUCT(0.25*J1419)</f>
        <v>12.5</v>
      </c>
      <c r="S1419" s="133">
        <f>PRODUCT(0.25*J1419)</f>
        <v>12.5</v>
      </c>
      <c r="T1419" s="133">
        <f>J1419*1.5</f>
        <v>75</v>
      </c>
      <c r="U1419" s="133">
        <f>J1419*1.5</f>
        <v>75</v>
      </c>
      <c r="V1419" s="133">
        <f>J1419*0.5</f>
        <v>25</v>
      </c>
    </row>
    <row r="1420" spans="1:22" s="128" customFormat="1" ht="15" hidden="1" customHeight="1" x14ac:dyDescent="0.3">
      <c r="A1420" s="137" t="s">
        <v>486</v>
      </c>
      <c r="B1420" s="137">
        <v>610</v>
      </c>
      <c r="C1420" s="135">
        <v>46192</v>
      </c>
      <c r="D1420" s="144">
        <f>WEEKNUM(C1420)</f>
        <v>25</v>
      </c>
      <c r="E1420" s="137" t="s">
        <v>68</v>
      </c>
      <c r="F1420" s="130" t="s">
        <v>334</v>
      </c>
      <c r="G1420" s="182" t="s">
        <v>374</v>
      </c>
      <c r="H1420" s="137" t="s">
        <v>74</v>
      </c>
      <c r="I1420" s="137" t="s">
        <v>46</v>
      </c>
      <c r="J1420" s="166">
        <v>10</v>
      </c>
      <c r="K1420" s="167">
        <v>47.5</v>
      </c>
      <c r="L1420" s="167">
        <f>K1420*J1420</f>
        <v>475</v>
      </c>
      <c r="M1420" s="133">
        <f>L1420/2</f>
        <v>237.5</v>
      </c>
      <c r="N1420" s="135">
        <v>46217</v>
      </c>
      <c r="O1420" s="168">
        <f>WEEKNUM(N1420)</f>
        <v>29</v>
      </c>
      <c r="P1420" s="185"/>
      <c r="Q1420" s="132" t="s">
        <v>29</v>
      </c>
      <c r="R1420" s="133">
        <f>PRODUCT(0.25*J1420)</f>
        <v>2.5</v>
      </c>
      <c r="S1420" s="133">
        <f>PRODUCT(0.25*J1420)</f>
        <v>2.5</v>
      </c>
      <c r="T1420" s="133">
        <f>J1420*1.5</f>
        <v>15</v>
      </c>
      <c r="U1420" s="133">
        <f>J1420*1.5</f>
        <v>15</v>
      </c>
      <c r="V1420" s="133">
        <f>J1420*0.5</f>
        <v>5</v>
      </c>
    </row>
    <row r="1421" spans="1:22" s="128" customFormat="1" ht="15" hidden="1" customHeight="1" x14ac:dyDescent="0.3">
      <c r="A1421" s="137" t="s">
        <v>486</v>
      </c>
      <c r="B1421" s="137">
        <v>610</v>
      </c>
      <c r="C1421" s="135">
        <v>46192</v>
      </c>
      <c r="D1421" s="144">
        <f>WEEKNUM(C1421)</f>
        <v>25</v>
      </c>
      <c r="E1421" s="137" t="s">
        <v>68</v>
      </c>
      <c r="F1421" s="130" t="s">
        <v>334</v>
      </c>
      <c r="G1421" s="137" t="s">
        <v>215</v>
      </c>
      <c r="H1421" s="137" t="s">
        <v>74</v>
      </c>
      <c r="I1421" s="137" t="s">
        <v>46</v>
      </c>
      <c r="J1421" s="166">
        <v>10</v>
      </c>
      <c r="K1421" s="167">
        <v>36.75</v>
      </c>
      <c r="L1421" s="167">
        <f>K1421*J1421</f>
        <v>367.5</v>
      </c>
      <c r="M1421" s="133">
        <f>L1421/2</f>
        <v>183.75</v>
      </c>
      <c r="N1421" s="135">
        <v>46217</v>
      </c>
      <c r="O1421" s="168">
        <f>WEEKNUM(N1421)</f>
        <v>29</v>
      </c>
      <c r="P1421" s="185"/>
      <c r="Q1421" s="132" t="s">
        <v>29</v>
      </c>
      <c r="R1421" s="133">
        <f>PRODUCT(0.25*J1421)</f>
        <v>2.5</v>
      </c>
      <c r="S1421" s="133">
        <f>PRODUCT(0.25*J1421)</f>
        <v>2.5</v>
      </c>
      <c r="T1421" s="133">
        <f>J1421*1.5</f>
        <v>15</v>
      </c>
      <c r="U1421" s="133">
        <f>J1421*1.5</f>
        <v>15</v>
      </c>
      <c r="V1421" s="133">
        <f>J1421*0.5</f>
        <v>5</v>
      </c>
    </row>
    <row r="1422" spans="1:22" s="128" customFormat="1" ht="15" hidden="1" customHeight="1" x14ac:dyDescent="0.3">
      <c r="A1422" s="137" t="s">
        <v>486</v>
      </c>
      <c r="B1422" s="137">
        <v>610</v>
      </c>
      <c r="C1422" s="135">
        <v>46192</v>
      </c>
      <c r="D1422" s="144">
        <f>WEEKNUM(C1422)</f>
        <v>25</v>
      </c>
      <c r="E1422" s="137" t="s">
        <v>68</v>
      </c>
      <c r="F1422" s="130" t="s">
        <v>334</v>
      </c>
      <c r="G1422" s="182" t="s">
        <v>408</v>
      </c>
      <c r="H1422" s="137" t="s">
        <v>80</v>
      </c>
      <c r="I1422" s="137" t="s">
        <v>46</v>
      </c>
      <c r="J1422" s="166">
        <v>10</v>
      </c>
      <c r="K1422" s="167">
        <v>21</v>
      </c>
      <c r="L1422" s="167">
        <f>K1422*J1422</f>
        <v>210</v>
      </c>
      <c r="M1422" s="156">
        <f>L1422/2</f>
        <v>105</v>
      </c>
      <c r="N1422" s="135">
        <v>46217</v>
      </c>
      <c r="O1422" s="168">
        <f>WEEKNUM(N1422)</f>
        <v>29</v>
      </c>
      <c r="P1422" s="185"/>
      <c r="Q1422" s="132" t="s">
        <v>29</v>
      </c>
      <c r="R1422" s="133">
        <f>PRODUCT(0.25*J1422)</f>
        <v>2.5</v>
      </c>
      <c r="S1422" s="133">
        <f>PRODUCT(0.25*J1422)</f>
        <v>2.5</v>
      </c>
      <c r="T1422" s="133">
        <f>J1422*1.5</f>
        <v>15</v>
      </c>
      <c r="U1422" s="133">
        <f>J1422*1.5</f>
        <v>15</v>
      </c>
      <c r="V1422" s="133">
        <f>J1422*0.5</f>
        <v>5</v>
      </c>
    </row>
    <row r="1423" spans="1:22" s="128" customFormat="1" ht="15" hidden="1" customHeight="1" x14ac:dyDescent="0.3">
      <c r="A1423" s="137" t="s">
        <v>486</v>
      </c>
      <c r="B1423" s="137">
        <v>610</v>
      </c>
      <c r="C1423" s="135">
        <v>46192</v>
      </c>
      <c r="D1423" s="144">
        <f>WEEKNUM(C1423)</f>
        <v>25</v>
      </c>
      <c r="E1423" s="137" t="s">
        <v>68</v>
      </c>
      <c r="F1423" s="130" t="s">
        <v>334</v>
      </c>
      <c r="G1423" s="182" t="s">
        <v>311</v>
      </c>
      <c r="H1423" s="137" t="s">
        <v>51</v>
      </c>
      <c r="I1423" s="137" t="s">
        <v>46</v>
      </c>
      <c r="J1423" s="166">
        <v>12</v>
      </c>
      <c r="K1423" s="167">
        <v>25</v>
      </c>
      <c r="L1423" s="167">
        <f>K1423*J1423</f>
        <v>300</v>
      </c>
      <c r="M1423" s="156">
        <f>L1423/2</f>
        <v>150</v>
      </c>
      <c r="N1423" s="135">
        <v>46217</v>
      </c>
      <c r="O1423" s="168">
        <f>WEEKNUM(N1423)</f>
        <v>29</v>
      </c>
      <c r="P1423" s="185"/>
      <c r="Q1423" s="132" t="s">
        <v>29</v>
      </c>
      <c r="R1423" s="133">
        <f>PRODUCT(0.25*J1423)</f>
        <v>3</v>
      </c>
      <c r="S1423" s="133">
        <f>PRODUCT(0.25*J1423)</f>
        <v>3</v>
      </c>
      <c r="T1423" s="133">
        <f>J1423*1.5</f>
        <v>18</v>
      </c>
      <c r="U1423" s="133">
        <f>J1423*1.5</f>
        <v>18</v>
      </c>
      <c r="V1423" s="133">
        <f>J1423*0.5</f>
        <v>6</v>
      </c>
    </row>
    <row r="1424" spans="1:22" s="128" customFormat="1" ht="15" hidden="1" customHeight="1" x14ac:dyDescent="0.3">
      <c r="A1424" s="137" t="s">
        <v>486</v>
      </c>
      <c r="B1424" s="137">
        <v>610</v>
      </c>
      <c r="C1424" s="135">
        <v>46192</v>
      </c>
      <c r="D1424" s="144">
        <f>WEEKNUM(C1424)</f>
        <v>25</v>
      </c>
      <c r="E1424" s="137" t="s">
        <v>68</v>
      </c>
      <c r="F1424" s="130" t="s">
        <v>334</v>
      </c>
      <c r="G1424" s="144" t="s">
        <v>356</v>
      </c>
      <c r="H1424" s="144" t="s">
        <v>321</v>
      </c>
      <c r="I1424" s="137" t="s">
        <v>46</v>
      </c>
      <c r="J1424" s="166">
        <v>6</v>
      </c>
      <c r="K1424" s="167">
        <v>120</v>
      </c>
      <c r="L1424" s="167">
        <f>K1424*J1424</f>
        <v>720</v>
      </c>
      <c r="M1424" s="202">
        <f>L1424/2</f>
        <v>360</v>
      </c>
      <c r="N1424" s="135">
        <v>46217</v>
      </c>
      <c r="O1424" s="168">
        <f>WEEKNUM(N1424)</f>
        <v>29</v>
      </c>
      <c r="P1424" s="185"/>
      <c r="Q1424" s="132" t="s">
        <v>29</v>
      </c>
      <c r="R1424" s="133">
        <f>PRODUCT(0.25*J1424)</f>
        <v>1.5</v>
      </c>
      <c r="S1424" s="133">
        <f>PRODUCT(0.25*J1424)</f>
        <v>1.5</v>
      </c>
      <c r="T1424" s="133">
        <f>J1424*1.5</f>
        <v>9</v>
      </c>
      <c r="U1424" s="133">
        <f>J1424*1.5</f>
        <v>9</v>
      </c>
      <c r="V1424" s="133">
        <f>J1424*0.5</f>
        <v>3</v>
      </c>
    </row>
    <row r="1425" spans="1:22" s="128" customFormat="1" ht="15" hidden="1" customHeight="1" x14ac:dyDescent="0.3">
      <c r="A1425" s="137" t="s">
        <v>486</v>
      </c>
      <c r="B1425" s="137">
        <v>610</v>
      </c>
      <c r="C1425" s="135">
        <v>46192</v>
      </c>
      <c r="D1425" s="144">
        <f>WEEKNUM(C1425)</f>
        <v>25</v>
      </c>
      <c r="E1425" s="137" t="s">
        <v>68</v>
      </c>
      <c r="F1425" s="130" t="s">
        <v>334</v>
      </c>
      <c r="G1425" s="182" t="s">
        <v>339</v>
      </c>
      <c r="H1425" s="137" t="s">
        <v>340</v>
      </c>
      <c r="I1425" s="137" t="s">
        <v>46</v>
      </c>
      <c r="J1425" s="166">
        <v>2</v>
      </c>
      <c r="K1425" s="167">
        <v>65</v>
      </c>
      <c r="L1425" s="167">
        <f>K1425*J1425</f>
        <v>130</v>
      </c>
      <c r="M1425" s="202">
        <f>L1425/2</f>
        <v>65</v>
      </c>
      <c r="N1425" s="135">
        <v>46217</v>
      </c>
      <c r="O1425" s="168">
        <f>WEEKNUM(N1425)</f>
        <v>29</v>
      </c>
      <c r="P1425" s="185"/>
      <c r="Q1425" s="132" t="s">
        <v>29</v>
      </c>
      <c r="R1425" s="133">
        <f>PRODUCT(0.25*J1425)</f>
        <v>0.5</v>
      </c>
      <c r="S1425" s="133">
        <f>PRODUCT(0.25*J1425)</f>
        <v>0.5</v>
      </c>
      <c r="T1425" s="133">
        <f>J1425*1.5</f>
        <v>3</v>
      </c>
      <c r="U1425" s="133">
        <f>J1425*1.5</f>
        <v>3</v>
      </c>
      <c r="V1425" s="133">
        <f>J1425*0.5</f>
        <v>1</v>
      </c>
    </row>
    <row r="1426" spans="1:22" s="128" customFormat="1" ht="15" hidden="1" customHeight="1" x14ac:dyDescent="0.3">
      <c r="A1426" s="137" t="s">
        <v>486</v>
      </c>
      <c r="B1426" s="137">
        <v>600</v>
      </c>
      <c r="C1426" s="135">
        <v>46192</v>
      </c>
      <c r="D1426" s="144">
        <f>WEEKNUM(C1426)</f>
        <v>25</v>
      </c>
      <c r="E1426" s="137" t="s">
        <v>68</v>
      </c>
      <c r="F1426" s="130" t="s">
        <v>405</v>
      </c>
      <c r="G1426" s="142" t="s">
        <v>311</v>
      </c>
      <c r="H1426" s="137" t="s">
        <v>51</v>
      </c>
      <c r="I1426" s="137" t="s">
        <v>46</v>
      </c>
      <c r="J1426" s="166">
        <v>5</v>
      </c>
      <c r="K1426" s="167">
        <v>25</v>
      </c>
      <c r="L1426" s="167">
        <f>K1426*J1426</f>
        <v>125</v>
      </c>
      <c r="M1426" s="156">
        <f>L1426/2</f>
        <v>62.5</v>
      </c>
      <c r="N1426" s="135">
        <v>46216</v>
      </c>
      <c r="O1426" s="168">
        <f>WEEKNUM(N1426)</f>
        <v>29</v>
      </c>
      <c r="P1426" s="185"/>
      <c r="Q1426" s="132" t="s">
        <v>29</v>
      </c>
      <c r="R1426" s="133">
        <f>PRODUCT(0.25*J1426)</f>
        <v>1.25</v>
      </c>
      <c r="S1426" s="133">
        <f>PRODUCT(0.25*J1426)</f>
        <v>1.25</v>
      </c>
      <c r="T1426" s="133">
        <f>J1426*1.5</f>
        <v>7.5</v>
      </c>
      <c r="U1426" s="133">
        <f>J1426*1.5</f>
        <v>7.5</v>
      </c>
      <c r="V1426" s="133">
        <f>J1426*0.5</f>
        <v>2.5</v>
      </c>
    </row>
    <row r="1427" spans="1:22" s="128" customFormat="1" ht="15" hidden="1" customHeight="1" x14ac:dyDescent="0.3">
      <c r="A1427" s="137" t="s">
        <v>486</v>
      </c>
      <c r="B1427" s="137">
        <v>600</v>
      </c>
      <c r="C1427" s="135">
        <v>46192</v>
      </c>
      <c r="D1427" s="144">
        <f>WEEKNUM(C1427)</f>
        <v>25</v>
      </c>
      <c r="E1427" s="137" t="s">
        <v>68</v>
      </c>
      <c r="F1427" s="130" t="s">
        <v>405</v>
      </c>
      <c r="G1427" s="137" t="s">
        <v>301</v>
      </c>
      <c r="H1427" s="137" t="s">
        <v>74</v>
      </c>
      <c r="I1427" s="137" t="s">
        <v>46</v>
      </c>
      <c r="J1427" s="166">
        <v>12</v>
      </c>
      <c r="K1427" s="167">
        <v>36.75</v>
      </c>
      <c r="L1427" s="167">
        <f>K1427*J1427</f>
        <v>441</v>
      </c>
      <c r="M1427" s="156">
        <f>L1427/2</f>
        <v>220.5</v>
      </c>
      <c r="N1427" s="135">
        <v>46216</v>
      </c>
      <c r="O1427" s="168">
        <f>WEEKNUM(N1427)</f>
        <v>29</v>
      </c>
      <c r="P1427" s="185"/>
      <c r="Q1427" s="132" t="s">
        <v>29</v>
      </c>
      <c r="R1427" s="133">
        <f>PRODUCT(0.25*J1427)</f>
        <v>3</v>
      </c>
      <c r="S1427" s="133">
        <f>PRODUCT(0.25*J1427)</f>
        <v>3</v>
      </c>
      <c r="T1427" s="133">
        <f>J1427*1.5</f>
        <v>18</v>
      </c>
      <c r="U1427" s="133">
        <f>J1427*1.5</f>
        <v>18</v>
      </c>
      <c r="V1427" s="133">
        <f>J1427*0.5</f>
        <v>6</v>
      </c>
    </row>
    <row r="1428" spans="1:22" s="128" customFormat="1" ht="15" hidden="1" customHeight="1" x14ac:dyDescent="0.3">
      <c r="A1428" s="137" t="s">
        <v>486</v>
      </c>
      <c r="B1428" s="137">
        <v>608</v>
      </c>
      <c r="C1428" s="135">
        <v>46192</v>
      </c>
      <c r="D1428" s="144">
        <f>WEEKNUM(C1428)</f>
        <v>25</v>
      </c>
      <c r="E1428" s="137" t="s">
        <v>498</v>
      </c>
      <c r="F1428" s="130" t="s">
        <v>824</v>
      </c>
      <c r="G1428" s="142" t="s">
        <v>487</v>
      </c>
      <c r="H1428" s="137" t="s">
        <v>51</v>
      </c>
      <c r="I1428" s="137" t="s">
        <v>46</v>
      </c>
      <c r="J1428" s="166">
        <v>50</v>
      </c>
      <c r="K1428" s="167">
        <v>30</v>
      </c>
      <c r="L1428" s="167">
        <f>K1428*J1428</f>
        <v>1500</v>
      </c>
      <c r="M1428" s="133">
        <v>0</v>
      </c>
      <c r="N1428" s="135">
        <v>46223</v>
      </c>
      <c r="O1428" s="168">
        <f>WEEKNUM(N1428)</f>
        <v>30</v>
      </c>
      <c r="P1428" s="185"/>
      <c r="Q1428" s="132" t="s">
        <v>29</v>
      </c>
      <c r="R1428" s="133">
        <f>PRODUCT(0.25*J1428)</f>
        <v>12.5</v>
      </c>
      <c r="S1428" s="133">
        <f>PRODUCT(0.25*J1428)</f>
        <v>12.5</v>
      </c>
      <c r="T1428" s="133">
        <f>J1428*1.5</f>
        <v>75</v>
      </c>
      <c r="U1428" s="133">
        <f>J1428*1.5</f>
        <v>75</v>
      </c>
      <c r="V1428" s="133">
        <f>J1428*0.5</f>
        <v>25</v>
      </c>
    </row>
    <row r="1429" spans="1:22" s="128" customFormat="1" ht="15" hidden="1" customHeight="1" x14ac:dyDescent="0.3">
      <c r="A1429" s="137" t="s">
        <v>486</v>
      </c>
      <c r="B1429" s="137">
        <v>611</v>
      </c>
      <c r="C1429" s="135">
        <v>46195</v>
      </c>
      <c r="D1429" s="144">
        <f>WEEKNUM(C1429)</f>
        <v>26</v>
      </c>
      <c r="E1429" s="137" t="s">
        <v>68</v>
      </c>
      <c r="F1429" s="130" t="s">
        <v>406</v>
      </c>
      <c r="G1429" s="144" t="s">
        <v>356</v>
      </c>
      <c r="H1429" s="144" t="s">
        <v>321</v>
      </c>
      <c r="I1429" s="137" t="s">
        <v>46</v>
      </c>
      <c r="J1429" s="166">
        <v>3</v>
      </c>
      <c r="K1429" s="167">
        <v>120</v>
      </c>
      <c r="L1429" s="167">
        <f>K1429*J1429</f>
        <v>360</v>
      </c>
      <c r="M1429" s="202">
        <f>L1429/2</f>
        <v>180</v>
      </c>
      <c r="N1429" s="135">
        <v>46218</v>
      </c>
      <c r="O1429" s="168">
        <f>WEEKNUM(N1429)</f>
        <v>29</v>
      </c>
      <c r="P1429" s="185"/>
      <c r="Q1429" s="132" t="s">
        <v>29</v>
      </c>
      <c r="R1429" s="133">
        <f>PRODUCT(0.25*J1429)</f>
        <v>0.75</v>
      </c>
      <c r="S1429" s="133">
        <f>PRODUCT(0.25*J1429)</f>
        <v>0.75</v>
      </c>
      <c r="T1429" s="133">
        <f>J1429*1.5</f>
        <v>4.5</v>
      </c>
      <c r="U1429" s="133">
        <f>J1429*1.5</f>
        <v>4.5</v>
      </c>
      <c r="V1429" s="133">
        <f>J1429*0.5</f>
        <v>1.5</v>
      </c>
    </row>
    <row r="1430" spans="1:22" s="128" customFormat="1" ht="15" hidden="1" customHeight="1" x14ac:dyDescent="0.3">
      <c r="A1430" s="137" t="s">
        <v>486</v>
      </c>
      <c r="B1430" s="137">
        <v>611</v>
      </c>
      <c r="C1430" s="135">
        <v>46195</v>
      </c>
      <c r="D1430" s="144">
        <f>WEEKNUM(C1430)</f>
        <v>26</v>
      </c>
      <c r="E1430" s="137" t="s">
        <v>68</v>
      </c>
      <c r="F1430" s="130" t="s">
        <v>406</v>
      </c>
      <c r="G1430" s="137" t="s">
        <v>301</v>
      </c>
      <c r="H1430" s="137" t="s">
        <v>74</v>
      </c>
      <c r="I1430" s="137" t="s">
        <v>46</v>
      </c>
      <c r="J1430" s="166">
        <v>5</v>
      </c>
      <c r="K1430" s="167">
        <v>36.75</v>
      </c>
      <c r="L1430" s="167">
        <f>K1430*J1430</f>
        <v>183.75</v>
      </c>
      <c r="M1430" s="202">
        <f>L1430/2</f>
        <v>91.875</v>
      </c>
      <c r="N1430" s="135">
        <v>46218</v>
      </c>
      <c r="O1430" s="168">
        <f>WEEKNUM(N1430)</f>
        <v>29</v>
      </c>
      <c r="P1430" s="185"/>
      <c r="Q1430" s="132" t="s">
        <v>29</v>
      </c>
      <c r="R1430" s="133">
        <f>PRODUCT(0.25*J1430)</f>
        <v>1.25</v>
      </c>
      <c r="S1430" s="133">
        <f>PRODUCT(0.25*J1430)</f>
        <v>1.25</v>
      </c>
      <c r="T1430" s="133">
        <f>J1430*1.5</f>
        <v>7.5</v>
      </c>
      <c r="U1430" s="133">
        <f>J1430*1.5</f>
        <v>7.5</v>
      </c>
      <c r="V1430" s="133">
        <f>J1430*0.5</f>
        <v>2.5</v>
      </c>
    </row>
    <row r="1431" spans="1:22" s="128" customFormat="1" ht="15" hidden="1" customHeight="1" x14ac:dyDescent="0.3">
      <c r="A1431" s="137" t="s">
        <v>486</v>
      </c>
      <c r="B1431" s="137">
        <v>611</v>
      </c>
      <c r="C1431" s="135">
        <v>46195</v>
      </c>
      <c r="D1431" s="144">
        <f>WEEKNUM(C1431)</f>
        <v>26</v>
      </c>
      <c r="E1431" s="137" t="s">
        <v>68</v>
      </c>
      <c r="F1431" s="130" t="s">
        <v>406</v>
      </c>
      <c r="G1431" s="182" t="s">
        <v>374</v>
      </c>
      <c r="H1431" s="137" t="s">
        <v>74</v>
      </c>
      <c r="I1431" s="137" t="s">
        <v>46</v>
      </c>
      <c r="J1431" s="166">
        <v>3</v>
      </c>
      <c r="K1431" s="167">
        <v>47.5</v>
      </c>
      <c r="L1431" s="167">
        <f>K1431*J1431</f>
        <v>142.5</v>
      </c>
      <c r="M1431" s="202">
        <f>L1431/2</f>
        <v>71.25</v>
      </c>
      <c r="N1431" s="135">
        <v>46218</v>
      </c>
      <c r="O1431" s="168">
        <f>WEEKNUM(N1431)</f>
        <v>29</v>
      </c>
      <c r="P1431" s="185"/>
      <c r="Q1431" s="132" t="s">
        <v>29</v>
      </c>
      <c r="R1431" s="133">
        <f>PRODUCT(0.25*J1431)</f>
        <v>0.75</v>
      </c>
      <c r="S1431" s="133">
        <f>PRODUCT(0.25*J1431)</f>
        <v>0.75</v>
      </c>
      <c r="T1431" s="133">
        <f>J1431*1.5</f>
        <v>4.5</v>
      </c>
      <c r="U1431" s="133">
        <f>J1431*1.5</f>
        <v>4.5</v>
      </c>
      <c r="V1431" s="133">
        <f>J1431*0.5</f>
        <v>1.5</v>
      </c>
    </row>
    <row r="1432" spans="1:22" s="128" customFormat="1" ht="15" hidden="1" customHeight="1" x14ac:dyDescent="0.3">
      <c r="A1432" s="137" t="s">
        <v>486</v>
      </c>
      <c r="B1432" s="137">
        <v>611</v>
      </c>
      <c r="C1432" s="135">
        <v>46195</v>
      </c>
      <c r="D1432" s="144">
        <f>WEEKNUM(C1432)</f>
        <v>26</v>
      </c>
      <c r="E1432" s="137" t="s">
        <v>68</v>
      </c>
      <c r="F1432" s="130" t="s">
        <v>406</v>
      </c>
      <c r="G1432" s="142" t="s">
        <v>311</v>
      </c>
      <c r="H1432" s="137" t="s">
        <v>51</v>
      </c>
      <c r="I1432" s="137" t="s">
        <v>46</v>
      </c>
      <c r="J1432" s="166">
        <v>6</v>
      </c>
      <c r="K1432" s="167">
        <v>25</v>
      </c>
      <c r="L1432" s="167">
        <f>K1432*J1432</f>
        <v>150</v>
      </c>
      <c r="M1432" s="156">
        <f>L1432/2</f>
        <v>75</v>
      </c>
      <c r="N1432" s="135">
        <v>46218</v>
      </c>
      <c r="O1432" s="168">
        <f>WEEKNUM(N1432)</f>
        <v>29</v>
      </c>
      <c r="P1432" s="185"/>
      <c r="Q1432" s="132" t="s">
        <v>29</v>
      </c>
      <c r="R1432" s="133">
        <f>PRODUCT(0.25*J1432)</f>
        <v>1.5</v>
      </c>
      <c r="S1432" s="133">
        <f>PRODUCT(0.25*J1432)</f>
        <v>1.5</v>
      </c>
      <c r="T1432" s="133">
        <f>J1432*1.5</f>
        <v>9</v>
      </c>
      <c r="U1432" s="133">
        <f>J1432*1.5</f>
        <v>9</v>
      </c>
      <c r="V1432" s="133">
        <f>J1432*0.5</f>
        <v>3</v>
      </c>
    </row>
    <row r="1433" spans="1:22" s="128" customFormat="1" ht="15" hidden="1" customHeight="1" x14ac:dyDescent="0.3">
      <c r="A1433" s="137" t="s">
        <v>486</v>
      </c>
      <c r="B1433" s="137">
        <v>611</v>
      </c>
      <c r="C1433" s="135">
        <v>46195</v>
      </c>
      <c r="D1433" s="144">
        <f>WEEKNUM(C1433)</f>
        <v>26</v>
      </c>
      <c r="E1433" s="137" t="s">
        <v>68</v>
      </c>
      <c r="F1433" s="130" t="s">
        <v>406</v>
      </c>
      <c r="G1433" s="182" t="s">
        <v>339</v>
      </c>
      <c r="H1433" s="137" t="s">
        <v>340</v>
      </c>
      <c r="I1433" s="137" t="s">
        <v>46</v>
      </c>
      <c r="J1433" s="166">
        <v>1</v>
      </c>
      <c r="K1433" s="167">
        <v>65</v>
      </c>
      <c r="L1433" s="167">
        <f>K1433*J1433</f>
        <v>65</v>
      </c>
      <c r="M1433" s="156">
        <f>L1433/2</f>
        <v>32.5</v>
      </c>
      <c r="N1433" s="135">
        <v>46218</v>
      </c>
      <c r="O1433" s="168">
        <f>WEEKNUM(N1433)</f>
        <v>29</v>
      </c>
      <c r="P1433" s="185"/>
      <c r="Q1433" s="132" t="s">
        <v>29</v>
      </c>
      <c r="R1433" s="133">
        <f>PRODUCT(0.25*J1433)</f>
        <v>0.25</v>
      </c>
      <c r="S1433" s="133">
        <f>PRODUCT(0.25*J1433)</f>
        <v>0.25</v>
      </c>
      <c r="T1433" s="133">
        <f>J1433*1.5</f>
        <v>1.5</v>
      </c>
      <c r="U1433" s="133">
        <f>J1433*1.5</f>
        <v>1.5</v>
      </c>
      <c r="V1433" s="133">
        <f>J1433*0.5</f>
        <v>0.5</v>
      </c>
    </row>
    <row r="1434" spans="1:22" s="128" customFormat="1" ht="15" hidden="1" customHeight="1" x14ac:dyDescent="0.3">
      <c r="A1434" s="137" t="s">
        <v>486</v>
      </c>
      <c r="B1434" s="137">
        <v>611</v>
      </c>
      <c r="C1434" s="135">
        <v>46195</v>
      </c>
      <c r="D1434" s="144">
        <f>WEEKNUM(C1434)</f>
        <v>26</v>
      </c>
      <c r="E1434" s="137" t="s">
        <v>68</v>
      </c>
      <c r="F1434" s="130" t="s">
        <v>406</v>
      </c>
      <c r="G1434" s="142" t="s">
        <v>408</v>
      </c>
      <c r="H1434" s="137" t="s">
        <v>80</v>
      </c>
      <c r="I1434" s="137" t="s">
        <v>46</v>
      </c>
      <c r="J1434" s="166">
        <v>2</v>
      </c>
      <c r="K1434" s="167">
        <v>21</v>
      </c>
      <c r="L1434" s="167">
        <f>K1434*J1434</f>
        <v>42</v>
      </c>
      <c r="M1434" s="156">
        <f>L1434/2</f>
        <v>21</v>
      </c>
      <c r="N1434" s="135">
        <v>46218</v>
      </c>
      <c r="O1434" s="168">
        <f>WEEKNUM(N1434)</f>
        <v>29</v>
      </c>
      <c r="P1434" s="185"/>
      <c r="Q1434" s="132" t="s">
        <v>29</v>
      </c>
      <c r="R1434" s="133">
        <f>PRODUCT(0.25*J1434)</f>
        <v>0.5</v>
      </c>
      <c r="S1434" s="133">
        <f>PRODUCT(0.25*J1434)</f>
        <v>0.5</v>
      </c>
      <c r="T1434" s="133">
        <f>J1434*1.5</f>
        <v>3</v>
      </c>
      <c r="U1434" s="133">
        <f>J1434*1.5</f>
        <v>3</v>
      </c>
      <c r="V1434" s="133">
        <f>J1434*0.5</f>
        <v>1</v>
      </c>
    </row>
    <row r="1435" spans="1:22" s="128" customFormat="1" ht="15" hidden="1" customHeight="1" x14ac:dyDescent="0.3">
      <c r="A1435" s="137" t="s">
        <v>477</v>
      </c>
      <c r="B1435" s="137">
        <v>613</v>
      </c>
      <c r="C1435" s="135">
        <v>46195</v>
      </c>
      <c r="D1435" s="144">
        <f>WEEKNUM(C1435)</f>
        <v>26</v>
      </c>
      <c r="E1435" s="137" t="s">
        <v>55</v>
      </c>
      <c r="F1435" s="130" t="s">
        <v>652</v>
      </c>
      <c r="G1435" s="132" t="s">
        <v>583</v>
      </c>
      <c r="H1435" s="137" t="s">
        <v>557</v>
      </c>
      <c r="I1435" s="137" t="s">
        <v>61</v>
      </c>
      <c r="J1435" s="137">
        <v>400</v>
      </c>
      <c r="K1435" s="167">
        <v>16.5</v>
      </c>
      <c r="L1435" s="167">
        <f>K1435*J1435</f>
        <v>6600</v>
      </c>
      <c r="M1435" s="133">
        <v>6600</v>
      </c>
      <c r="N1435" s="135">
        <v>46219</v>
      </c>
      <c r="O1435" s="168">
        <f>WEEKNUM(N1435)</f>
        <v>29</v>
      </c>
      <c r="P1435" s="185"/>
      <c r="Q1435" s="132" t="s">
        <v>29</v>
      </c>
      <c r="R1435" s="133">
        <f>PRODUCT(0.25*J1435)</f>
        <v>100</v>
      </c>
      <c r="S1435" s="133">
        <f>PRODUCT(0.25*J1435)</f>
        <v>100</v>
      </c>
      <c r="T1435" s="133">
        <f>J1435*1.5</f>
        <v>600</v>
      </c>
      <c r="U1435" s="133">
        <f>J1435*1.5</f>
        <v>600</v>
      </c>
      <c r="V1435" s="133">
        <f>J1435*0.5</f>
        <v>200</v>
      </c>
    </row>
    <row r="1436" spans="1:22" s="128" customFormat="1" ht="15" hidden="1" customHeight="1" x14ac:dyDescent="0.3">
      <c r="A1436" s="137" t="s">
        <v>486</v>
      </c>
      <c r="B1436" s="137">
        <v>612</v>
      </c>
      <c r="C1436" s="135">
        <v>46195</v>
      </c>
      <c r="D1436" s="144">
        <f>WEEKNUM(C1436)</f>
        <v>26</v>
      </c>
      <c r="E1436" s="137" t="s">
        <v>475</v>
      </c>
      <c r="F1436" s="130" t="s">
        <v>925</v>
      </c>
      <c r="G1436" s="137" t="s">
        <v>771</v>
      </c>
      <c r="H1436" s="137" t="s">
        <v>60</v>
      </c>
      <c r="I1436" s="137" t="s">
        <v>61</v>
      </c>
      <c r="J1436" s="166">
        <v>300</v>
      </c>
      <c r="K1436" s="167">
        <v>19</v>
      </c>
      <c r="L1436" s="167">
        <f>K1436*J1436</f>
        <v>5700</v>
      </c>
      <c r="M1436" s="133">
        <v>0</v>
      </c>
      <c r="N1436" s="135">
        <v>46223</v>
      </c>
      <c r="O1436" s="168">
        <f>WEEKNUM(N1436)</f>
        <v>30</v>
      </c>
      <c r="P1436" s="185"/>
      <c r="Q1436" s="132" t="s">
        <v>29</v>
      </c>
      <c r="R1436" s="133">
        <f>PRODUCT(0.25*J1436)</f>
        <v>75</v>
      </c>
      <c r="S1436" s="133">
        <f>PRODUCT(0.25*J1436)</f>
        <v>75</v>
      </c>
      <c r="T1436" s="133">
        <f>J1436*1.5</f>
        <v>450</v>
      </c>
      <c r="U1436" s="133">
        <f>J1436*1.5</f>
        <v>450</v>
      </c>
      <c r="V1436" s="133">
        <f>J1436*0.5</f>
        <v>150</v>
      </c>
    </row>
    <row r="1437" spans="1:22" s="128" customFormat="1" ht="15" hidden="1" customHeight="1" x14ac:dyDescent="0.3">
      <c r="A1437" s="137" t="s">
        <v>486</v>
      </c>
      <c r="B1437" s="137">
        <v>614</v>
      </c>
      <c r="C1437" s="135">
        <v>46196</v>
      </c>
      <c r="D1437" s="144">
        <f>WEEKNUM(C1437)</f>
        <v>26</v>
      </c>
      <c r="E1437" s="137" t="s">
        <v>475</v>
      </c>
      <c r="F1437" s="130" t="s">
        <v>926</v>
      </c>
      <c r="G1437" s="182" t="s">
        <v>515</v>
      </c>
      <c r="H1437" s="137" t="s">
        <v>60</v>
      </c>
      <c r="I1437" s="137" t="s">
        <v>61</v>
      </c>
      <c r="J1437" s="166">
        <v>100</v>
      </c>
      <c r="K1437" s="167">
        <v>19.899999999999999</v>
      </c>
      <c r="L1437" s="167">
        <f>K1437*J1437</f>
        <v>1989.9999999999998</v>
      </c>
      <c r="M1437" s="133">
        <f>L1437/2</f>
        <v>994.99999999999989</v>
      </c>
      <c r="N1437" s="135">
        <v>46219</v>
      </c>
      <c r="O1437" s="168">
        <f>WEEKNUM(N1437)</f>
        <v>29</v>
      </c>
      <c r="P1437" s="185"/>
      <c r="Q1437" s="132" t="s">
        <v>29</v>
      </c>
      <c r="R1437" s="133">
        <f>PRODUCT(0.25*J1437)</f>
        <v>25</v>
      </c>
      <c r="S1437" s="133">
        <f>PRODUCT(0.25*J1437)</f>
        <v>25</v>
      </c>
      <c r="T1437" s="133">
        <f>J1437*1.5</f>
        <v>150</v>
      </c>
      <c r="U1437" s="133">
        <f>J1437*1.5</f>
        <v>150</v>
      </c>
      <c r="V1437" s="133">
        <f>J1437*0.5</f>
        <v>50</v>
      </c>
    </row>
    <row r="1438" spans="1:22" s="128" customFormat="1" ht="15" hidden="1" customHeight="1" x14ac:dyDescent="0.3">
      <c r="A1438" s="137" t="s">
        <v>477</v>
      </c>
      <c r="B1438" s="137">
        <v>1111</v>
      </c>
      <c r="C1438" s="135">
        <v>46197</v>
      </c>
      <c r="D1438" s="144">
        <f>WEEKNUM(C1438)</f>
        <v>26</v>
      </c>
      <c r="E1438" s="137" t="s">
        <v>498</v>
      </c>
      <c r="F1438" s="140" t="s">
        <v>446</v>
      </c>
      <c r="G1438" s="137" t="s">
        <v>301</v>
      </c>
      <c r="H1438" s="137" t="s">
        <v>74</v>
      </c>
      <c r="I1438" s="137" t="s">
        <v>46</v>
      </c>
      <c r="J1438" s="137">
        <v>199</v>
      </c>
      <c r="K1438" s="167">
        <v>28</v>
      </c>
      <c r="L1438" s="167">
        <f>K1438*J1438</f>
        <v>5572</v>
      </c>
      <c r="M1438" s="133">
        <f>L1438</f>
        <v>5572</v>
      </c>
      <c r="N1438" s="135">
        <v>46227</v>
      </c>
      <c r="O1438" s="168">
        <f>WEEKNUM(N1438)</f>
        <v>30</v>
      </c>
      <c r="P1438" s="185"/>
      <c r="Q1438" s="132" t="s">
        <v>29</v>
      </c>
      <c r="R1438" s="133">
        <f>PRODUCT(0.25*J1438)</f>
        <v>49.75</v>
      </c>
      <c r="S1438" s="133">
        <f>PRODUCT(0.25*J1438)</f>
        <v>49.75</v>
      </c>
      <c r="T1438" s="133">
        <f>J1438*1.5</f>
        <v>298.5</v>
      </c>
      <c r="U1438" s="133">
        <f>J1438*1.5</f>
        <v>298.5</v>
      </c>
      <c r="V1438" s="133">
        <f>J1438*0.5</f>
        <v>99.5</v>
      </c>
    </row>
    <row r="1439" spans="1:22" s="128" customFormat="1" ht="15" hidden="1" customHeight="1" x14ac:dyDescent="0.3">
      <c r="A1439" s="137" t="s">
        <v>477</v>
      </c>
      <c r="B1439" s="137">
        <v>1112</v>
      </c>
      <c r="C1439" s="135">
        <v>46197</v>
      </c>
      <c r="D1439" s="144">
        <f>WEEKNUM(C1439)</f>
        <v>26</v>
      </c>
      <c r="E1439" s="137" t="s">
        <v>478</v>
      </c>
      <c r="F1439" s="130" t="s">
        <v>935</v>
      </c>
      <c r="G1439" s="132" t="s">
        <v>218</v>
      </c>
      <c r="H1439" s="137" t="s">
        <v>74</v>
      </c>
      <c r="I1439" s="137" t="s">
        <v>46</v>
      </c>
      <c r="J1439" s="137">
        <v>100</v>
      </c>
      <c r="K1439" s="167">
        <v>22.5</v>
      </c>
      <c r="L1439" s="167">
        <f>K1439*J1439</f>
        <v>2250</v>
      </c>
      <c r="M1439" s="133">
        <f>L1439/2</f>
        <v>1125</v>
      </c>
      <c r="N1439" s="135">
        <v>46223</v>
      </c>
      <c r="O1439" s="168">
        <f>WEEKNUM(N1439)</f>
        <v>30</v>
      </c>
      <c r="P1439" s="185"/>
      <c r="Q1439" s="132" t="s">
        <v>29</v>
      </c>
      <c r="R1439" s="133">
        <f>PRODUCT(0.25*J1439)</f>
        <v>25</v>
      </c>
      <c r="S1439" s="133">
        <f>PRODUCT(0.25*J1439)</f>
        <v>25</v>
      </c>
      <c r="T1439" s="133">
        <f>J1439*1.5</f>
        <v>150</v>
      </c>
      <c r="U1439" s="133">
        <f>J1439*1.5</f>
        <v>150</v>
      </c>
      <c r="V1439" s="133">
        <f>J1439*0.5</f>
        <v>50</v>
      </c>
    </row>
    <row r="1440" spans="1:22" s="128" customFormat="1" ht="15" hidden="1" customHeight="1" x14ac:dyDescent="0.3">
      <c r="A1440" s="132" t="s">
        <v>486</v>
      </c>
      <c r="B1440" s="132">
        <v>615</v>
      </c>
      <c r="C1440" s="131">
        <v>46197</v>
      </c>
      <c r="D1440" s="140">
        <f>WEEKNUM(C1440)</f>
        <v>26</v>
      </c>
      <c r="E1440" s="132" t="s">
        <v>475</v>
      </c>
      <c r="F1440" s="142" t="s">
        <v>973</v>
      </c>
      <c r="G1440" s="142" t="s">
        <v>311</v>
      </c>
      <c r="H1440" s="137" t="s">
        <v>51</v>
      </c>
      <c r="I1440" s="137" t="s">
        <v>46</v>
      </c>
      <c r="J1440" s="137">
        <v>50</v>
      </c>
      <c r="K1440" s="167">
        <v>14.99</v>
      </c>
      <c r="L1440" s="167">
        <f>K1440*J1440</f>
        <v>749.5</v>
      </c>
      <c r="M1440" s="133">
        <f>L1440/2</f>
        <v>374.75</v>
      </c>
      <c r="N1440" s="135">
        <v>46225</v>
      </c>
      <c r="O1440" s="168">
        <f>WEEKNUM(N1440)</f>
        <v>30</v>
      </c>
      <c r="P1440" s="185"/>
      <c r="Q1440" s="132" t="s">
        <v>29</v>
      </c>
      <c r="R1440" s="133">
        <f>PRODUCT(0.25*J1440)</f>
        <v>12.5</v>
      </c>
      <c r="S1440" s="133">
        <f>PRODUCT(0.25*J1440)</f>
        <v>12.5</v>
      </c>
      <c r="T1440" s="133">
        <f>J1440*1.5</f>
        <v>75</v>
      </c>
      <c r="U1440" s="133">
        <f>J1440*1.5</f>
        <v>75</v>
      </c>
      <c r="V1440" s="133">
        <f>J1440*0.5</f>
        <v>25</v>
      </c>
    </row>
    <row r="1441" spans="1:22" s="128" customFormat="1" ht="15" hidden="1" customHeight="1" x14ac:dyDescent="0.3">
      <c r="A1441" s="132" t="s">
        <v>486</v>
      </c>
      <c r="B1441" s="132">
        <v>615</v>
      </c>
      <c r="C1441" s="131">
        <v>46197</v>
      </c>
      <c r="D1441" s="140">
        <f>WEEKNUM(C1441)</f>
        <v>26</v>
      </c>
      <c r="E1441" s="132" t="s">
        <v>475</v>
      </c>
      <c r="F1441" s="142" t="s">
        <v>973</v>
      </c>
      <c r="G1441" s="132" t="s">
        <v>218</v>
      </c>
      <c r="H1441" s="137" t="s">
        <v>74</v>
      </c>
      <c r="I1441" s="137" t="s">
        <v>46</v>
      </c>
      <c r="J1441" s="137">
        <v>295</v>
      </c>
      <c r="K1441" s="167">
        <v>23</v>
      </c>
      <c r="L1441" s="167">
        <f>K1441*J1441</f>
        <v>6785</v>
      </c>
      <c r="M1441" s="133">
        <f>L1441/2</f>
        <v>3392.5</v>
      </c>
      <c r="N1441" s="135">
        <v>46225</v>
      </c>
      <c r="O1441" s="168">
        <f>WEEKNUM(N1441)</f>
        <v>30</v>
      </c>
      <c r="P1441" s="185"/>
      <c r="Q1441" s="132" t="s">
        <v>29</v>
      </c>
      <c r="R1441" s="133">
        <f>PRODUCT(0.25*J1441)</f>
        <v>73.75</v>
      </c>
      <c r="S1441" s="133">
        <f>PRODUCT(0.25*J1441)</f>
        <v>73.75</v>
      </c>
      <c r="T1441" s="133">
        <f>J1441*1.5</f>
        <v>442.5</v>
      </c>
      <c r="U1441" s="133">
        <f>J1441*1.5</f>
        <v>442.5</v>
      </c>
      <c r="V1441" s="133">
        <f>J1441*0.5</f>
        <v>147.5</v>
      </c>
    </row>
    <row r="1442" spans="1:22" s="128" customFormat="1" ht="15" hidden="1" customHeight="1" x14ac:dyDescent="0.3">
      <c r="A1442" s="132" t="s">
        <v>486</v>
      </c>
      <c r="B1442" s="132">
        <v>615</v>
      </c>
      <c r="C1442" s="131">
        <v>46197</v>
      </c>
      <c r="D1442" s="140">
        <f>WEEKNUM(C1442)</f>
        <v>26</v>
      </c>
      <c r="E1442" s="132" t="s">
        <v>475</v>
      </c>
      <c r="F1442" s="142" t="s">
        <v>973</v>
      </c>
      <c r="G1442" s="137" t="s">
        <v>977</v>
      </c>
      <c r="H1442" s="137" t="s">
        <v>74</v>
      </c>
      <c r="I1442" s="137" t="s">
        <v>46</v>
      </c>
      <c r="J1442" s="137">
        <v>5</v>
      </c>
      <c r="K1442" s="167">
        <v>37</v>
      </c>
      <c r="L1442" s="167">
        <f>K1442*J1442</f>
        <v>185</v>
      </c>
      <c r="M1442" s="133">
        <f>L1442/2</f>
        <v>92.5</v>
      </c>
      <c r="N1442" s="135">
        <v>46225</v>
      </c>
      <c r="O1442" s="168">
        <f>WEEKNUM(N1442)</f>
        <v>30</v>
      </c>
      <c r="P1442" s="185"/>
      <c r="Q1442" s="132" t="s">
        <v>29</v>
      </c>
      <c r="R1442" s="133">
        <f>PRODUCT(0.25*J1442)</f>
        <v>1.25</v>
      </c>
      <c r="S1442" s="133">
        <f>PRODUCT(0.25*J1442)</f>
        <v>1.25</v>
      </c>
      <c r="T1442" s="133">
        <f>J1442*1.5</f>
        <v>7.5</v>
      </c>
      <c r="U1442" s="133">
        <f>J1442*1.5</f>
        <v>7.5</v>
      </c>
      <c r="V1442" s="133">
        <f>J1442*0.5</f>
        <v>2.5</v>
      </c>
    </row>
    <row r="1443" spans="1:22" s="128" customFormat="1" ht="15" hidden="1" customHeight="1" x14ac:dyDescent="0.3">
      <c r="A1443" s="132" t="s">
        <v>486</v>
      </c>
      <c r="B1443" s="132">
        <v>616</v>
      </c>
      <c r="C1443" s="131">
        <v>46198</v>
      </c>
      <c r="D1443" s="140">
        <f>WEEKNUM(C1443)</f>
        <v>26</v>
      </c>
      <c r="E1443" s="132" t="s">
        <v>68</v>
      </c>
      <c r="F1443" s="130" t="s">
        <v>397</v>
      </c>
      <c r="G1443" s="137" t="s">
        <v>301</v>
      </c>
      <c r="H1443" s="137" t="s">
        <v>74</v>
      </c>
      <c r="I1443" s="137" t="s">
        <v>46</v>
      </c>
      <c r="J1443" s="137">
        <v>4</v>
      </c>
      <c r="K1443" s="167">
        <v>36.75</v>
      </c>
      <c r="L1443" s="167">
        <f>K1443*J1443</f>
        <v>147</v>
      </c>
      <c r="M1443" s="133">
        <f>L1443/2</f>
        <v>73.5</v>
      </c>
      <c r="N1443" s="135">
        <v>46198</v>
      </c>
      <c r="O1443" s="168">
        <f>WEEKNUM(N1443)</f>
        <v>26</v>
      </c>
      <c r="P1443" s="185"/>
      <c r="Q1443" s="132" t="s">
        <v>29</v>
      </c>
      <c r="R1443" s="133">
        <f>PRODUCT(0.25*J1443)</f>
        <v>1</v>
      </c>
      <c r="S1443" s="133">
        <f>PRODUCT(0.25*J1443)</f>
        <v>1</v>
      </c>
      <c r="T1443" s="133">
        <f>J1443*1.5</f>
        <v>6</v>
      </c>
      <c r="U1443" s="133">
        <f>J1443*1.5</f>
        <v>6</v>
      </c>
      <c r="V1443" s="133">
        <f>J1443*0.5</f>
        <v>2</v>
      </c>
    </row>
    <row r="1444" spans="1:22" s="128" customFormat="1" ht="15" hidden="1" customHeight="1" x14ac:dyDescent="0.3">
      <c r="A1444" s="132" t="s">
        <v>486</v>
      </c>
      <c r="B1444" s="132">
        <v>616</v>
      </c>
      <c r="C1444" s="131">
        <v>46198</v>
      </c>
      <c r="D1444" s="140">
        <f>WEEKNUM(C1444)</f>
        <v>26</v>
      </c>
      <c r="E1444" s="132" t="s">
        <v>68</v>
      </c>
      <c r="F1444" s="130" t="s">
        <v>397</v>
      </c>
      <c r="G1444" s="137" t="s">
        <v>301</v>
      </c>
      <c r="H1444" s="137" t="s">
        <v>74</v>
      </c>
      <c r="I1444" s="137" t="s">
        <v>46</v>
      </c>
      <c r="J1444" s="137">
        <v>1</v>
      </c>
      <c r="K1444" s="167">
        <v>45</v>
      </c>
      <c r="L1444" s="167">
        <f>K1444*J1444</f>
        <v>45</v>
      </c>
      <c r="M1444" s="133">
        <f>L1444/2</f>
        <v>22.5</v>
      </c>
      <c r="N1444" s="135">
        <v>46198</v>
      </c>
      <c r="O1444" s="168">
        <f>WEEKNUM(N1444)</f>
        <v>26</v>
      </c>
      <c r="P1444" s="185"/>
      <c r="Q1444" s="132" t="s">
        <v>29</v>
      </c>
      <c r="R1444" s="133">
        <f>PRODUCT(0.25*J1444)</f>
        <v>0.25</v>
      </c>
      <c r="S1444" s="133">
        <f>PRODUCT(0.25*J1444)</f>
        <v>0.25</v>
      </c>
      <c r="T1444" s="133">
        <f>J1444*1.5</f>
        <v>1.5</v>
      </c>
      <c r="U1444" s="133">
        <f>J1444*1.5</f>
        <v>1.5</v>
      </c>
      <c r="V1444" s="133">
        <f>J1444*0.5</f>
        <v>0.5</v>
      </c>
    </row>
    <row r="1445" spans="1:22" s="128" customFormat="1" ht="15" hidden="1" customHeight="1" x14ac:dyDescent="0.3">
      <c r="A1445" s="129" t="s">
        <v>477</v>
      </c>
      <c r="B1445" s="132">
        <v>618</v>
      </c>
      <c r="C1445" s="131">
        <v>46203</v>
      </c>
      <c r="D1445" s="140">
        <f>WEEKNUM(C1445)</f>
        <v>27</v>
      </c>
      <c r="E1445" s="132" t="s">
        <v>475</v>
      </c>
      <c r="F1445" s="130" t="s">
        <v>995</v>
      </c>
      <c r="G1445" s="182" t="s">
        <v>311</v>
      </c>
      <c r="H1445" s="137" t="s">
        <v>51</v>
      </c>
      <c r="I1445" s="137" t="s">
        <v>46</v>
      </c>
      <c r="J1445" s="137">
        <v>100</v>
      </c>
      <c r="K1445" s="167">
        <v>14.99</v>
      </c>
      <c r="L1445" s="167">
        <f>K1445*J1445</f>
        <v>1499</v>
      </c>
      <c r="M1445" s="133">
        <f>L1445/2</f>
        <v>749.5</v>
      </c>
      <c r="N1445" s="135">
        <v>46227</v>
      </c>
      <c r="O1445" s="168">
        <f>WEEKNUM(N1445)</f>
        <v>30</v>
      </c>
      <c r="P1445" s="185"/>
      <c r="Q1445" s="132" t="s">
        <v>29</v>
      </c>
      <c r="R1445" s="133">
        <f>PRODUCT(0.25*J1445)</f>
        <v>25</v>
      </c>
      <c r="S1445" s="133">
        <f>PRODUCT(0.25*J1445)</f>
        <v>25</v>
      </c>
      <c r="T1445" s="133">
        <f>J1445*1.5</f>
        <v>150</v>
      </c>
      <c r="U1445" s="133">
        <f>J1445*1.5</f>
        <v>150</v>
      </c>
      <c r="V1445" s="133">
        <f>J1445*0.5</f>
        <v>50</v>
      </c>
    </row>
    <row r="1446" spans="1:22" s="128" customFormat="1" ht="15" hidden="1" customHeight="1" x14ac:dyDescent="0.3">
      <c r="A1446" s="132" t="s">
        <v>486</v>
      </c>
      <c r="B1446" s="132">
        <v>617</v>
      </c>
      <c r="C1446" s="131">
        <v>46203</v>
      </c>
      <c r="D1446" s="140">
        <f>WEEKNUM(C1446)</f>
        <v>27</v>
      </c>
      <c r="E1446" s="132" t="s">
        <v>475</v>
      </c>
      <c r="F1446" s="130" t="s">
        <v>872</v>
      </c>
      <c r="G1446" s="182" t="s">
        <v>311</v>
      </c>
      <c r="H1446" s="137" t="s">
        <v>51</v>
      </c>
      <c r="I1446" s="137" t="s">
        <v>46</v>
      </c>
      <c r="J1446" s="137">
        <v>500</v>
      </c>
      <c r="K1446" s="167">
        <v>12.99</v>
      </c>
      <c r="L1446" s="167">
        <f>K1446*J1446</f>
        <v>6495</v>
      </c>
      <c r="M1446" s="133">
        <f>L1446/2</f>
        <v>3247.5</v>
      </c>
      <c r="N1446" s="135">
        <v>46231</v>
      </c>
      <c r="O1446" s="168">
        <f>WEEKNUM(N1446)</f>
        <v>31</v>
      </c>
      <c r="P1446" s="185"/>
      <c r="Q1446" s="132" t="s">
        <v>29</v>
      </c>
      <c r="R1446" s="133">
        <f>PRODUCT(0.25*J1446)</f>
        <v>125</v>
      </c>
      <c r="S1446" s="133">
        <f>PRODUCT(0.25*J1446)</f>
        <v>125</v>
      </c>
      <c r="T1446" s="133">
        <f>J1446*1.5</f>
        <v>750</v>
      </c>
      <c r="U1446" s="133">
        <f>J1446*1.5</f>
        <v>750</v>
      </c>
      <c r="V1446" s="133">
        <f>J1446*0.5</f>
        <v>250</v>
      </c>
    </row>
    <row r="1447" spans="1:22" s="128" customFormat="1" ht="15" hidden="1" customHeight="1" x14ac:dyDescent="0.3">
      <c r="A1447" s="132" t="s">
        <v>486</v>
      </c>
      <c r="B1447" s="132">
        <v>617</v>
      </c>
      <c r="C1447" s="131">
        <v>46203</v>
      </c>
      <c r="D1447" s="140">
        <f>WEEKNUM(C1447)</f>
        <v>27</v>
      </c>
      <c r="E1447" s="132" t="s">
        <v>475</v>
      </c>
      <c r="F1447" s="130" t="s">
        <v>872</v>
      </c>
      <c r="G1447" s="132" t="s">
        <v>495</v>
      </c>
      <c r="H1447" s="137" t="s">
        <v>529</v>
      </c>
      <c r="I1447" s="137" t="s">
        <v>46</v>
      </c>
      <c r="J1447" s="137">
        <v>500</v>
      </c>
      <c r="K1447" s="167">
        <v>15</v>
      </c>
      <c r="L1447" s="167">
        <f>K1447*J1447</f>
        <v>7500</v>
      </c>
      <c r="M1447" s="133">
        <f>L1447/2</f>
        <v>3750</v>
      </c>
      <c r="N1447" s="135">
        <v>46231</v>
      </c>
      <c r="O1447" s="168">
        <f>WEEKNUM(N1447)</f>
        <v>31</v>
      </c>
      <c r="P1447" s="185"/>
      <c r="Q1447" s="132" t="s">
        <v>29</v>
      </c>
      <c r="R1447" s="133">
        <f>PRODUCT(0.25*J1447)</f>
        <v>125</v>
      </c>
      <c r="S1447" s="133">
        <f>PRODUCT(0.25*J1447)</f>
        <v>125</v>
      </c>
      <c r="T1447" s="133">
        <f>J1447*1.5</f>
        <v>750</v>
      </c>
      <c r="U1447" s="133">
        <f>J1447*1.5</f>
        <v>750</v>
      </c>
      <c r="V1447" s="133">
        <f>J1447*0.5</f>
        <v>250</v>
      </c>
    </row>
    <row r="1448" spans="1:22" s="128" customFormat="1" ht="15" hidden="1" customHeight="1" x14ac:dyDescent="0.3">
      <c r="A1448" s="132" t="s">
        <v>486</v>
      </c>
      <c r="B1448" s="132">
        <v>617</v>
      </c>
      <c r="C1448" s="131">
        <v>46203</v>
      </c>
      <c r="D1448" s="140">
        <f>WEEKNUM(C1448)</f>
        <v>27</v>
      </c>
      <c r="E1448" s="132" t="s">
        <v>475</v>
      </c>
      <c r="F1448" s="130" t="s">
        <v>872</v>
      </c>
      <c r="G1448" s="182" t="s">
        <v>489</v>
      </c>
      <c r="H1448" s="137" t="s">
        <v>51</v>
      </c>
      <c r="I1448" s="137" t="s">
        <v>61</v>
      </c>
      <c r="J1448" s="137">
        <v>50</v>
      </c>
      <c r="K1448" s="167">
        <v>67</v>
      </c>
      <c r="L1448" s="167">
        <f>K1448*J1448</f>
        <v>3350</v>
      </c>
      <c r="M1448" s="167">
        <f>L1448/2</f>
        <v>1675</v>
      </c>
      <c r="N1448" s="135">
        <v>46231</v>
      </c>
      <c r="O1448" s="168">
        <f>WEEKNUM(N1448)</f>
        <v>31</v>
      </c>
      <c r="P1448" s="185"/>
      <c r="Q1448" s="132" t="s">
        <v>29</v>
      </c>
      <c r="R1448" s="133">
        <f>PRODUCT(0.25*J1448)</f>
        <v>12.5</v>
      </c>
      <c r="S1448" s="133">
        <f>PRODUCT(0.25*J1448)</f>
        <v>12.5</v>
      </c>
      <c r="T1448" s="133">
        <f>J1448*1.5</f>
        <v>75</v>
      </c>
      <c r="U1448" s="133">
        <f>J1448*1.5</f>
        <v>75</v>
      </c>
      <c r="V1448" s="133">
        <f>J1448*0.5</f>
        <v>25</v>
      </c>
    </row>
    <row r="1449" spans="1:22" s="128" customFormat="1" ht="15" hidden="1" customHeight="1" x14ac:dyDescent="0.3">
      <c r="A1449" s="129" t="s">
        <v>486</v>
      </c>
      <c r="B1449" s="132">
        <v>620</v>
      </c>
      <c r="C1449" s="131">
        <v>46203</v>
      </c>
      <c r="D1449" s="140">
        <f>WEEKNUM(C1449)</f>
        <v>27</v>
      </c>
      <c r="E1449" s="132" t="s">
        <v>68</v>
      </c>
      <c r="F1449" s="130" t="s">
        <v>407</v>
      </c>
      <c r="G1449" s="137" t="s">
        <v>301</v>
      </c>
      <c r="H1449" s="137" t="s">
        <v>74</v>
      </c>
      <c r="I1449" s="137" t="s">
        <v>46</v>
      </c>
      <c r="J1449" s="137">
        <v>3</v>
      </c>
      <c r="K1449" s="167">
        <v>36.75</v>
      </c>
      <c r="L1449" s="167">
        <f>K1449*J1449</f>
        <v>110.25</v>
      </c>
      <c r="M1449" s="167">
        <v>0</v>
      </c>
      <c r="N1449" s="135">
        <v>46223</v>
      </c>
      <c r="O1449" s="168">
        <f>WEEKNUM(N1449)</f>
        <v>30</v>
      </c>
      <c r="P1449" s="185"/>
      <c r="Q1449" s="132" t="s">
        <v>29</v>
      </c>
      <c r="R1449" s="133">
        <f>PRODUCT(0.25*J1449)</f>
        <v>0.75</v>
      </c>
      <c r="S1449" s="133">
        <f>PRODUCT(0.25*J1449)</f>
        <v>0.75</v>
      </c>
      <c r="T1449" s="133">
        <f>J1449*1.5</f>
        <v>4.5</v>
      </c>
      <c r="U1449" s="133">
        <f>J1449*1.5</f>
        <v>4.5</v>
      </c>
      <c r="V1449" s="133">
        <f>J1449*0.5</f>
        <v>1.5</v>
      </c>
    </row>
    <row r="1450" spans="1:22" s="128" customFormat="1" ht="15" hidden="1" customHeight="1" x14ac:dyDescent="0.3">
      <c r="A1450" s="129" t="s">
        <v>486</v>
      </c>
      <c r="B1450" s="132">
        <v>620</v>
      </c>
      <c r="C1450" s="131">
        <v>46203</v>
      </c>
      <c r="D1450" s="140">
        <f>WEEKNUM(C1450)</f>
        <v>27</v>
      </c>
      <c r="E1450" s="132" t="s">
        <v>68</v>
      </c>
      <c r="F1450" s="130" t="s">
        <v>407</v>
      </c>
      <c r="G1450" s="182" t="s">
        <v>408</v>
      </c>
      <c r="H1450" s="137" t="s">
        <v>80</v>
      </c>
      <c r="I1450" s="137" t="s">
        <v>46</v>
      </c>
      <c r="J1450" s="137">
        <v>1</v>
      </c>
      <c r="K1450" s="167">
        <v>21</v>
      </c>
      <c r="L1450" s="167">
        <f>K1450*J1450</f>
        <v>21</v>
      </c>
      <c r="M1450" s="167">
        <v>0</v>
      </c>
      <c r="N1450" s="135">
        <v>46223</v>
      </c>
      <c r="O1450" s="168">
        <f>WEEKNUM(N1450)</f>
        <v>30</v>
      </c>
      <c r="P1450" s="185"/>
      <c r="Q1450" s="132" t="s">
        <v>29</v>
      </c>
      <c r="R1450" s="133">
        <f>PRODUCT(0.25*J1450)</f>
        <v>0.25</v>
      </c>
      <c r="S1450" s="133">
        <f>PRODUCT(0.25*J1450)</f>
        <v>0.25</v>
      </c>
      <c r="T1450" s="133">
        <f>J1450*1.5</f>
        <v>1.5</v>
      </c>
      <c r="U1450" s="133">
        <f>J1450*1.5</f>
        <v>1.5</v>
      </c>
      <c r="V1450" s="133">
        <f>J1450*0.5</f>
        <v>0.5</v>
      </c>
    </row>
    <row r="1451" spans="1:22" s="128" customFormat="1" ht="15" hidden="1" customHeight="1" x14ac:dyDescent="0.3">
      <c r="A1451" s="129" t="s">
        <v>477</v>
      </c>
      <c r="B1451" s="132">
        <v>621</v>
      </c>
      <c r="C1451" s="131">
        <v>46204</v>
      </c>
      <c r="D1451" s="140">
        <f>WEEKNUM(C1451)</f>
        <v>27</v>
      </c>
      <c r="E1451" s="132" t="s">
        <v>478</v>
      </c>
      <c r="F1451" s="130" t="s">
        <v>444</v>
      </c>
      <c r="G1451" s="137" t="s">
        <v>638</v>
      </c>
      <c r="H1451" s="137" t="s">
        <v>60</v>
      </c>
      <c r="I1451" s="137" t="s">
        <v>61</v>
      </c>
      <c r="J1451" s="137">
        <v>300</v>
      </c>
      <c r="K1451" s="167">
        <v>23</v>
      </c>
      <c r="L1451" s="167">
        <f>K1451*J1451</f>
        <v>6900</v>
      </c>
      <c r="M1451" s="167">
        <f>L1451</f>
        <v>6900</v>
      </c>
      <c r="N1451" s="135">
        <v>46251</v>
      </c>
      <c r="O1451" s="168">
        <f>WEEKNUM(N1451)</f>
        <v>34</v>
      </c>
      <c r="P1451" s="185"/>
      <c r="Q1451" s="132" t="s">
        <v>29</v>
      </c>
      <c r="R1451" s="133"/>
      <c r="S1451" s="133"/>
      <c r="T1451" s="133"/>
      <c r="U1451" s="133"/>
      <c r="V1451" s="133"/>
    </row>
    <row r="1452" spans="1:22" s="128" customFormat="1" ht="15" hidden="1" customHeight="1" x14ac:dyDescent="0.3">
      <c r="A1452" s="129" t="s">
        <v>477</v>
      </c>
      <c r="B1452" s="132">
        <v>1113</v>
      </c>
      <c r="C1452" s="131">
        <v>46205</v>
      </c>
      <c r="D1452" s="140">
        <f>WEEKNUM(C1452)</f>
        <v>27</v>
      </c>
      <c r="E1452" s="132" t="s">
        <v>475</v>
      </c>
      <c r="F1452" s="130" t="s">
        <v>621</v>
      </c>
      <c r="G1452" s="137" t="s">
        <v>301</v>
      </c>
      <c r="H1452" s="137" t="s">
        <v>74</v>
      </c>
      <c r="I1452" s="137" t="s">
        <v>46</v>
      </c>
      <c r="J1452" s="137">
        <v>150</v>
      </c>
      <c r="K1452" s="167">
        <v>28</v>
      </c>
      <c r="L1452" s="167">
        <f>K1452*J1452</f>
        <v>4200</v>
      </c>
      <c r="M1452" s="167">
        <v>4200</v>
      </c>
      <c r="N1452" s="135">
        <v>46232</v>
      </c>
      <c r="O1452" s="168">
        <f>WEEKNUM(N1452)</f>
        <v>31</v>
      </c>
      <c r="P1452" s="185"/>
      <c r="Q1452" s="132" t="s">
        <v>29</v>
      </c>
      <c r="R1452" s="133">
        <f>J1452*2</f>
        <v>300</v>
      </c>
      <c r="S1452" s="133">
        <f>J1452*0</f>
        <v>0</v>
      </c>
      <c r="T1452" s="133">
        <f>J1452*3</f>
        <v>450</v>
      </c>
      <c r="U1452" s="133">
        <f>J1452*1</f>
        <v>150</v>
      </c>
      <c r="V1452" s="133">
        <f>R1452+S1452+T1452+U1452</f>
        <v>900</v>
      </c>
    </row>
    <row r="1453" spans="1:22" s="128" customFormat="1" ht="15" hidden="1" customHeight="1" x14ac:dyDescent="0.3">
      <c r="A1453" s="129" t="s">
        <v>477</v>
      </c>
      <c r="B1453" s="132">
        <v>223</v>
      </c>
      <c r="C1453" s="131">
        <v>46205</v>
      </c>
      <c r="D1453" s="140">
        <f>WEEKNUM(C1453)</f>
        <v>27</v>
      </c>
      <c r="E1453" s="132" t="s">
        <v>498</v>
      </c>
      <c r="F1453" s="130" t="s">
        <v>446</v>
      </c>
      <c r="G1453" s="137" t="s">
        <v>487</v>
      </c>
      <c r="H1453" s="137" t="s">
        <v>51</v>
      </c>
      <c r="I1453" s="137" t="s">
        <v>46</v>
      </c>
      <c r="J1453" s="137">
        <v>3000</v>
      </c>
      <c r="K1453" s="167">
        <v>23.5</v>
      </c>
      <c r="L1453" s="167">
        <f>K1453*J1453</f>
        <v>70500</v>
      </c>
      <c r="M1453" s="167">
        <f>L1453</f>
        <v>70500</v>
      </c>
      <c r="N1453" s="135">
        <v>46240</v>
      </c>
      <c r="O1453" s="168">
        <f>WEEKNUM(N1453)</f>
        <v>32</v>
      </c>
      <c r="P1453" s="185"/>
      <c r="Q1453" s="132" t="s">
        <v>29</v>
      </c>
      <c r="R1453" s="133"/>
      <c r="S1453" s="133"/>
      <c r="T1453" s="133"/>
      <c r="U1453" s="133"/>
      <c r="V1453" s="133"/>
    </row>
    <row r="1454" spans="1:22" s="128" customFormat="1" ht="15" hidden="1" customHeight="1" x14ac:dyDescent="0.3">
      <c r="A1454" s="129" t="s">
        <v>477</v>
      </c>
      <c r="B1454" s="132">
        <v>623</v>
      </c>
      <c r="C1454" s="131">
        <v>46205</v>
      </c>
      <c r="D1454" s="140">
        <f>WEEKNUM(C1454)</f>
        <v>27</v>
      </c>
      <c r="E1454" s="132" t="s">
        <v>475</v>
      </c>
      <c r="F1454" s="130" t="s">
        <v>694</v>
      </c>
      <c r="G1454" s="137" t="s">
        <v>546</v>
      </c>
      <c r="H1454" s="137" t="s">
        <v>529</v>
      </c>
      <c r="I1454" s="137" t="s">
        <v>46</v>
      </c>
      <c r="J1454" s="137">
        <v>100</v>
      </c>
      <c r="K1454" s="167">
        <v>15.6</v>
      </c>
      <c r="L1454" s="167">
        <f>K1454*J1454</f>
        <v>1560</v>
      </c>
      <c r="M1454" s="167">
        <f>L1454</f>
        <v>1560</v>
      </c>
      <c r="N1454" s="135">
        <v>46232</v>
      </c>
      <c r="O1454" s="168">
        <f>WEEKNUM(N1454)</f>
        <v>31</v>
      </c>
      <c r="P1454" s="185"/>
      <c r="Q1454" s="132" t="s">
        <v>29</v>
      </c>
      <c r="R1454" s="133"/>
      <c r="S1454" s="133"/>
      <c r="T1454" s="133"/>
      <c r="U1454" s="133"/>
      <c r="V1454" s="133"/>
    </row>
    <row r="1455" spans="1:22" s="128" customFormat="1" ht="15" hidden="1" customHeight="1" x14ac:dyDescent="0.3">
      <c r="A1455" s="129" t="s">
        <v>477</v>
      </c>
      <c r="B1455" s="132">
        <v>623</v>
      </c>
      <c r="C1455" s="131">
        <v>46205</v>
      </c>
      <c r="D1455" s="140">
        <f>WEEKNUM(C1455)</f>
        <v>27</v>
      </c>
      <c r="E1455" s="132" t="s">
        <v>475</v>
      </c>
      <c r="F1455" s="130" t="s">
        <v>694</v>
      </c>
      <c r="G1455" s="132" t="s">
        <v>311</v>
      </c>
      <c r="H1455" s="137" t="s">
        <v>51</v>
      </c>
      <c r="I1455" s="137" t="s">
        <v>46</v>
      </c>
      <c r="J1455" s="137">
        <v>100</v>
      </c>
      <c r="K1455" s="167">
        <v>14.99</v>
      </c>
      <c r="L1455" s="167">
        <f>K1455*J1455</f>
        <v>1499</v>
      </c>
      <c r="M1455" s="167">
        <f>L1455</f>
        <v>1499</v>
      </c>
      <c r="N1455" s="135">
        <v>46232</v>
      </c>
      <c r="O1455" s="168">
        <f>WEEKNUM(N1455)</f>
        <v>31</v>
      </c>
      <c r="P1455" s="185"/>
      <c r="Q1455" s="132" t="s">
        <v>29</v>
      </c>
      <c r="R1455" s="133"/>
      <c r="S1455" s="133"/>
      <c r="T1455" s="133"/>
      <c r="U1455" s="133"/>
      <c r="V1455" s="133"/>
    </row>
    <row r="1456" spans="1:22" s="128" customFormat="1" ht="15" hidden="1" customHeight="1" x14ac:dyDescent="0.3">
      <c r="A1456" s="129" t="s">
        <v>477</v>
      </c>
      <c r="B1456" s="132">
        <v>1114</v>
      </c>
      <c r="C1456" s="131">
        <v>46205</v>
      </c>
      <c r="D1456" s="140">
        <f>WEEKNUM(C1456)</f>
        <v>27</v>
      </c>
      <c r="E1456" s="132" t="s">
        <v>498</v>
      </c>
      <c r="F1456" s="130" t="s">
        <v>1007</v>
      </c>
      <c r="G1456" s="132" t="s">
        <v>487</v>
      </c>
      <c r="H1456" s="137" t="s">
        <v>51</v>
      </c>
      <c r="I1456" s="137" t="s">
        <v>26</v>
      </c>
      <c r="J1456" s="137">
        <v>100</v>
      </c>
      <c r="K1456" s="167">
        <v>21.99</v>
      </c>
      <c r="L1456" s="167">
        <f>K1456*J1456</f>
        <v>2199</v>
      </c>
      <c r="M1456" s="167">
        <f>L1456/2</f>
        <v>1099.5</v>
      </c>
      <c r="N1456" s="135">
        <v>46233</v>
      </c>
      <c r="O1456" s="168">
        <f>WEEKNUM(N1456)</f>
        <v>31</v>
      </c>
      <c r="P1456" s="185"/>
      <c r="Q1456" s="132" t="s">
        <v>29</v>
      </c>
      <c r="R1456" s="133"/>
      <c r="S1456" s="133"/>
      <c r="T1456" s="133"/>
      <c r="U1456" s="133"/>
      <c r="V1456" s="133"/>
    </row>
    <row r="1457" spans="1:22" s="128" customFormat="1" ht="15" hidden="1" customHeight="1" x14ac:dyDescent="0.3">
      <c r="A1457" s="129" t="s">
        <v>477</v>
      </c>
      <c r="B1457" s="132">
        <v>1115</v>
      </c>
      <c r="C1457" s="131">
        <v>46206</v>
      </c>
      <c r="D1457" s="140">
        <f>WEEKNUM(C1457)</f>
        <v>27</v>
      </c>
      <c r="E1457" s="132" t="s">
        <v>475</v>
      </c>
      <c r="F1457" s="130" t="s">
        <v>1008</v>
      </c>
      <c r="G1457" s="132" t="s">
        <v>489</v>
      </c>
      <c r="H1457" s="137" t="s">
        <v>51</v>
      </c>
      <c r="I1457" s="137" t="s">
        <v>61</v>
      </c>
      <c r="J1457" s="137">
        <v>100</v>
      </c>
      <c r="K1457" s="167">
        <v>53.5</v>
      </c>
      <c r="L1457" s="167">
        <f>K1457*J1457</f>
        <v>5350</v>
      </c>
      <c r="M1457" s="167">
        <v>5350</v>
      </c>
      <c r="N1457" s="135">
        <v>46216</v>
      </c>
      <c r="O1457" s="168">
        <f>WEEKNUM(N1457)</f>
        <v>29</v>
      </c>
      <c r="P1457" s="130"/>
      <c r="Q1457" s="132" t="s">
        <v>29</v>
      </c>
      <c r="R1457" s="133"/>
      <c r="S1457" s="133"/>
      <c r="T1457" s="133"/>
      <c r="U1457" s="133"/>
      <c r="V1457" s="133"/>
    </row>
    <row r="1458" spans="1:22" s="128" customFormat="1" ht="15" hidden="1" customHeight="1" x14ac:dyDescent="0.3">
      <c r="A1458" s="129" t="s">
        <v>486</v>
      </c>
      <c r="B1458" s="132">
        <v>622</v>
      </c>
      <c r="C1458" s="131">
        <v>46206</v>
      </c>
      <c r="D1458" s="140">
        <f>WEEKNUM(C1458)</f>
        <v>27</v>
      </c>
      <c r="E1458" s="132" t="s">
        <v>498</v>
      </c>
      <c r="F1458" s="130" t="s">
        <v>992</v>
      </c>
      <c r="G1458" s="130" t="s">
        <v>116</v>
      </c>
      <c r="H1458" s="137" t="s">
        <v>60</v>
      </c>
      <c r="I1458" s="137" t="s">
        <v>61</v>
      </c>
      <c r="J1458" s="137">
        <v>150</v>
      </c>
      <c r="K1458" s="167">
        <v>22</v>
      </c>
      <c r="L1458" s="167">
        <f>K1458*J1458</f>
        <v>3300</v>
      </c>
      <c r="M1458" s="167">
        <v>0</v>
      </c>
      <c r="N1458" s="135">
        <v>46234</v>
      </c>
      <c r="O1458" s="168">
        <f>WEEKNUM(N1458)</f>
        <v>31</v>
      </c>
      <c r="P1458" s="185"/>
      <c r="Q1458" s="132" t="s">
        <v>29</v>
      </c>
      <c r="R1458" s="133"/>
      <c r="S1458" s="133"/>
      <c r="T1458" s="133"/>
      <c r="U1458" s="133"/>
      <c r="V1458" s="133"/>
    </row>
    <row r="1459" spans="1:22" s="128" customFormat="1" ht="15" hidden="1" customHeight="1" x14ac:dyDescent="0.3">
      <c r="A1459" s="129" t="s">
        <v>486</v>
      </c>
      <c r="B1459" s="132">
        <v>622</v>
      </c>
      <c r="C1459" s="131">
        <v>46206</v>
      </c>
      <c r="D1459" s="140">
        <f>WEEKNUM(C1459)</f>
        <v>27</v>
      </c>
      <c r="E1459" s="132" t="s">
        <v>498</v>
      </c>
      <c r="F1459" s="130" t="s">
        <v>992</v>
      </c>
      <c r="G1459" s="130" t="s">
        <v>918</v>
      </c>
      <c r="H1459" s="137" t="s">
        <v>60</v>
      </c>
      <c r="I1459" s="137" t="s">
        <v>61</v>
      </c>
      <c r="J1459" s="137">
        <v>200</v>
      </c>
      <c r="K1459" s="167">
        <v>10.9</v>
      </c>
      <c r="L1459" s="167">
        <f>K1459*J1459</f>
        <v>2180</v>
      </c>
      <c r="M1459" s="167">
        <v>0</v>
      </c>
      <c r="N1459" s="135">
        <v>46234</v>
      </c>
      <c r="O1459" s="168">
        <f>WEEKNUM(N1459)</f>
        <v>31</v>
      </c>
      <c r="P1459" s="185"/>
      <c r="Q1459" s="132" t="s">
        <v>29</v>
      </c>
      <c r="R1459" s="133"/>
      <c r="S1459" s="133"/>
      <c r="T1459" s="133"/>
      <c r="U1459" s="133"/>
      <c r="V1459" s="133"/>
    </row>
    <row r="1460" spans="1:22" s="128" customFormat="1" ht="15" hidden="1" customHeight="1" x14ac:dyDescent="0.3">
      <c r="A1460" s="129" t="s">
        <v>486</v>
      </c>
      <c r="B1460" s="132">
        <v>622</v>
      </c>
      <c r="C1460" s="131">
        <v>46206</v>
      </c>
      <c r="D1460" s="140">
        <f>WEEKNUM(C1460)</f>
        <v>27</v>
      </c>
      <c r="E1460" s="132" t="s">
        <v>498</v>
      </c>
      <c r="F1460" s="130" t="s">
        <v>992</v>
      </c>
      <c r="G1460" s="136" t="s">
        <v>695</v>
      </c>
      <c r="H1460" s="137" t="s">
        <v>304</v>
      </c>
      <c r="I1460" s="137" t="s">
        <v>61</v>
      </c>
      <c r="J1460" s="137">
        <v>300</v>
      </c>
      <c r="K1460" s="167">
        <v>15.8</v>
      </c>
      <c r="L1460" s="167">
        <f>K1460*J1460</f>
        <v>4740</v>
      </c>
      <c r="M1460" s="167">
        <v>0</v>
      </c>
      <c r="N1460" s="135">
        <v>46234</v>
      </c>
      <c r="O1460" s="168">
        <f>WEEKNUM(N1460)</f>
        <v>31</v>
      </c>
      <c r="P1460" s="246">
        <f>WEEKNUM(O1460)</f>
        <v>5</v>
      </c>
      <c r="Q1460" s="132" t="s">
        <v>29</v>
      </c>
      <c r="R1460" s="133"/>
      <c r="S1460" s="133"/>
      <c r="T1460" s="133"/>
      <c r="U1460" s="133"/>
      <c r="V1460" s="133"/>
    </row>
    <row r="1461" spans="1:22" s="128" customFormat="1" ht="13.95" hidden="1" customHeight="1" x14ac:dyDescent="0.3">
      <c r="A1461" s="129" t="s">
        <v>486</v>
      </c>
      <c r="B1461" s="132">
        <v>622</v>
      </c>
      <c r="C1461" s="131">
        <v>46206</v>
      </c>
      <c r="D1461" s="140">
        <f>WEEKNUM(C1461)</f>
        <v>27</v>
      </c>
      <c r="E1461" s="132" t="s">
        <v>498</v>
      </c>
      <c r="F1461" s="130" t="s">
        <v>992</v>
      </c>
      <c r="G1461" s="136" t="s">
        <v>1009</v>
      </c>
      <c r="H1461" s="137" t="s">
        <v>51</v>
      </c>
      <c r="I1461" s="137" t="s">
        <v>61</v>
      </c>
      <c r="J1461" s="137">
        <v>100</v>
      </c>
      <c r="K1461" s="167">
        <v>31.5</v>
      </c>
      <c r="L1461" s="167">
        <f>K1461*J1461</f>
        <v>3150</v>
      </c>
      <c r="M1461" s="167">
        <v>0</v>
      </c>
      <c r="N1461" s="135">
        <v>46234</v>
      </c>
      <c r="O1461" s="168">
        <f>WEEKNUM(N1461)</f>
        <v>31</v>
      </c>
      <c r="P1461" s="185"/>
      <c r="Q1461" s="132" t="s">
        <v>29</v>
      </c>
      <c r="R1461" s="133"/>
      <c r="S1461" s="133"/>
      <c r="T1461" s="133"/>
      <c r="U1461" s="133"/>
      <c r="V1461" s="133"/>
    </row>
    <row r="1462" spans="1:22" s="128" customFormat="1" ht="15" hidden="1" customHeight="1" x14ac:dyDescent="0.3">
      <c r="A1462" s="129" t="s">
        <v>477</v>
      </c>
      <c r="B1462" s="132">
        <v>625</v>
      </c>
      <c r="C1462" s="131">
        <v>46209</v>
      </c>
      <c r="D1462" s="140">
        <f>WEEKNUM(C1462)</f>
        <v>28</v>
      </c>
      <c r="E1462" s="132" t="s">
        <v>478</v>
      </c>
      <c r="F1462" s="130" t="s">
        <v>146</v>
      </c>
      <c r="G1462" s="136" t="s">
        <v>1010</v>
      </c>
      <c r="H1462" s="137" t="s">
        <v>95</v>
      </c>
      <c r="I1462" s="137" t="s">
        <v>61</v>
      </c>
      <c r="J1462" s="137">
        <v>300</v>
      </c>
      <c r="K1462" s="167">
        <v>16.5</v>
      </c>
      <c r="L1462" s="167">
        <f>K1462*J1462</f>
        <v>4950</v>
      </c>
      <c r="M1462" s="167">
        <f>L1462/2</f>
        <v>2475</v>
      </c>
      <c r="N1462" s="135">
        <v>46234</v>
      </c>
      <c r="O1462" s="168">
        <f>WEEKNUM(N1462)</f>
        <v>31</v>
      </c>
      <c r="P1462" s="185"/>
      <c r="Q1462" s="132" t="s">
        <v>29</v>
      </c>
      <c r="R1462" s="133"/>
      <c r="S1462" s="133"/>
      <c r="T1462" s="133"/>
      <c r="U1462" s="133"/>
      <c r="V1462" s="133"/>
    </row>
    <row r="1463" spans="1:22" s="128" customFormat="1" ht="15" hidden="1" customHeight="1" x14ac:dyDescent="0.3">
      <c r="A1463" s="129" t="s">
        <v>486</v>
      </c>
      <c r="B1463" s="132">
        <v>627</v>
      </c>
      <c r="C1463" s="131">
        <v>46209</v>
      </c>
      <c r="D1463" s="140">
        <f>WEEKNUM(C1463)</f>
        <v>28</v>
      </c>
      <c r="E1463" s="132" t="s">
        <v>498</v>
      </c>
      <c r="F1463" s="130" t="s">
        <v>1011</v>
      </c>
      <c r="G1463" s="137" t="s">
        <v>487</v>
      </c>
      <c r="H1463" s="137" t="s">
        <v>51</v>
      </c>
      <c r="I1463" s="137" t="s">
        <v>46</v>
      </c>
      <c r="J1463" s="137">
        <v>200</v>
      </c>
      <c r="K1463" s="167">
        <v>21.99</v>
      </c>
      <c r="L1463" s="167">
        <f>K1463*J1463</f>
        <v>4398</v>
      </c>
      <c r="M1463" s="167">
        <f>L1463/2</f>
        <v>2199</v>
      </c>
      <c r="N1463" s="135">
        <v>46227</v>
      </c>
      <c r="O1463" s="168">
        <f>WEEKNUM(N1463)</f>
        <v>30</v>
      </c>
      <c r="P1463" s="185"/>
      <c r="Q1463" s="132" t="s">
        <v>29</v>
      </c>
      <c r="R1463" s="133"/>
      <c r="S1463" s="133"/>
      <c r="T1463" s="133"/>
      <c r="U1463" s="133"/>
      <c r="V1463" s="133"/>
    </row>
    <row r="1464" spans="1:22" s="128" customFormat="1" ht="15" hidden="1" customHeight="1" x14ac:dyDescent="0.3">
      <c r="A1464" s="129" t="s">
        <v>477</v>
      </c>
      <c r="B1464" s="132">
        <v>1116</v>
      </c>
      <c r="C1464" s="131">
        <v>46209</v>
      </c>
      <c r="D1464" s="140">
        <f>WEEKNUM(C1464)</f>
        <v>28</v>
      </c>
      <c r="E1464" s="132" t="s">
        <v>475</v>
      </c>
      <c r="F1464" s="130" t="s">
        <v>1012</v>
      </c>
      <c r="G1464" s="137" t="s">
        <v>411</v>
      </c>
      <c r="H1464" s="137" t="s">
        <v>340</v>
      </c>
      <c r="I1464" s="137" t="s">
        <v>46</v>
      </c>
      <c r="J1464" s="137">
        <v>50</v>
      </c>
      <c r="K1464" s="167">
        <v>75</v>
      </c>
      <c r="L1464" s="167">
        <f>K1464*J1464</f>
        <v>3750</v>
      </c>
      <c r="M1464" s="167">
        <f>L1464</f>
        <v>3750</v>
      </c>
      <c r="N1464" s="135">
        <v>46234</v>
      </c>
      <c r="O1464" s="168">
        <f>WEEKNUM(N1464)</f>
        <v>31</v>
      </c>
      <c r="P1464" s="185"/>
      <c r="Q1464" s="132" t="s">
        <v>29</v>
      </c>
      <c r="R1464" s="133"/>
      <c r="S1464" s="133"/>
      <c r="T1464" s="133"/>
      <c r="U1464" s="133"/>
      <c r="V1464" s="133"/>
    </row>
    <row r="1465" spans="1:22" s="128" customFormat="1" ht="15" hidden="1" customHeight="1" x14ac:dyDescent="0.3">
      <c r="A1465" s="129" t="s">
        <v>477</v>
      </c>
      <c r="B1465" s="132">
        <v>630</v>
      </c>
      <c r="C1465" s="131">
        <v>46210</v>
      </c>
      <c r="D1465" s="140">
        <f>WEEKNUM(C1465)</f>
        <v>28</v>
      </c>
      <c r="E1465" s="132" t="s">
        <v>498</v>
      </c>
      <c r="F1465" s="130" t="s">
        <v>1013</v>
      </c>
      <c r="G1465" s="137" t="s">
        <v>487</v>
      </c>
      <c r="H1465" s="137" t="s">
        <v>51</v>
      </c>
      <c r="I1465" s="137" t="s">
        <v>46</v>
      </c>
      <c r="J1465" s="137">
        <v>100</v>
      </c>
      <c r="K1465" s="167">
        <v>25</v>
      </c>
      <c r="L1465" s="167">
        <f>K1465*J1465</f>
        <v>2500</v>
      </c>
      <c r="M1465" s="167">
        <f>L1465/2</f>
        <v>1250</v>
      </c>
      <c r="N1465" s="135">
        <v>46230</v>
      </c>
      <c r="O1465" s="168">
        <f>WEEKNUM(N1465)</f>
        <v>31</v>
      </c>
      <c r="P1465" s="185"/>
      <c r="Q1465" s="132" t="s">
        <v>29</v>
      </c>
      <c r="R1465" s="133"/>
      <c r="S1465" s="133"/>
      <c r="T1465" s="133"/>
      <c r="U1465" s="133"/>
      <c r="V1465" s="133"/>
    </row>
    <row r="1466" spans="1:22" s="128" customFormat="1" ht="15" hidden="1" customHeight="1" x14ac:dyDescent="0.3">
      <c r="A1466" s="129" t="s">
        <v>486</v>
      </c>
      <c r="B1466" s="132">
        <v>626</v>
      </c>
      <c r="C1466" s="131">
        <v>46210</v>
      </c>
      <c r="D1466" s="140">
        <f>WEEKNUM(C1466)</f>
        <v>28</v>
      </c>
      <c r="E1466" s="132" t="s">
        <v>68</v>
      </c>
      <c r="F1466" s="130" t="s">
        <v>409</v>
      </c>
      <c r="G1466" s="137" t="s">
        <v>311</v>
      </c>
      <c r="H1466" s="137" t="s">
        <v>51</v>
      </c>
      <c r="I1466" s="137" t="s">
        <v>46</v>
      </c>
      <c r="J1466" s="137">
        <v>2</v>
      </c>
      <c r="K1466" s="167">
        <v>25</v>
      </c>
      <c r="L1466" s="167">
        <f>K1466*J1466</f>
        <v>50</v>
      </c>
      <c r="M1466" s="167">
        <f>L1466/2</f>
        <v>25</v>
      </c>
      <c r="N1466" s="135">
        <v>46227</v>
      </c>
      <c r="O1466" s="168">
        <f>WEEKNUM(N1466)</f>
        <v>30</v>
      </c>
      <c r="P1466" s="185"/>
      <c r="Q1466" s="132" t="s">
        <v>29</v>
      </c>
      <c r="R1466" s="133"/>
      <c r="S1466" s="133"/>
      <c r="T1466" s="133"/>
      <c r="U1466" s="133"/>
      <c r="V1466" s="133"/>
    </row>
    <row r="1467" spans="1:22" s="128" customFormat="1" ht="15" hidden="1" customHeight="1" x14ac:dyDescent="0.3">
      <c r="A1467" s="129" t="s">
        <v>486</v>
      </c>
      <c r="B1467" s="132">
        <v>626</v>
      </c>
      <c r="C1467" s="131">
        <v>46210</v>
      </c>
      <c r="D1467" s="140">
        <f>WEEKNUM(C1467)</f>
        <v>28</v>
      </c>
      <c r="E1467" s="132" t="s">
        <v>68</v>
      </c>
      <c r="F1467" s="130" t="s">
        <v>409</v>
      </c>
      <c r="G1467" s="137" t="s">
        <v>301</v>
      </c>
      <c r="H1467" s="137" t="s">
        <v>74</v>
      </c>
      <c r="I1467" s="137" t="s">
        <v>46</v>
      </c>
      <c r="J1467" s="137">
        <v>10</v>
      </c>
      <c r="K1467" s="167">
        <v>36.75</v>
      </c>
      <c r="L1467" s="167">
        <f>K1467*J1467</f>
        <v>367.5</v>
      </c>
      <c r="M1467" s="167">
        <f>L1467/2</f>
        <v>183.75</v>
      </c>
      <c r="N1467" s="135">
        <v>46227</v>
      </c>
      <c r="O1467" s="168">
        <f>WEEKNUM(N1467)</f>
        <v>30</v>
      </c>
      <c r="P1467" s="185"/>
      <c r="Q1467" s="132" t="s">
        <v>29</v>
      </c>
      <c r="R1467" s="133"/>
      <c r="S1467" s="133"/>
      <c r="T1467" s="133"/>
      <c r="U1467" s="133"/>
      <c r="V1467" s="133"/>
    </row>
    <row r="1468" spans="1:22" s="128" customFormat="1" ht="15.6" hidden="1" customHeight="1" x14ac:dyDescent="0.3">
      <c r="A1468" s="129" t="s">
        <v>486</v>
      </c>
      <c r="B1468" s="132">
        <v>628</v>
      </c>
      <c r="C1468" s="131">
        <v>46211</v>
      </c>
      <c r="D1468" s="140">
        <f>WEEKNUM(C1468)</f>
        <v>28</v>
      </c>
      <c r="E1468" s="132" t="s">
        <v>475</v>
      </c>
      <c r="F1468" s="130" t="s">
        <v>997</v>
      </c>
      <c r="G1468" s="137" t="s">
        <v>546</v>
      </c>
      <c r="H1468" s="137" t="s">
        <v>529</v>
      </c>
      <c r="I1468" s="137" t="s">
        <v>46</v>
      </c>
      <c r="J1468" s="137">
        <v>50</v>
      </c>
      <c r="K1468" s="167">
        <v>29.99</v>
      </c>
      <c r="L1468" s="167">
        <f>K1468*J1468</f>
        <v>1499.5</v>
      </c>
      <c r="M1468" s="167">
        <f>L1468/2</f>
        <v>749.75</v>
      </c>
      <c r="N1468" s="135">
        <v>46241</v>
      </c>
      <c r="O1468" s="168">
        <f>WEEKNUM(N1468)</f>
        <v>32</v>
      </c>
      <c r="P1468" s="185"/>
      <c r="Q1468" s="132" t="s">
        <v>29</v>
      </c>
      <c r="R1468" s="133"/>
      <c r="S1468" s="133"/>
      <c r="T1468" s="133"/>
      <c r="U1468" s="133"/>
      <c r="V1468" s="133"/>
    </row>
    <row r="1469" spans="1:22" s="128" customFormat="1" ht="15" hidden="1" customHeight="1" x14ac:dyDescent="0.3">
      <c r="A1469" s="129" t="s">
        <v>477</v>
      </c>
      <c r="B1469" s="132">
        <v>1118</v>
      </c>
      <c r="C1469" s="131">
        <v>46211</v>
      </c>
      <c r="D1469" s="140">
        <f>WEEKNUM(C1469)</f>
        <v>28</v>
      </c>
      <c r="E1469" s="132" t="s">
        <v>478</v>
      </c>
      <c r="F1469" s="130" t="s">
        <v>1014</v>
      </c>
      <c r="G1469" s="137" t="s">
        <v>218</v>
      </c>
      <c r="H1469" s="137" t="s">
        <v>74</v>
      </c>
      <c r="I1469" s="137" t="s">
        <v>46</v>
      </c>
      <c r="J1469" s="137">
        <v>12</v>
      </c>
      <c r="K1469" s="167">
        <v>45</v>
      </c>
      <c r="L1469" s="167">
        <f>K1469*J1469</f>
        <v>540</v>
      </c>
      <c r="M1469" s="167">
        <f>L1469/2</f>
        <v>270</v>
      </c>
      <c r="N1469" s="135">
        <v>46241</v>
      </c>
      <c r="O1469" s="168">
        <f>WEEKNUM(N1469)</f>
        <v>32</v>
      </c>
      <c r="P1469" s="185"/>
      <c r="Q1469" s="132" t="s">
        <v>29</v>
      </c>
      <c r="R1469" s="133"/>
      <c r="S1469" s="133"/>
      <c r="T1469" s="133"/>
      <c r="U1469" s="133"/>
      <c r="V1469" s="133"/>
    </row>
    <row r="1470" spans="1:22" s="128" customFormat="1" ht="15" hidden="1" customHeight="1" x14ac:dyDescent="0.3">
      <c r="A1470" s="129" t="s">
        <v>477</v>
      </c>
      <c r="B1470" s="132">
        <v>1118</v>
      </c>
      <c r="C1470" s="131">
        <v>46211</v>
      </c>
      <c r="D1470" s="140">
        <f>WEEKNUM(C1470)</f>
        <v>28</v>
      </c>
      <c r="E1470" s="132" t="s">
        <v>478</v>
      </c>
      <c r="F1470" s="130" t="s">
        <v>1014</v>
      </c>
      <c r="G1470" s="137" t="s">
        <v>411</v>
      </c>
      <c r="H1470" s="137" t="s">
        <v>340</v>
      </c>
      <c r="I1470" s="137" t="s">
        <v>46</v>
      </c>
      <c r="J1470" s="137">
        <v>30</v>
      </c>
      <c r="K1470" s="167">
        <v>75</v>
      </c>
      <c r="L1470" s="167">
        <f>K1470*J1470</f>
        <v>2250</v>
      </c>
      <c r="M1470" s="167">
        <f>L1470/2</f>
        <v>1125</v>
      </c>
      <c r="N1470" s="135">
        <v>46241</v>
      </c>
      <c r="O1470" s="168">
        <f>WEEKNUM(N1470)</f>
        <v>32</v>
      </c>
      <c r="P1470" s="185"/>
      <c r="Q1470" s="132" t="s">
        <v>29</v>
      </c>
      <c r="R1470" s="133"/>
      <c r="S1470" s="133"/>
      <c r="T1470" s="133"/>
      <c r="U1470" s="133"/>
      <c r="V1470" s="133"/>
    </row>
    <row r="1471" spans="1:22" s="128" customFormat="1" ht="15" hidden="1" customHeight="1" x14ac:dyDescent="0.3">
      <c r="A1471" s="129" t="s">
        <v>486</v>
      </c>
      <c r="B1471" s="132">
        <v>631</v>
      </c>
      <c r="C1471" s="131">
        <v>46211</v>
      </c>
      <c r="D1471" s="140">
        <f>WEEKNUM(C1471)</f>
        <v>28</v>
      </c>
      <c r="E1471" s="132" t="s">
        <v>478</v>
      </c>
      <c r="F1471" s="130" t="s">
        <v>879</v>
      </c>
      <c r="G1471" s="137" t="s">
        <v>311</v>
      </c>
      <c r="H1471" s="137" t="s">
        <v>51</v>
      </c>
      <c r="I1471" s="137" t="s">
        <v>46</v>
      </c>
      <c r="J1471" s="137">
        <v>50</v>
      </c>
      <c r="K1471" s="167">
        <v>20</v>
      </c>
      <c r="L1471" s="167">
        <f>K1471*J1471</f>
        <v>1000</v>
      </c>
      <c r="M1471" s="167">
        <f>L1471/2</f>
        <v>500</v>
      </c>
      <c r="N1471" s="135">
        <v>46242</v>
      </c>
      <c r="O1471" s="168">
        <f>WEEKNUM(N1471)</f>
        <v>32</v>
      </c>
      <c r="P1471" s="185"/>
      <c r="Q1471" s="132" t="s">
        <v>29</v>
      </c>
      <c r="R1471" s="133"/>
      <c r="S1471" s="133"/>
      <c r="T1471" s="133"/>
      <c r="U1471" s="133"/>
      <c r="V1471" s="133"/>
    </row>
    <row r="1472" spans="1:22" s="128" customFormat="1" ht="15" hidden="1" customHeight="1" x14ac:dyDescent="0.3">
      <c r="A1472" s="129" t="s">
        <v>486</v>
      </c>
      <c r="B1472" s="132">
        <v>632</v>
      </c>
      <c r="C1472" s="131">
        <v>46211</v>
      </c>
      <c r="D1472" s="140">
        <f>WEEKNUM(C1472)</f>
        <v>28</v>
      </c>
      <c r="E1472" s="132" t="s">
        <v>475</v>
      </c>
      <c r="F1472" s="130" t="s">
        <v>1015</v>
      </c>
      <c r="G1472" s="137" t="s">
        <v>546</v>
      </c>
      <c r="H1472" s="137" t="s">
        <v>529</v>
      </c>
      <c r="I1472" s="137" t="s">
        <v>46</v>
      </c>
      <c r="J1472" s="137">
        <v>50</v>
      </c>
      <c r="K1472" s="167">
        <v>18.5</v>
      </c>
      <c r="L1472" s="167">
        <f>K1472*J1472</f>
        <v>925</v>
      </c>
      <c r="M1472" s="167">
        <f>L1472/2</f>
        <v>462.5</v>
      </c>
      <c r="N1472" s="135">
        <v>46244</v>
      </c>
      <c r="O1472" s="168">
        <f>WEEKNUM(N1472)</f>
        <v>33</v>
      </c>
      <c r="P1472" s="185"/>
      <c r="Q1472" s="132" t="s">
        <v>29</v>
      </c>
      <c r="R1472" s="133"/>
      <c r="S1472" s="133"/>
      <c r="T1472" s="133"/>
      <c r="U1472" s="133"/>
      <c r="V1472" s="133"/>
    </row>
    <row r="1473" spans="1:22" s="128" customFormat="1" ht="15" hidden="1" customHeight="1" x14ac:dyDescent="0.3">
      <c r="A1473" s="129" t="s">
        <v>477</v>
      </c>
      <c r="B1473" s="132">
        <v>1119</v>
      </c>
      <c r="C1473" s="131">
        <v>46213</v>
      </c>
      <c r="D1473" s="140">
        <f>WEEKNUM(C1473)</f>
        <v>28</v>
      </c>
      <c r="E1473" s="132" t="s">
        <v>475</v>
      </c>
      <c r="F1473" s="130" t="s">
        <v>809</v>
      </c>
      <c r="G1473" s="137" t="s">
        <v>311</v>
      </c>
      <c r="H1473" s="137" t="s">
        <v>51</v>
      </c>
      <c r="I1473" s="137" t="s">
        <v>46</v>
      </c>
      <c r="J1473" s="137">
        <v>500</v>
      </c>
      <c r="K1473" s="167">
        <v>14</v>
      </c>
      <c r="L1473" s="167">
        <f>K1473*J1473</f>
        <v>7000</v>
      </c>
      <c r="M1473" s="167">
        <f>L1473/2</f>
        <v>3500</v>
      </c>
      <c r="N1473" s="135">
        <v>46241</v>
      </c>
      <c r="O1473" s="168">
        <f>WEEKNUM(N1473)</f>
        <v>32</v>
      </c>
      <c r="P1473" s="185"/>
      <c r="Q1473" s="132" t="s">
        <v>29</v>
      </c>
      <c r="R1473" s="133"/>
      <c r="S1473" s="133"/>
      <c r="T1473" s="133"/>
      <c r="U1473" s="133"/>
      <c r="V1473" s="133"/>
    </row>
    <row r="1474" spans="1:22" s="128" customFormat="1" ht="15" hidden="1" customHeight="1" x14ac:dyDescent="0.3">
      <c r="A1474" s="129" t="s">
        <v>477</v>
      </c>
      <c r="B1474" s="132">
        <v>1119</v>
      </c>
      <c r="C1474" s="131">
        <v>46213</v>
      </c>
      <c r="D1474" s="140">
        <f>WEEKNUM(C1474)</f>
        <v>28</v>
      </c>
      <c r="E1474" s="132" t="s">
        <v>475</v>
      </c>
      <c r="F1474" s="130" t="s">
        <v>809</v>
      </c>
      <c r="G1474" s="137" t="s">
        <v>1016</v>
      </c>
      <c r="H1474" s="137" t="s">
        <v>529</v>
      </c>
      <c r="I1474" s="137" t="s">
        <v>46</v>
      </c>
      <c r="J1474" s="137">
        <v>500</v>
      </c>
      <c r="K1474" s="167">
        <v>24.5</v>
      </c>
      <c r="L1474" s="167">
        <f>K1474*J1474</f>
        <v>12250</v>
      </c>
      <c r="M1474" s="167">
        <f>L1474/2</f>
        <v>6125</v>
      </c>
      <c r="N1474" s="135">
        <v>46241</v>
      </c>
      <c r="O1474" s="168">
        <f>WEEKNUM(N1474)</f>
        <v>32</v>
      </c>
      <c r="P1474" s="185"/>
      <c r="Q1474" s="132" t="s">
        <v>29</v>
      </c>
      <c r="R1474" s="133"/>
      <c r="S1474" s="133"/>
      <c r="T1474" s="133"/>
      <c r="U1474" s="133"/>
      <c r="V1474" s="133"/>
    </row>
    <row r="1475" spans="1:22" s="128" customFormat="1" ht="15" hidden="1" customHeight="1" x14ac:dyDescent="0.3">
      <c r="A1475" s="129" t="s">
        <v>477</v>
      </c>
      <c r="B1475" s="132">
        <v>1119</v>
      </c>
      <c r="C1475" s="131">
        <v>46213</v>
      </c>
      <c r="D1475" s="140">
        <f>WEEKNUM(C1475)</f>
        <v>28</v>
      </c>
      <c r="E1475" s="132" t="s">
        <v>475</v>
      </c>
      <c r="F1475" s="130" t="s">
        <v>809</v>
      </c>
      <c r="G1475" s="137" t="s">
        <v>554</v>
      </c>
      <c r="H1475" s="137" t="s">
        <v>555</v>
      </c>
      <c r="I1475" s="137" t="s">
        <v>46</v>
      </c>
      <c r="J1475" s="137">
        <v>500</v>
      </c>
      <c r="K1475" s="167">
        <v>24.5</v>
      </c>
      <c r="L1475" s="167">
        <f>K1475*J1475</f>
        <v>12250</v>
      </c>
      <c r="M1475" s="167">
        <f>L1475/2</f>
        <v>6125</v>
      </c>
      <c r="N1475" s="135">
        <v>46241</v>
      </c>
      <c r="O1475" s="168">
        <f>WEEKNUM(N1475)</f>
        <v>32</v>
      </c>
      <c r="P1475" s="185"/>
      <c r="Q1475" s="132" t="s">
        <v>29</v>
      </c>
      <c r="R1475" s="133"/>
      <c r="S1475" s="133"/>
      <c r="T1475" s="133"/>
      <c r="U1475" s="133"/>
      <c r="V1475" s="133"/>
    </row>
    <row r="1476" spans="1:22" s="128" customFormat="1" ht="15" hidden="1" customHeight="1" x14ac:dyDescent="0.3">
      <c r="A1476" s="129" t="s">
        <v>477</v>
      </c>
      <c r="B1476" s="132">
        <v>1119</v>
      </c>
      <c r="C1476" s="131">
        <v>46213</v>
      </c>
      <c r="D1476" s="140">
        <f>WEEKNUM(C1476)</f>
        <v>28</v>
      </c>
      <c r="E1476" s="132" t="s">
        <v>475</v>
      </c>
      <c r="F1476" s="130" t="s">
        <v>809</v>
      </c>
      <c r="G1476" s="137" t="s">
        <v>218</v>
      </c>
      <c r="H1476" s="137" t="s">
        <v>74</v>
      </c>
      <c r="I1476" s="137" t="s">
        <v>46</v>
      </c>
      <c r="J1476" s="137">
        <v>50</v>
      </c>
      <c r="K1476" s="167">
        <v>22.5</v>
      </c>
      <c r="L1476" s="167">
        <f>K1476*J1476</f>
        <v>1125</v>
      </c>
      <c r="M1476" s="167">
        <f>L1476/2</f>
        <v>562.5</v>
      </c>
      <c r="N1476" s="135">
        <v>46241</v>
      </c>
      <c r="O1476" s="168">
        <f>WEEKNUM(N1476)</f>
        <v>32</v>
      </c>
      <c r="P1476" s="185"/>
      <c r="Q1476" s="132" t="s">
        <v>29</v>
      </c>
      <c r="R1476" s="133"/>
      <c r="S1476" s="133"/>
      <c r="T1476" s="133"/>
      <c r="U1476" s="133"/>
      <c r="V1476" s="133"/>
    </row>
    <row r="1477" spans="1:22" s="128" customFormat="1" ht="15" hidden="1" customHeight="1" x14ac:dyDescent="0.3">
      <c r="A1477" s="129" t="s">
        <v>477</v>
      </c>
      <c r="B1477" s="132">
        <v>1120</v>
      </c>
      <c r="C1477" s="131">
        <v>46213</v>
      </c>
      <c r="D1477" s="140">
        <f>WEEKNUM(C1477)</f>
        <v>28</v>
      </c>
      <c r="E1477" s="132" t="s">
        <v>475</v>
      </c>
      <c r="F1477" s="130" t="s">
        <v>809</v>
      </c>
      <c r="G1477" s="137" t="s">
        <v>495</v>
      </c>
      <c r="H1477" s="137" t="s">
        <v>529</v>
      </c>
      <c r="I1477" s="137" t="s">
        <v>46</v>
      </c>
      <c r="J1477" s="137">
        <v>200</v>
      </c>
      <c r="K1477" s="167">
        <v>24.5</v>
      </c>
      <c r="L1477" s="167">
        <f>K1477*J1477</f>
        <v>4900</v>
      </c>
      <c r="M1477" s="167">
        <f>L1477/2</f>
        <v>2450</v>
      </c>
      <c r="N1477" s="135">
        <v>46241</v>
      </c>
      <c r="O1477" s="168">
        <f>WEEKNUM(N1477)</f>
        <v>32</v>
      </c>
      <c r="P1477" s="185"/>
      <c r="Q1477" s="132" t="s">
        <v>29</v>
      </c>
      <c r="R1477" s="133"/>
      <c r="S1477" s="133"/>
      <c r="T1477" s="133"/>
      <c r="U1477" s="133"/>
      <c r="V1477" s="133"/>
    </row>
    <row r="1478" spans="1:22" s="128" customFormat="1" ht="15" hidden="1" customHeight="1" x14ac:dyDescent="0.3">
      <c r="A1478" s="129" t="s">
        <v>477</v>
      </c>
      <c r="B1478" s="132">
        <v>1120</v>
      </c>
      <c r="C1478" s="131">
        <v>46213</v>
      </c>
      <c r="D1478" s="140">
        <f>WEEKNUM(C1478)</f>
        <v>28</v>
      </c>
      <c r="E1478" s="132" t="s">
        <v>475</v>
      </c>
      <c r="F1478" s="130" t="s">
        <v>809</v>
      </c>
      <c r="G1478" s="137" t="s">
        <v>311</v>
      </c>
      <c r="H1478" s="137" t="s">
        <v>51</v>
      </c>
      <c r="I1478" s="137" t="s">
        <v>46</v>
      </c>
      <c r="J1478" s="137">
        <v>500</v>
      </c>
      <c r="K1478" s="167">
        <v>14</v>
      </c>
      <c r="L1478" s="167">
        <f>K1478*J1478</f>
        <v>7000</v>
      </c>
      <c r="M1478" s="167">
        <f>L1478/2</f>
        <v>3500</v>
      </c>
      <c r="N1478" s="135">
        <v>46241</v>
      </c>
      <c r="O1478" s="168">
        <f>WEEKNUM(N1478)</f>
        <v>32</v>
      </c>
      <c r="P1478" s="185"/>
      <c r="Q1478" s="132" t="s">
        <v>29</v>
      </c>
      <c r="R1478" s="133"/>
      <c r="S1478" s="133"/>
      <c r="T1478" s="133"/>
      <c r="U1478" s="133"/>
      <c r="V1478" s="133"/>
    </row>
    <row r="1479" spans="1:22" s="128" customFormat="1" ht="15" hidden="1" customHeight="1" x14ac:dyDescent="0.3">
      <c r="A1479" s="129" t="s">
        <v>477</v>
      </c>
      <c r="B1479" s="132">
        <v>1120</v>
      </c>
      <c r="C1479" s="131">
        <v>46213</v>
      </c>
      <c r="D1479" s="140">
        <f>WEEKNUM(C1479)</f>
        <v>28</v>
      </c>
      <c r="E1479" s="132" t="s">
        <v>475</v>
      </c>
      <c r="F1479" s="130" t="s">
        <v>809</v>
      </c>
      <c r="G1479" s="137" t="s">
        <v>554</v>
      </c>
      <c r="H1479" s="137" t="s">
        <v>555</v>
      </c>
      <c r="I1479" s="137" t="s">
        <v>46</v>
      </c>
      <c r="J1479" s="137">
        <v>500</v>
      </c>
      <c r="K1479" s="167">
        <v>24.5</v>
      </c>
      <c r="L1479" s="167">
        <f>K1479*J1479</f>
        <v>12250</v>
      </c>
      <c r="M1479" s="167">
        <f>L1479/2</f>
        <v>6125</v>
      </c>
      <c r="N1479" s="135">
        <v>46241</v>
      </c>
      <c r="O1479" s="168">
        <f>WEEKNUM(N1479)</f>
        <v>32</v>
      </c>
      <c r="P1479" s="185"/>
      <c r="Q1479" s="132" t="s">
        <v>29</v>
      </c>
      <c r="R1479" s="133"/>
      <c r="S1479" s="133"/>
      <c r="T1479" s="133"/>
      <c r="U1479" s="133"/>
      <c r="V1479" s="133"/>
    </row>
    <row r="1480" spans="1:22" s="128" customFormat="1" ht="15" hidden="1" customHeight="1" x14ac:dyDescent="0.3">
      <c r="A1480" s="129" t="s">
        <v>477</v>
      </c>
      <c r="B1480" s="132">
        <v>1120</v>
      </c>
      <c r="C1480" s="131">
        <v>46213</v>
      </c>
      <c r="D1480" s="140">
        <f>WEEKNUM(C1480)</f>
        <v>28</v>
      </c>
      <c r="E1480" s="132" t="s">
        <v>475</v>
      </c>
      <c r="F1480" s="130" t="s">
        <v>809</v>
      </c>
      <c r="G1480" s="137" t="s">
        <v>218</v>
      </c>
      <c r="H1480" s="137" t="s">
        <v>74</v>
      </c>
      <c r="I1480" s="137" t="s">
        <v>46</v>
      </c>
      <c r="J1480" s="137">
        <v>200</v>
      </c>
      <c r="K1480" s="167">
        <v>22.5</v>
      </c>
      <c r="L1480" s="167">
        <f>K1480*J1480</f>
        <v>4500</v>
      </c>
      <c r="M1480" s="167">
        <f>L1480/2</f>
        <v>2250</v>
      </c>
      <c r="N1480" s="135">
        <v>46241</v>
      </c>
      <c r="O1480" s="168">
        <f>WEEKNUM(N1480)</f>
        <v>32</v>
      </c>
      <c r="P1480" s="185"/>
      <c r="Q1480" s="132" t="s">
        <v>29</v>
      </c>
      <c r="R1480" s="133"/>
      <c r="S1480" s="133"/>
      <c r="T1480" s="133"/>
      <c r="U1480" s="133"/>
      <c r="V1480" s="133"/>
    </row>
    <row r="1481" spans="1:22" s="128" customFormat="1" ht="15" hidden="1" customHeight="1" x14ac:dyDescent="0.3">
      <c r="A1481" s="129" t="s">
        <v>477</v>
      </c>
      <c r="B1481" s="132">
        <v>1121</v>
      </c>
      <c r="C1481" s="131">
        <v>46213</v>
      </c>
      <c r="D1481" s="140">
        <f>WEEKNUM(C1481)</f>
        <v>28</v>
      </c>
      <c r="E1481" s="132" t="s">
        <v>475</v>
      </c>
      <c r="F1481" s="130" t="s">
        <v>809</v>
      </c>
      <c r="G1481" s="137" t="s">
        <v>495</v>
      </c>
      <c r="H1481" s="137" t="s">
        <v>529</v>
      </c>
      <c r="I1481" s="137" t="s">
        <v>46</v>
      </c>
      <c r="J1481" s="137">
        <v>500</v>
      </c>
      <c r="K1481" s="167">
        <v>24.5</v>
      </c>
      <c r="L1481" s="167">
        <f>K1481*J1481</f>
        <v>12250</v>
      </c>
      <c r="M1481" s="167">
        <f>L1481/2</f>
        <v>6125</v>
      </c>
      <c r="N1481" s="135">
        <v>46241</v>
      </c>
      <c r="O1481" s="168">
        <f>WEEKNUM(N1481)</f>
        <v>32</v>
      </c>
      <c r="P1481" s="185"/>
      <c r="Q1481" s="132" t="s">
        <v>29</v>
      </c>
      <c r="R1481" s="133"/>
      <c r="S1481" s="133"/>
      <c r="T1481" s="133"/>
      <c r="U1481" s="133"/>
      <c r="V1481" s="133"/>
    </row>
    <row r="1482" spans="1:22" s="128" customFormat="1" ht="15" hidden="1" customHeight="1" x14ac:dyDescent="0.3">
      <c r="A1482" s="129" t="s">
        <v>477</v>
      </c>
      <c r="B1482" s="132">
        <v>1121</v>
      </c>
      <c r="C1482" s="131">
        <v>46213</v>
      </c>
      <c r="D1482" s="140">
        <f>WEEKNUM(C1482)</f>
        <v>28</v>
      </c>
      <c r="E1482" s="132" t="s">
        <v>475</v>
      </c>
      <c r="F1482" s="130" t="s">
        <v>809</v>
      </c>
      <c r="G1482" s="137" t="s">
        <v>554</v>
      </c>
      <c r="H1482" s="137" t="s">
        <v>555</v>
      </c>
      <c r="I1482" s="137" t="s">
        <v>46</v>
      </c>
      <c r="J1482" s="137">
        <v>500</v>
      </c>
      <c r="K1482" s="167">
        <v>24.5</v>
      </c>
      <c r="L1482" s="167">
        <f>K1482*J1482</f>
        <v>12250</v>
      </c>
      <c r="M1482" s="167">
        <f>L1482/2</f>
        <v>6125</v>
      </c>
      <c r="N1482" s="135">
        <v>46241</v>
      </c>
      <c r="O1482" s="168">
        <f>WEEKNUM(N1482)</f>
        <v>32</v>
      </c>
      <c r="P1482" s="185"/>
      <c r="Q1482" s="132" t="s">
        <v>29</v>
      </c>
      <c r="R1482" s="133"/>
      <c r="S1482" s="133"/>
      <c r="T1482" s="133"/>
      <c r="U1482" s="133"/>
      <c r="V1482" s="133"/>
    </row>
    <row r="1483" spans="1:22" s="128" customFormat="1" ht="15" hidden="1" customHeight="1" x14ac:dyDescent="0.3">
      <c r="A1483" s="129" t="s">
        <v>477</v>
      </c>
      <c r="B1483" s="132">
        <v>635</v>
      </c>
      <c r="C1483" s="131">
        <v>46216</v>
      </c>
      <c r="D1483" s="140">
        <f>WEEKNUM(C1483)</f>
        <v>29</v>
      </c>
      <c r="E1483" s="132" t="s">
        <v>475</v>
      </c>
      <c r="F1483" s="130" t="s">
        <v>843</v>
      </c>
      <c r="G1483" s="137" t="s">
        <v>301</v>
      </c>
      <c r="H1483" s="137" t="s">
        <v>74</v>
      </c>
      <c r="I1483" s="137" t="s">
        <v>46</v>
      </c>
      <c r="J1483" s="137">
        <v>100</v>
      </c>
      <c r="K1483" s="167">
        <v>28</v>
      </c>
      <c r="L1483" s="167">
        <f>K1483*J1483</f>
        <v>2800</v>
      </c>
      <c r="M1483" s="167">
        <f>L1483/2</f>
        <v>1400</v>
      </c>
      <c r="N1483" s="135">
        <v>46244</v>
      </c>
      <c r="O1483" s="168">
        <f>WEEKNUM(N1483)</f>
        <v>33</v>
      </c>
      <c r="P1483" s="185"/>
      <c r="Q1483" s="132" t="s">
        <v>29</v>
      </c>
      <c r="R1483" s="133"/>
      <c r="S1483" s="133"/>
      <c r="T1483" s="133"/>
      <c r="U1483" s="133"/>
      <c r="V1483" s="133"/>
    </row>
    <row r="1484" spans="1:22" s="128" customFormat="1" ht="15" hidden="1" customHeight="1" x14ac:dyDescent="0.3">
      <c r="A1484" s="129" t="s">
        <v>477</v>
      </c>
      <c r="B1484" s="132">
        <v>636</v>
      </c>
      <c r="C1484" s="131">
        <v>46216</v>
      </c>
      <c r="D1484" s="140">
        <f>WEEKNUM(C1484)</f>
        <v>29</v>
      </c>
      <c r="E1484" s="132" t="s">
        <v>498</v>
      </c>
      <c r="F1484" s="130" t="s">
        <v>1017</v>
      </c>
      <c r="G1484" s="137" t="s">
        <v>487</v>
      </c>
      <c r="H1484" s="137" t="s">
        <v>51</v>
      </c>
      <c r="I1484" s="137" t="s">
        <v>46</v>
      </c>
      <c r="J1484" s="137">
        <v>300</v>
      </c>
      <c r="K1484" s="167">
        <v>23.5</v>
      </c>
      <c r="L1484" s="167">
        <f>K1484*J1484</f>
        <v>7050</v>
      </c>
      <c r="M1484" s="167">
        <v>7050</v>
      </c>
      <c r="N1484" s="135">
        <v>46250</v>
      </c>
      <c r="O1484" s="168">
        <f>WEEKNUM(N1484)</f>
        <v>34</v>
      </c>
      <c r="P1484" s="185"/>
      <c r="Q1484" s="132" t="s">
        <v>29</v>
      </c>
      <c r="R1484" s="133"/>
      <c r="S1484" s="133"/>
      <c r="T1484" s="133"/>
      <c r="U1484" s="133"/>
      <c r="V1484" s="133"/>
    </row>
    <row r="1485" spans="1:22" s="128" customFormat="1" ht="15" hidden="1" customHeight="1" x14ac:dyDescent="0.3">
      <c r="A1485" s="129" t="s">
        <v>486</v>
      </c>
      <c r="B1485" s="132">
        <v>634</v>
      </c>
      <c r="C1485" s="131">
        <v>46216</v>
      </c>
      <c r="D1485" s="140">
        <f>WEEKNUM(C1485)</f>
        <v>29</v>
      </c>
      <c r="E1485" s="132" t="s">
        <v>475</v>
      </c>
      <c r="F1485" s="130" t="s">
        <v>452</v>
      </c>
      <c r="G1485" s="137" t="s">
        <v>1018</v>
      </c>
      <c r="H1485" s="137" t="s">
        <v>304</v>
      </c>
      <c r="I1485" s="137" t="s">
        <v>46</v>
      </c>
      <c r="J1485" s="137">
        <v>100</v>
      </c>
      <c r="K1485" s="167">
        <v>14.9</v>
      </c>
      <c r="L1485" s="167">
        <f>K1485*J1485</f>
        <v>1490</v>
      </c>
      <c r="M1485" s="167">
        <f>L1485</f>
        <v>1490</v>
      </c>
      <c r="N1485" s="135">
        <v>46226</v>
      </c>
      <c r="O1485" s="168">
        <f>WEEKNUM(N1485)</f>
        <v>30</v>
      </c>
      <c r="P1485" s="185"/>
      <c r="Q1485" s="132" t="s">
        <v>29</v>
      </c>
      <c r="R1485" s="133"/>
      <c r="S1485" s="133"/>
      <c r="T1485" s="133"/>
      <c r="U1485" s="133"/>
      <c r="V1485" s="133"/>
    </row>
    <row r="1486" spans="1:22" s="128" customFormat="1" ht="15" hidden="1" customHeight="1" x14ac:dyDescent="0.3">
      <c r="A1486" s="129" t="s">
        <v>486</v>
      </c>
      <c r="B1486" s="132">
        <v>634</v>
      </c>
      <c r="C1486" s="131">
        <v>46216</v>
      </c>
      <c r="D1486" s="140">
        <f>WEEKNUM(C1486)</f>
        <v>29</v>
      </c>
      <c r="E1486" s="132" t="s">
        <v>475</v>
      </c>
      <c r="F1486" s="136" t="s">
        <v>452</v>
      </c>
      <c r="G1486" s="137" t="s">
        <v>554</v>
      </c>
      <c r="H1486" s="137" t="s">
        <v>555</v>
      </c>
      <c r="I1486" s="137" t="s">
        <v>46</v>
      </c>
      <c r="J1486" s="137">
        <v>10</v>
      </c>
      <c r="K1486" s="167">
        <v>55</v>
      </c>
      <c r="L1486" s="167">
        <f>K1486*J1486</f>
        <v>550</v>
      </c>
      <c r="M1486" s="167">
        <f>L1486</f>
        <v>550</v>
      </c>
      <c r="N1486" s="135">
        <v>46226</v>
      </c>
      <c r="O1486" s="168">
        <f>WEEKNUM(N1486)</f>
        <v>30</v>
      </c>
      <c r="P1486" s="185"/>
      <c r="Q1486" s="132" t="s">
        <v>29</v>
      </c>
      <c r="R1486" s="133"/>
      <c r="S1486" s="133"/>
      <c r="T1486" s="133"/>
      <c r="U1486" s="133"/>
      <c r="V1486" s="133"/>
    </row>
    <row r="1487" spans="1:22" s="128" customFormat="1" ht="15" hidden="1" customHeight="1" x14ac:dyDescent="0.3">
      <c r="A1487" s="129" t="s">
        <v>486</v>
      </c>
      <c r="B1487" s="132">
        <v>638</v>
      </c>
      <c r="C1487" s="131">
        <v>46217</v>
      </c>
      <c r="D1487" s="140">
        <f>WEEKNUM(C1487)</f>
        <v>29</v>
      </c>
      <c r="E1487" s="132" t="s">
        <v>498</v>
      </c>
      <c r="F1487" s="130" t="s">
        <v>956</v>
      </c>
      <c r="G1487" s="137" t="s">
        <v>487</v>
      </c>
      <c r="H1487" s="137" t="s">
        <v>51</v>
      </c>
      <c r="I1487" s="137" t="s">
        <v>46</v>
      </c>
      <c r="J1487" s="137">
        <v>100</v>
      </c>
      <c r="K1487" s="167">
        <v>21.99</v>
      </c>
      <c r="L1487" s="167">
        <f>K1487*J1487</f>
        <v>2199</v>
      </c>
      <c r="M1487" s="167">
        <f>L1487/2</f>
        <v>1099.5</v>
      </c>
      <c r="N1487" s="135">
        <v>46245</v>
      </c>
      <c r="O1487" s="168">
        <f>WEEKNUM(N1487)</f>
        <v>33</v>
      </c>
      <c r="P1487" s="185"/>
      <c r="Q1487" s="132" t="s">
        <v>29</v>
      </c>
      <c r="R1487" s="133"/>
      <c r="S1487" s="133"/>
      <c r="T1487" s="133"/>
      <c r="U1487" s="133"/>
      <c r="V1487" s="133"/>
    </row>
    <row r="1488" spans="1:22" s="128" customFormat="1" ht="15" hidden="1" customHeight="1" x14ac:dyDescent="0.3">
      <c r="A1488" s="129" t="s">
        <v>486</v>
      </c>
      <c r="B1488" s="132">
        <v>638</v>
      </c>
      <c r="C1488" s="131">
        <v>46217</v>
      </c>
      <c r="D1488" s="140">
        <f>WEEKNUM(C1488)</f>
        <v>29</v>
      </c>
      <c r="E1488" s="132" t="s">
        <v>498</v>
      </c>
      <c r="F1488" s="130" t="s">
        <v>956</v>
      </c>
      <c r="G1488" s="137" t="s">
        <v>1019</v>
      </c>
      <c r="H1488" s="137" t="s">
        <v>60</v>
      </c>
      <c r="I1488" s="137" t="s">
        <v>46</v>
      </c>
      <c r="J1488" s="137">
        <v>100</v>
      </c>
      <c r="K1488" s="167">
        <v>9.9</v>
      </c>
      <c r="L1488" s="167">
        <f>K1488*J1488</f>
        <v>990</v>
      </c>
      <c r="M1488" s="167">
        <f>L1488/2</f>
        <v>495</v>
      </c>
      <c r="N1488" s="135">
        <v>46245</v>
      </c>
      <c r="O1488" s="168">
        <f>WEEKNUM(N1488)</f>
        <v>33</v>
      </c>
      <c r="P1488" s="185"/>
      <c r="Q1488" s="132" t="s">
        <v>29</v>
      </c>
      <c r="R1488" s="133"/>
      <c r="S1488" s="133"/>
      <c r="T1488" s="133"/>
      <c r="U1488" s="133"/>
      <c r="V1488" s="133"/>
    </row>
    <row r="1489" spans="1:22" s="128" customFormat="1" ht="15" hidden="1" customHeight="1" x14ac:dyDescent="0.3">
      <c r="A1489" s="129" t="s">
        <v>477</v>
      </c>
      <c r="B1489" s="132">
        <v>640</v>
      </c>
      <c r="C1489" s="131">
        <v>46218</v>
      </c>
      <c r="D1489" s="140">
        <f>WEEKNUM(C1489)</f>
        <v>29</v>
      </c>
      <c r="E1489" s="132" t="s">
        <v>55</v>
      </c>
      <c r="F1489" s="132" t="s">
        <v>1020</v>
      </c>
      <c r="G1489" s="137" t="s">
        <v>218</v>
      </c>
      <c r="H1489" s="137" t="s">
        <v>74</v>
      </c>
      <c r="I1489" s="137" t="s">
        <v>46</v>
      </c>
      <c r="J1489" s="137">
        <v>240</v>
      </c>
      <c r="K1489" s="167">
        <v>29.5</v>
      </c>
      <c r="L1489" s="167">
        <f>K1489*J1489</f>
        <v>7080</v>
      </c>
      <c r="M1489" s="167">
        <f>L1489/2</f>
        <v>3540</v>
      </c>
      <c r="N1489" s="135">
        <v>46254</v>
      </c>
      <c r="O1489" s="168">
        <f>WEEKNUM(N1489)</f>
        <v>34</v>
      </c>
      <c r="P1489" s="185"/>
      <c r="Q1489" s="132" t="s">
        <v>29</v>
      </c>
      <c r="R1489" s="133"/>
      <c r="S1489" s="133"/>
      <c r="T1489" s="133"/>
      <c r="U1489" s="133"/>
      <c r="V1489" s="133"/>
    </row>
    <row r="1490" spans="1:22" s="128" customFormat="1" ht="15" hidden="1" customHeight="1" x14ac:dyDescent="0.3">
      <c r="A1490" s="129" t="s">
        <v>486</v>
      </c>
      <c r="B1490" s="132">
        <v>641</v>
      </c>
      <c r="C1490" s="131">
        <v>46218</v>
      </c>
      <c r="D1490" s="140">
        <f>WEEKNUM(C1490)</f>
        <v>29</v>
      </c>
      <c r="E1490" s="132" t="s">
        <v>475</v>
      </c>
      <c r="F1490" s="130" t="s">
        <v>1021</v>
      </c>
      <c r="G1490" s="137" t="s">
        <v>311</v>
      </c>
      <c r="H1490" s="137" t="s">
        <v>51</v>
      </c>
      <c r="I1490" s="137" t="s">
        <v>46</v>
      </c>
      <c r="J1490" s="137">
        <v>100</v>
      </c>
      <c r="K1490" s="167">
        <v>14.99</v>
      </c>
      <c r="L1490" s="167">
        <f>K1490*J1490</f>
        <v>1499</v>
      </c>
      <c r="M1490" s="167">
        <f>L1490/2</f>
        <v>749.5</v>
      </c>
      <c r="N1490" s="135">
        <v>46246</v>
      </c>
      <c r="O1490" s="168">
        <f>WEEKNUM(N1490)</f>
        <v>33</v>
      </c>
      <c r="P1490" s="185"/>
      <c r="Q1490" s="132" t="s">
        <v>29</v>
      </c>
      <c r="R1490" s="133"/>
      <c r="S1490" s="133"/>
      <c r="T1490" s="133"/>
      <c r="U1490" s="133"/>
      <c r="V1490" s="133"/>
    </row>
    <row r="1491" spans="1:22" s="128" customFormat="1" ht="15" hidden="1" customHeight="1" x14ac:dyDescent="0.3">
      <c r="A1491" s="129" t="s">
        <v>477</v>
      </c>
      <c r="B1491" s="132">
        <v>1112</v>
      </c>
      <c r="C1491" s="131">
        <v>46219</v>
      </c>
      <c r="D1491" s="140">
        <f>WEEKNUM(C1491)</f>
        <v>29</v>
      </c>
      <c r="E1491" s="132" t="s">
        <v>475</v>
      </c>
      <c r="F1491" s="130" t="s">
        <v>700</v>
      </c>
      <c r="G1491" s="137" t="s">
        <v>998</v>
      </c>
      <c r="H1491" s="132" t="s">
        <v>529</v>
      </c>
      <c r="I1491" s="137" t="s">
        <v>46</v>
      </c>
      <c r="J1491" s="132">
        <v>100</v>
      </c>
      <c r="K1491" s="133">
        <v>40</v>
      </c>
      <c r="L1491" s="167">
        <f>K1491*J1491</f>
        <v>4000</v>
      </c>
      <c r="M1491" s="167">
        <f>L1491</f>
        <v>4000</v>
      </c>
      <c r="N1491" s="135">
        <v>46254</v>
      </c>
      <c r="O1491" s="168">
        <f>WEEKNUM(N1491)</f>
        <v>34</v>
      </c>
      <c r="P1491" s="185"/>
      <c r="Q1491" s="132" t="s">
        <v>29</v>
      </c>
      <c r="R1491" s="133"/>
      <c r="S1491" s="133"/>
      <c r="T1491" s="133"/>
      <c r="U1491" s="133"/>
      <c r="V1491" s="133"/>
    </row>
    <row r="1492" spans="1:22" s="128" customFormat="1" ht="15" hidden="1" customHeight="1" x14ac:dyDescent="0.3">
      <c r="A1492" s="129" t="s">
        <v>477</v>
      </c>
      <c r="B1492" s="132">
        <v>1112</v>
      </c>
      <c r="C1492" s="131">
        <v>46219</v>
      </c>
      <c r="D1492" s="140">
        <f>WEEKNUM(C1492)</f>
        <v>29</v>
      </c>
      <c r="E1492" s="132" t="s">
        <v>475</v>
      </c>
      <c r="F1492" s="130" t="s">
        <v>700</v>
      </c>
      <c r="G1492" s="137" t="s">
        <v>546</v>
      </c>
      <c r="H1492" s="132" t="s">
        <v>529</v>
      </c>
      <c r="I1492" s="137" t="s">
        <v>46</v>
      </c>
      <c r="J1492" s="132">
        <v>100</v>
      </c>
      <c r="K1492" s="133">
        <v>35</v>
      </c>
      <c r="L1492" s="167">
        <f>K1492*J1492</f>
        <v>3500</v>
      </c>
      <c r="M1492" s="167">
        <f>L1492</f>
        <v>3500</v>
      </c>
      <c r="N1492" s="135">
        <v>46254</v>
      </c>
      <c r="O1492" s="168">
        <f>WEEKNUM(N1492)</f>
        <v>34</v>
      </c>
      <c r="P1492" s="185"/>
      <c r="Q1492" s="132" t="s">
        <v>29</v>
      </c>
      <c r="R1492" s="133"/>
      <c r="S1492" s="133"/>
      <c r="T1492" s="133"/>
      <c r="U1492" s="133"/>
      <c r="V1492" s="133"/>
    </row>
    <row r="1493" spans="1:22" s="128" customFormat="1" ht="15" hidden="1" customHeight="1" x14ac:dyDescent="0.3">
      <c r="A1493" s="129" t="s">
        <v>477</v>
      </c>
      <c r="B1493" s="132">
        <v>1112</v>
      </c>
      <c r="C1493" s="131">
        <v>46219</v>
      </c>
      <c r="D1493" s="140">
        <f>WEEKNUM(C1493)</f>
        <v>29</v>
      </c>
      <c r="E1493" s="132" t="s">
        <v>475</v>
      </c>
      <c r="F1493" s="130" t="s">
        <v>700</v>
      </c>
      <c r="G1493" s="137" t="s">
        <v>618</v>
      </c>
      <c r="H1493" s="132" t="s">
        <v>555</v>
      </c>
      <c r="I1493" s="137" t="s">
        <v>46</v>
      </c>
      <c r="J1493" s="132">
        <v>100</v>
      </c>
      <c r="K1493" s="133">
        <v>37</v>
      </c>
      <c r="L1493" s="167">
        <f>K1493*J1493</f>
        <v>3700</v>
      </c>
      <c r="M1493" s="167">
        <f>L1493</f>
        <v>3700</v>
      </c>
      <c r="N1493" s="135">
        <v>46254</v>
      </c>
      <c r="O1493" s="168">
        <f>WEEKNUM(N1493)</f>
        <v>34</v>
      </c>
      <c r="P1493" s="185"/>
      <c r="Q1493" s="132" t="s">
        <v>29</v>
      </c>
      <c r="R1493" s="133"/>
      <c r="S1493" s="133"/>
      <c r="T1493" s="133"/>
      <c r="U1493" s="133"/>
      <c r="V1493" s="133"/>
    </row>
    <row r="1494" spans="1:22" s="128" customFormat="1" ht="15" hidden="1" customHeight="1" x14ac:dyDescent="0.3">
      <c r="A1494" s="129" t="s">
        <v>486</v>
      </c>
      <c r="B1494" s="132">
        <v>642</v>
      </c>
      <c r="C1494" s="131">
        <v>46219</v>
      </c>
      <c r="D1494" s="140">
        <f>WEEKNUM(C1494)</f>
        <v>29</v>
      </c>
      <c r="E1494" s="132" t="s">
        <v>68</v>
      </c>
      <c r="F1494" s="130" t="s">
        <v>410</v>
      </c>
      <c r="G1494" s="137" t="s">
        <v>311</v>
      </c>
      <c r="H1494" s="212" t="s">
        <v>51</v>
      </c>
      <c r="I1494" s="137" t="s">
        <v>46</v>
      </c>
      <c r="J1494" s="130">
        <v>5</v>
      </c>
      <c r="K1494" s="213">
        <v>25</v>
      </c>
      <c r="L1494" s="167">
        <f>K1494*J1494</f>
        <v>125</v>
      </c>
      <c r="M1494" s="167">
        <v>0</v>
      </c>
      <c r="N1494" s="135">
        <v>46219</v>
      </c>
      <c r="O1494" s="168">
        <f>WEEKNUM(N1494)</f>
        <v>29</v>
      </c>
      <c r="P1494" s="185"/>
      <c r="Q1494" s="132" t="s">
        <v>29</v>
      </c>
      <c r="R1494" s="133"/>
      <c r="S1494" s="133"/>
      <c r="T1494" s="133"/>
      <c r="U1494" s="133"/>
      <c r="V1494" s="133"/>
    </row>
    <row r="1495" spans="1:22" s="128" customFormat="1" ht="15" hidden="1" customHeight="1" x14ac:dyDescent="0.3">
      <c r="A1495" s="129" t="s">
        <v>486</v>
      </c>
      <c r="B1495" s="132">
        <v>642</v>
      </c>
      <c r="C1495" s="131">
        <v>46219</v>
      </c>
      <c r="D1495" s="140">
        <f>WEEKNUM(C1495)</f>
        <v>29</v>
      </c>
      <c r="E1495" s="132" t="s">
        <v>68</v>
      </c>
      <c r="F1495" s="130" t="s">
        <v>410</v>
      </c>
      <c r="G1495" s="137" t="s">
        <v>301</v>
      </c>
      <c r="H1495" s="212" t="s">
        <v>74</v>
      </c>
      <c r="I1495" s="137" t="s">
        <v>46</v>
      </c>
      <c r="J1495" s="130">
        <v>3</v>
      </c>
      <c r="K1495" s="213">
        <v>36.75</v>
      </c>
      <c r="L1495" s="167">
        <f>K1495*J1495</f>
        <v>110.25</v>
      </c>
      <c r="M1495" s="167">
        <v>0</v>
      </c>
      <c r="N1495" s="135">
        <v>46219</v>
      </c>
      <c r="O1495" s="168">
        <f>WEEKNUM(N1495)</f>
        <v>29</v>
      </c>
      <c r="P1495" s="185"/>
      <c r="Q1495" s="132" t="s">
        <v>29</v>
      </c>
      <c r="R1495" s="133"/>
      <c r="S1495" s="133"/>
      <c r="T1495" s="133"/>
      <c r="U1495" s="133"/>
      <c r="V1495" s="133"/>
    </row>
    <row r="1496" spans="1:22" s="128" customFormat="1" ht="15" hidden="1" customHeight="1" x14ac:dyDescent="0.3">
      <c r="A1496" s="129" t="s">
        <v>486</v>
      </c>
      <c r="B1496" s="132">
        <v>642</v>
      </c>
      <c r="C1496" s="131">
        <v>46219</v>
      </c>
      <c r="D1496" s="140">
        <f>WEEKNUM(C1496)</f>
        <v>29</v>
      </c>
      <c r="E1496" s="132" t="s">
        <v>68</v>
      </c>
      <c r="F1496" s="130" t="s">
        <v>410</v>
      </c>
      <c r="G1496" s="137" t="s">
        <v>411</v>
      </c>
      <c r="H1496" s="242" t="s">
        <v>340</v>
      </c>
      <c r="I1496" s="137" t="s">
        <v>46</v>
      </c>
      <c r="J1496" s="136">
        <v>3</v>
      </c>
      <c r="K1496" s="244">
        <v>65</v>
      </c>
      <c r="L1496" s="167">
        <f>K1496*J1496</f>
        <v>195</v>
      </c>
      <c r="M1496" s="167">
        <v>0</v>
      </c>
      <c r="N1496" s="135">
        <v>46219</v>
      </c>
      <c r="O1496" s="168">
        <f>WEEKNUM(N1496)</f>
        <v>29</v>
      </c>
      <c r="P1496" s="185"/>
      <c r="Q1496" s="132" t="s">
        <v>29</v>
      </c>
      <c r="R1496" s="133"/>
      <c r="S1496" s="133"/>
      <c r="T1496" s="133"/>
      <c r="U1496" s="133"/>
      <c r="V1496" s="133"/>
    </row>
    <row r="1497" spans="1:22" s="128" customFormat="1" ht="15" hidden="1" customHeight="1" x14ac:dyDescent="0.3">
      <c r="A1497" s="129" t="s">
        <v>486</v>
      </c>
      <c r="B1497" s="132">
        <v>642</v>
      </c>
      <c r="C1497" s="131">
        <v>46219</v>
      </c>
      <c r="D1497" s="140">
        <f>WEEKNUM(C1497)</f>
        <v>29</v>
      </c>
      <c r="E1497" s="132" t="s">
        <v>68</v>
      </c>
      <c r="F1497" s="130" t="s">
        <v>410</v>
      </c>
      <c r="G1497" s="137" t="s">
        <v>408</v>
      </c>
      <c r="H1497" s="242" t="s">
        <v>80</v>
      </c>
      <c r="I1497" s="137" t="s">
        <v>46</v>
      </c>
      <c r="J1497" s="136">
        <v>5</v>
      </c>
      <c r="K1497" s="244">
        <v>21</v>
      </c>
      <c r="L1497" s="167">
        <f>K1497*J1497</f>
        <v>105</v>
      </c>
      <c r="M1497" s="167">
        <v>0</v>
      </c>
      <c r="N1497" s="135">
        <v>46219</v>
      </c>
      <c r="O1497" s="168">
        <f>WEEKNUM(N1497)</f>
        <v>29</v>
      </c>
      <c r="P1497" s="185"/>
      <c r="Q1497" s="132" t="s">
        <v>29</v>
      </c>
      <c r="R1497" s="133"/>
      <c r="S1497" s="133"/>
      <c r="T1497" s="133"/>
      <c r="U1497" s="133"/>
      <c r="V1497" s="133"/>
    </row>
    <row r="1498" spans="1:22" s="128" customFormat="1" ht="15" hidden="1" customHeight="1" x14ac:dyDescent="0.3">
      <c r="A1498" s="129" t="s">
        <v>486</v>
      </c>
      <c r="B1498" s="132">
        <v>642</v>
      </c>
      <c r="C1498" s="131">
        <v>46219</v>
      </c>
      <c r="D1498" s="140">
        <f>WEEKNUM(C1498)</f>
        <v>29</v>
      </c>
      <c r="E1498" s="132" t="s">
        <v>68</v>
      </c>
      <c r="F1498" s="130" t="s">
        <v>410</v>
      </c>
      <c r="G1498" s="137" t="s">
        <v>412</v>
      </c>
      <c r="H1498" s="241" t="s">
        <v>74</v>
      </c>
      <c r="I1498" s="137" t="s">
        <v>46</v>
      </c>
      <c r="J1498" s="243">
        <v>3</v>
      </c>
      <c r="K1498" s="35">
        <v>47.5</v>
      </c>
      <c r="L1498" s="167">
        <f>K1498*J1498</f>
        <v>142.5</v>
      </c>
      <c r="M1498" s="167">
        <v>0</v>
      </c>
      <c r="N1498" s="135">
        <v>46219</v>
      </c>
      <c r="O1498" s="168">
        <f>WEEKNUM(N1498)</f>
        <v>29</v>
      </c>
      <c r="P1498" s="185"/>
      <c r="Q1498" s="132" t="s">
        <v>29</v>
      </c>
      <c r="R1498" s="133"/>
      <c r="S1498" s="133"/>
      <c r="T1498" s="133"/>
      <c r="U1498" s="133"/>
      <c r="V1498" s="133"/>
    </row>
    <row r="1499" spans="1:22" s="128" customFormat="1" ht="15" hidden="1" customHeight="1" x14ac:dyDescent="0.3">
      <c r="A1499" s="129" t="s">
        <v>486</v>
      </c>
      <c r="B1499" s="132">
        <v>637</v>
      </c>
      <c r="C1499" s="131">
        <v>46219</v>
      </c>
      <c r="D1499" s="140">
        <f>WEEKNUM(C1499)</f>
        <v>29</v>
      </c>
      <c r="E1499" s="132" t="s">
        <v>68</v>
      </c>
      <c r="F1499" s="130" t="s">
        <v>413</v>
      </c>
      <c r="G1499" s="137" t="s">
        <v>301</v>
      </c>
      <c r="H1499" s="137" t="s">
        <v>74</v>
      </c>
      <c r="I1499" s="137" t="s">
        <v>46</v>
      </c>
      <c r="J1499" s="137">
        <v>12</v>
      </c>
      <c r="K1499" s="167">
        <v>36.75</v>
      </c>
      <c r="L1499" s="167">
        <f>K1499*J1499</f>
        <v>441</v>
      </c>
      <c r="M1499" s="167">
        <f>L1499/2</f>
        <v>220.5</v>
      </c>
      <c r="N1499" s="135">
        <v>46241</v>
      </c>
      <c r="O1499" s="168">
        <f>WEEKNUM(N1499)</f>
        <v>32</v>
      </c>
      <c r="P1499" s="185"/>
      <c r="Q1499" s="132" t="s">
        <v>29</v>
      </c>
      <c r="R1499" s="133"/>
      <c r="S1499" s="133"/>
      <c r="T1499" s="133"/>
      <c r="U1499" s="133"/>
      <c r="V1499" s="133"/>
    </row>
    <row r="1500" spans="1:22" s="128" customFormat="1" ht="15" hidden="1" customHeight="1" x14ac:dyDescent="0.3">
      <c r="A1500" s="129" t="s">
        <v>486</v>
      </c>
      <c r="B1500" s="132">
        <v>637</v>
      </c>
      <c r="C1500" s="131">
        <v>46219</v>
      </c>
      <c r="D1500" s="140">
        <f>WEEKNUM(C1500)</f>
        <v>29</v>
      </c>
      <c r="E1500" s="132" t="s">
        <v>68</v>
      </c>
      <c r="F1500" s="130" t="s">
        <v>413</v>
      </c>
      <c r="G1500" s="137" t="s">
        <v>408</v>
      </c>
      <c r="H1500" s="137" t="s">
        <v>80</v>
      </c>
      <c r="I1500" s="137" t="s">
        <v>46</v>
      </c>
      <c r="J1500" s="137">
        <v>6</v>
      </c>
      <c r="K1500" s="167">
        <v>21</v>
      </c>
      <c r="L1500" s="167">
        <f>K1500*J1500</f>
        <v>126</v>
      </c>
      <c r="M1500" s="167">
        <f>L1500/2</f>
        <v>63</v>
      </c>
      <c r="N1500" s="135">
        <v>46241</v>
      </c>
      <c r="O1500" s="168">
        <f>WEEKNUM(N1500)</f>
        <v>32</v>
      </c>
      <c r="P1500" s="185"/>
      <c r="Q1500" s="132" t="s">
        <v>29</v>
      </c>
      <c r="R1500" s="133"/>
      <c r="S1500" s="133"/>
      <c r="T1500" s="133"/>
      <c r="U1500" s="133"/>
      <c r="V1500" s="133"/>
    </row>
    <row r="1501" spans="1:22" s="128" customFormat="1" ht="15" hidden="1" customHeight="1" x14ac:dyDescent="0.3">
      <c r="A1501" s="129" t="s">
        <v>486</v>
      </c>
      <c r="B1501" s="132">
        <v>637</v>
      </c>
      <c r="C1501" s="131">
        <v>46219</v>
      </c>
      <c r="D1501" s="140">
        <f>WEEKNUM(C1501)</f>
        <v>29</v>
      </c>
      <c r="E1501" s="132" t="s">
        <v>68</v>
      </c>
      <c r="F1501" s="130" t="s">
        <v>413</v>
      </c>
      <c r="G1501" s="137" t="s">
        <v>311</v>
      </c>
      <c r="H1501" s="137" t="s">
        <v>51</v>
      </c>
      <c r="I1501" s="137" t="s">
        <v>46</v>
      </c>
      <c r="J1501" s="137">
        <v>5</v>
      </c>
      <c r="K1501" s="167">
        <v>25</v>
      </c>
      <c r="L1501" s="167">
        <f>K1501*J1501</f>
        <v>125</v>
      </c>
      <c r="M1501" s="167">
        <f>L1501/2</f>
        <v>62.5</v>
      </c>
      <c r="N1501" s="135">
        <v>46241</v>
      </c>
      <c r="O1501" s="168">
        <f>WEEKNUM(N1501)</f>
        <v>32</v>
      </c>
      <c r="P1501" s="185"/>
      <c r="Q1501" s="132" t="s">
        <v>29</v>
      </c>
      <c r="R1501" s="133"/>
      <c r="S1501" s="133"/>
      <c r="T1501" s="133"/>
      <c r="U1501" s="133"/>
      <c r="V1501" s="133"/>
    </row>
    <row r="1502" spans="1:22" s="128" customFormat="1" ht="15" hidden="1" customHeight="1" x14ac:dyDescent="0.3">
      <c r="A1502" s="129" t="s">
        <v>486</v>
      </c>
      <c r="B1502" s="132">
        <v>637</v>
      </c>
      <c r="C1502" s="131">
        <v>46219</v>
      </c>
      <c r="D1502" s="140">
        <f>WEEKNUM(C1502)</f>
        <v>29</v>
      </c>
      <c r="E1502" s="132" t="s">
        <v>68</v>
      </c>
      <c r="F1502" s="130" t="s">
        <v>413</v>
      </c>
      <c r="G1502" s="137" t="s">
        <v>411</v>
      </c>
      <c r="H1502" s="137" t="s">
        <v>340</v>
      </c>
      <c r="I1502" s="137" t="s">
        <v>46</v>
      </c>
      <c r="J1502" s="137">
        <v>2</v>
      </c>
      <c r="K1502" s="167">
        <v>65</v>
      </c>
      <c r="L1502" s="167">
        <f>K1502*J1502</f>
        <v>130</v>
      </c>
      <c r="M1502" s="167">
        <f>L1502/2</f>
        <v>65</v>
      </c>
      <c r="N1502" s="135">
        <v>46241</v>
      </c>
      <c r="O1502" s="168">
        <f>WEEKNUM(N1502)</f>
        <v>32</v>
      </c>
      <c r="P1502" s="185"/>
      <c r="Q1502" s="132" t="s">
        <v>29</v>
      </c>
      <c r="R1502" s="133"/>
      <c r="S1502" s="133"/>
      <c r="T1502" s="133"/>
      <c r="U1502" s="133"/>
      <c r="V1502" s="133"/>
    </row>
    <row r="1503" spans="1:22" s="128" customFormat="1" ht="15" hidden="1" customHeight="1" x14ac:dyDescent="0.3">
      <c r="A1503" s="129" t="s">
        <v>486</v>
      </c>
      <c r="B1503" s="132">
        <v>643</v>
      </c>
      <c r="C1503" s="131">
        <v>46220</v>
      </c>
      <c r="D1503" s="140">
        <f>WEEKNUM(C1503)</f>
        <v>29</v>
      </c>
      <c r="E1503" s="132" t="s">
        <v>475</v>
      </c>
      <c r="F1503" s="130" t="s">
        <v>1022</v>
      </c>
      <c r="G1503" s="137" t="s">
        <v>311</v>
      </c>
      <c r="H1503" s="137" t="s">
        <v>51</v>
      </c>
      <c r="I1503" s="137" t="s">
        <v>46</v>
      </c>
      <c r="J1503" s="137">
        <v>100</v>
      </c>
      <c r="K1503" s="167">
        <v>14.99</v>
      </c>
      <c r="L1503" s="167">
        <f>K1503*J1503</f>
        <v>1499</v>
      </c>
      <c r="M1503" s="167">
        <f>L1503/2</f>
        <v>749.5</v>
      </c>
      <c r="N1503" s="135">
        <v>46248</v>
      </c>
      <c r="O1503" s="168">
        <f>WEEKNUM(N1503)</f>
        <v>33</v>
      </c>
      <c r="P1503" s="185"/>
      <c r="Q1503" s="132" t="s">
        <v>29</v>
      </c>
      <c r="R1503" s="133"/>
      <c r="S1503" s="133"/>
      <c r="T1503" s="133"/>
      <c r="U1503" s="133"/>
      <c r="V1503" s="133"/>
    </row>
    <row r="1504" spans="1:22" s="128" customFormat="1" ht="15" hidden="1" customHeight="1" x14ac:dyDescent="0.3">
      <c r="A1504" s="129" t="s">
        <v>486</v>
      </c>
      <c r="B1504" s="132">
        <v>643</v>
      </c>
      <c r="C1504" s="131">
        <v>46220</v>
      </c>
      <c r="D1504" s="140">
        <f>WEEKNUM(C1504)</f>
        <v>29</v>
      </c>
      <c r="E1504" s="132" t="s">
        <v>475</v>
      </c>
      <c r="F1504" s="130" t="s">
        <v>1022</v>
      </c>
      <c r="G1504" s="137" t="s">
        <v>495</v>
      </c>
      <c r="H1504" s="137" t="s">
        <v>529</v>
      </c>
      <c r="I1504" s="137" t="s">
        <v>46</v>
      </c>
      <c r="J1504" s="137">
        <v>100</v>
      </c>
      <c r="K1504" s="167">
        <v>15.6</v>
      </c>
      <c r="L1504" s="167">
        <f>K1504*J1504</f>
        <v>1560</v>
      </c>
      <c r="M1504" s="167">
        <f>L1504/2</f>
        <v>780</v>
      </c>
      <c r="N1504" s="135">
        <v>46248</v>
      </c>
      <c r="O1504" s="168">
        <f>WEEKNUM(N1504)</f>
        <v>33</v>
      </c>
      <c r="P1504" s="185"/>
      <c r="Q1504" s="132" t="s">
        <v>29</v>
      </c>
      <c r="R1504" s="133"/>
      <c r="S1504" s="133"/>
      <c r="T1504" s="133"/>
      <c r="U1504" s="133"/>
      <c r="V1504" s="133"/>
    </row>
    <row r="1505" spans="1:22" s="128" customFormat="1" ht="15" hidden="1" customHeight="1" x14ac:dyDescent="0.3">
      <c r="A1505" s="129" t="s">
        <v>477</v>
      </c>
      <c r="B1505" s="132">
        <v>645</v>
      </c>
      <c r="C1505" s="131">
        <v>46224</v>
      </c>
      <c r="D1505" s="140">
        <f>WEEKNUM(C1505)</f>
        <v>30</v>
      </c>
      <c r="E1505" s="132" t="s">
        <v>498</v>
      </c>
      <c r="F1505" s="130" t="s">
        <v>1017</v>
      </c>
      <c r="G1505" s="137" t="s">
        <v>559</v>
      </c>
      <c r="H1505" s="137" t="s">
        <v>38</v>
      </c>
      <c r="I1505" s="137" t="s">
        <v>61</v>
      </c>
      <c r="J1505" s="137">
        <v>100</v>
      </c>
      <c r="K1505" s="167">
        <v>45</v>
      </c>
      <c r="L1505" s="167">
        <f>K1505*J1505</f>
        <v>4500</v>
      </c>
      <c r="M1505" s="167">
        <f>L1505/2</f>
        <v>2250</v>
      </c>
      <c r="N1505" s="135">
        <v>46252</v>
      </c>
      <c r="O1505" s="168">
        <f>WEEKNUM(N1505)</f>
        <v>34</v>
      </c>
      <c r="P1505" s="185"/>
      <c r="Q1505" s="132" t="s">
        <v>29</v>
      </c>
      <c r="R1505" s="133"/>
      <c r="S1505" s="133"/>
      <c r="T1505" s="133"/>
      <c r="U1505" s="133"/>
      <c r="V1505" s="133"/>
    </row>
    <row r="1506" spans="1:22" s="128" customFormat="1" ht="15" hidden="1" customHeight="1" x14ac:dyDescent="0.3">
      <c r="A1506" s="129" t="s">
        <v>486</v>
      </c>
      <c r="B1506" s="132">
        <v>644</v>
      </c>
      <c r="C1506" s="131">
        <v>46224</v>
      </c>
      <c r="D1506" s="140">
        <f>WEEKNUM(C1506)</f>
        <v>30</v>
      </c>
      <c r="E1506" s="132" t="s">
        <v>498</v>
      </c>
      <c r="F1506" s="130" t="s">
        <v>1023</v>
      </c>
      <c r="G1506" s="137" t="s">
        <v>487</v>
      </c>
      <c r="H1506" s="137" t="s">
        <v>51</v>
      </c>
      <c r="I1506" s="137" t="s">
        <v>46</v>
      </c>
      <c r="J1506" s="137">
        <v>20</v>
      </c>
      <c r="K1506" s="167">
        <v>55</v>
      </c>
      <c r="L1506" s="167">
        <f>K1506*J1506</f>
        <v>1100</v>
      </c>
      <c r="M1506" s="167">
        <f>L1506/2</f>
        <v>550</v>
      </c>
      <c r="N1506" s="135">
        <v>46251</v>
      </c>
      <c r="O1506" s="168">
        <f>WEEKNUM(N1506)</f>
        <v>34</v>
      </c>
      <c r="P1506" s="185"/>
      <c r="Q1506" s="132" t="s">
        <v>29</v>
      </c>
      <c r="R1506" s="133"/>
      <c r="S1506" s="133"/>
      <c r="T1506" s="133"/>
      <c r="U1506" s="133"/>
      <c r="V1506" s="133"/>
    </row>
    <row r="1507" spans="1:22" s="128" customFormat="1" ht="15" hidden="1" customHeight="1" x14ac:dyDescent="0.3">
      <c r="A1507" s="129" t="s">
        <v>486</v>
      </c>
      <c r="B1507" s="132">
        <v>646</v>
      </c>
      <c r="C1507" s="131">
        <v>46224</v>
      </c>
      <c r="D1507" s="140">
        <f>WEEKNUM(C1507)</f>
        <v>30</v>
      </c>
      <c r="E1507" s="132" t="s">
        <v>475</v>
      </c>
      <c r="F1507" s="130" t="s">
        <v>1024</v>
      </c>
      <c r="G1507" s="137" t="s">
        <v>489</v>
      </c>
      <c r="H1507" s="137" t="s">
        <v>51</v>
      </c>
      <c r="I1507" s="137" t="s">
        <v>61</v>
      </c>
      <c r="J1507" s="137">
        <v>10</v>
      </c>
      <c r="K1507" s="167">
        <v>100</v>
      </c>
      <c r="L1507" s="167">
        <f>K1507*J1507</f>
        <v>1000</v>
      </c>
      <c r="M1507" s="167">
        <f>L1507/2</f>
        <v>500</v>
      </c>
      <c r="N1507" s="135">
        <v>46252</v>
      </c>
      <c r="O1507" s="168">
        <f>WEEKNUM(N1507)</f>
        <v>34</v>
      </c>
      <c r="P1507" s="185"/>
      <c r="Q1507" s="132" t="s">
        <v>29</v>
      </c>
      <c r="R1507" s="133"/>
      <c r="S1507" s="133"/>
      <c r="T1507" s="133"/>
      <c r="U1507" s="133"/>
      <c r="V1507" s="133"/>
    </row>
    <row r="1508" spans="1:22" s="128" customFormat="1" ht="15" hidden="1" customHeight="1" x14ac:dyDescent="0.3">
      <c r="A1508" s="129" t="s">
        <v>486</v>
      </c>
      <c r="B1508" s="132">
        <v>646</v>
      </c>
      <c r="C1508" s="131">
        <v>46224</v>
      </c>
      <c r="D1508" s="140">
        <f>WEEKNUM(C1508)</f>
        <v>30</v>
      </c>
      <c r="E1508" s="132" t="s">
        <v>475</v>
      </c>
      <c r="F1508" s="130" t="s">
        <v>1024</v>
      </c>
      <c r="G1508" s="137" t="s">
        <v>356</v>
      </c>
      <c r="H1508" s="137" t="s">
        <v>321</v>
      </c>
      <c r="I1508" s="137" t="s">
        <v>46</v>
      </c>
      <c r="J1508" s="137">
        <v>10</v>
      </c>
      <c r="K1508" s="167">
        <v>100</v>
      </c>
      <c r="L1508" s="167">
        <f>K1508*J1508</f>
        <v>1000</v>
      </c>
      <c r="M1508" s="167">
        <f>L1508/2</f>
        <v>500</v>
      </c>
      <c r="N1508" s="135">
        <v>46252</v>
      </c>
      <c r="O1508" s="168">
        <f>WEEKNUM(N1508)</f>
        <v>34</v>
      </c>
      <c r="P1508" s="185"/>
      <c r="Q1508" s="132" t="s">
        <v>29</v>
      </c>
      <c r="R1508" s="133"/>
      <c r="S1508" s="133"/>
      <c r="T1508" s="133"/>
      <c r="U1508" s="133"/>
      <c r="V1508" s="133"/>
    </row>
    <row r="1509" spans="1:22" s="128" customFormat="1" ht="15" hidden="1" customHeight="1" x14ac:dyDescent="0.3">
      <c r="A1509" s="129" t="s">
        <v>486</v>
      </c>
      <c r="B1509" s="132">
        <v>646</v>
      </c>
      <c r="C1509" s="131">
        <v>46224</v>
      </c>
      <c r="D1509" s="140">
        <f>WEEKNUM(C1509)</f>
        <v>30</v>
      </c>
      <c r="E1509" s="132" t="s">
        <v>475</v>
      </c>
      <c r="F1509" s="130" t="s">
        <v>1024</v>
      </c>
      <c r="G1509" s="137" t="s">
        <v>1025</v>
      </c>
      <c r="H1509" s="137" t="s">
        <v>60</v>
      </c>
      <c r="I1509" s="137" t="s">
        <v>61</v>
      </c>
      <c r="J1509" s="137">
        <v>100</v>
      </c>
      <c r="K1509" s="167">
        <v>19.5</v>
      </c>
      <c r="L1509" s="167">
        <f>K1509*J1509</f>
        <v>1950</v>
      </c>
      <c r="M1509" s="167">
        <f>L1509/2</f>
        <v>975</v>
      </c>
      <c r="N1509" s="135">
        <v>46252</v>
      </c>
      <c r="O1509" s="168">
        <f>WEEKNUM(N1509)</f>
        <v>34</v>
      </c>
      <c r="P1509" s="185"/>
      <c r="Q1509" s="132" t="s">
        <v>29</v>
      </c>
      <c r="R1509" s="133"/>
      <c r="S1509" s="133"/>
      <c r="T1509" s="133"/>
      <c r="U1509" s="133"/>
      <c r="V1509" s="133"/>
    </row>
    <row r="1510" spans="1:22" s="128" customFormat="1" ht="15" hidden="1" customHeight="1" x14ac:dyDescent="0.3">
      <c r="A1510" s="129" t="s">
        <v>486</v>
      </c>
      <c r="B1510" s="132">
        <v>646</v>
      </c>
      <c r="C1510" s="131">
        <v>46224</v>
      </c>
      <c r="D1510" s="140">
        <f>WEEKNUM(C1510)</f>
        <v>30</v>
      </c>
      <c r="E1510" s="132" t="s">
        <v>475</v>
      </c>
      <c r="F1510" s="130" t="s">
        <v>1024</v>
      </c>
      <c r="G1510" s="137" t="s">
        <v>1026</v>
      </c>
      <c r="H1510" s="137" t="s">
        <v>660</v>
      </c>
      <c r="I1510" s="137" t="s">
        <v>61</v>
      </c>
      <c r="J1510" s="137">
        <v>100</v>
      </c>
      <c r="K1510" s="167">
        <v>9.9</v>
      </c>
      <c r="L1510" s="167">
        <f>K1510*J1510</f>
        <v>990</v>
      </c>
      <c r="M1510" s="167">
        <f>L1510/2</f>
        <v>495</v>
      </c>
      <c r="N1510" s="135">
        <v>46252</v>
      </c>
      <c r="O1510" s="168">
        <f>WEEKNUM(N1510)</f>
        <v>34</v>
      </c>
      <c r="P1510" s="185"/>
      <c r="Q1510" s="132" t="s">
        <v>29</v>
      </c>
      <c r="R1510" s="133"/>
      <c r="S1510" s="133"/>
      <c r="T1510" s="133"/>
      <c r="U1510" s="133"/>
      <c r="V1510" s="133"/>
    </row>
    <row r="1511" spans="1:22" s="128" customFormat="1" ht="15" hidden="1" customHeight="1" x14ac:dyDescent="0.3">
      <c r="A1511" s="129" t="s">
        <v>486</v>
      </c>
      <c r="B1511" s="132">
        <v>646</v>
      </c>
      <c r="C1511" s="131">
        <v>46224</v>
      </c>
      <c r="D1511" s="140">
        <f>WEEKNUM(C1511)</f>
        <v>30</v>
      </c>
      <c r="E1511" s="132" t="s">
        <v>475</v>
      </c>
      <c r="F1511" s="130" t="s">
        <v>1024</v>
      </c>
      <c r="G1511" s="137" t="s">
        <v>495</v>
      </c>
      <c r="H1511" s="137" t="s">
        <v>529</v>
      </c>
      <c r="I1511" s="137" t="s">
        <v>46</v>
      </c>
      <c r="J1511" s="137">
        <v>50</v>
      </c>
      <c r="K1511" s="167">
        <v>35</v>
      </c>
      <c r="L1511" s="167">
        <f>K1511*J1511</f>
        <v>1750</v>
      </c>
      <c r="M1511" s="167">
        <f>L1511/2</f>
        <v>875</v>
      </c>
      <c r="N1511" s="135">
        <v>46252</v>
      </c>
      <c r="O1511" s="168">
        <f>WEEKNUM(N1511)</f>
        <v>34</v>
      </c>
      <c r="P1511" s="185"/>
      <c r="Q1511" s="132" t="s">
        <v>29</v>
      </c>
      <c r="R1511" s="133"/>
      <c r="S1511" s="133"/>
      <c r="T1511" s="133"/>
      <c r="U1511" s="133"/>
      <c r="V1511" s="133"/>
    </row>
    <row r="1512" spans="1:22" s="128" customFormat="1" ht="15" hidden="1" customHeight="1" x14ac:dyDescent="0.3">
      <c r="A1512" s="129" t="s">
        <v>486</v>
      </c>
      <c r="B1512" s="132">
        <v>646</v>
      </c>
      <c r="C1512" s="131">
        <v>46224</v>
      </c>
      <c r="D1512" s="140">
        <f>WEEKNUM(C1512)</f>
        <v>30</v>
      </c>
      <c r="E1512" s="132" t="s">
        <v>475</v>
      </c>
      <c r="F1512" s="130" t="s">
        <v>1024</v>
      </c>
      <c r="G1512" s="137" t="s">
        <v>495</v>
      </c>
      <c r="H1512" s="137" t="s">
        <v>529</v>
      </c>
      <c r="I1512" s="137" t="s">
        <v>46</v>
      </c>
      <c r="J1512" s="137">
        <v>50</v>
      </c>
      <c r="K1512" s="167">
        <v>19</v>
      </c>
      <c r="L1512" s="167">
        <f>K1512*J1512</f>
        <v>950</v>
      </c>
      <c r="M1512" s="167">
        <f>L1512/2</f>
        <v>475</v>
      </c>
      <c r="N1512" s="135">
        <v>46252</v>
      </c>
      <c r="O1512" s="168">
        <f>WEEKNUM(N1512)</f>
        <v>34</v>
      </c>
      <c r="P1512" s="185"/>
      <c r="Q1512" s="132" t="s">
        <v>29</v>
      </c>
      <c r="R1512" s="133"/>
      <c r="S1512" s="133"/>
      <c r="T1512" s="133"/>
      <c r="U1512" s="133"/>
      <c r="V1512" s="133"/>
    </row>
    <row r="1513" spans="1:22" s="128" customFormat="1" ht="15" hidden="1" customHeight="1" x14ac:dyDescent="0.3">
      <c r="A1513" s="129" t="s">
        <v>486</v>
      </c>
      <c r="B1513" s="132">
        <v>647</v>
      </c>
      <c r="C1513" s="131">
        <v>46226</v>
      </c>
      <c r="D1513" s="140">
        <f>WEEKNUM(C1513)</f>
        <v>30</v>
      </c>
      <c r="E1513" s="132" t="s">
        <v>475</v>
      </c>
      <c r="F1513" s="130" t="s">
        <v>825</v>
      </c>
      <c r="G1513" s="137" t="s">
        <v>116</v>
      </c>
      <c r="H1513" s="137" t="s">
        <v>60</v>
      </c>
      <c r="I1513" s="137" t="s">
        <v>61</v>
      </c>
      <c r="J1513" s="137">
        <v>100</v>
      </c>
      <c r="K1513" s="167">
        <v>18.5</v>
      </c>
      <c r="L1513" s="167">
        <f>K1513*J1513</f>
        <v>1850</v>
      </c>
      <c r="M1513" s="167">
        <f>L1513/2</f>
        <v>925</v>
      </c>
      <c r="N1513" s="135">
        <v>46254</v>
      </c>
      <c r="O1513" s="168">
        <f>WEEKNUM(N1513)</f>
        <v>34</v>
      </c>
      <c r="P1513" s="185"/>
      <c r="Q1513" s="132" t="s">
        <v>29</v>
      </c>
      <c r="R1513" s="133"/>
      <c r="S1513" s="133"/>
      <c r="T1513" s="133"/>
      <c r="U1513" s="133"/>
      <c r="V1513" s="133"/>
    </row>
    <row r="1514" spans="1:22" s="128" customFormat="1" ht="15" hidden="1" customHeight="1" x14ac:dyDescent="0.3">
      <c r="A1514" s="129" t="s">
        <v>477</v>
      </c>
      <c r="B1514" s="132">
        <v>1125</v>
      </c>
      <c r="C1514" s="131">
        <v>46226</v>
      </c>
      <c r="D1514" s="140">
        <f>WEEKNUM(C1514)</f>
        <v>30</v>
      </c>
      <c r="E1514" s="132" t="s">
        <v>475</v>
      </c>
      <c r="F1514" s="130" t="s">
        <v>794</v>
      </c>
      <c r="G1514" s="137" t="s">
        <v>529</v>
      </c>
      <c r="H1514" s="137" t="s">
        <v>529</v>
      </c>
      <c r="I1514" s="137" t="s">
        <v>46</v>
      </c>
      <c r="J1514" s="137">
        <v>100</v>
      </c>
      <c r="K1514" s="167">
        <v>32.5</v>
      </c>
      <c r="L1514" s="167">
        <f>K1514*J1514</f>
        <v>3250</v>
      </c>
      <c r="M1514" s="167">
        <f>L1514</f>
        <v>3250</v>
      </c>
      <c r="N1514" s="135">
        <v>46254</v>
      </c>
      <c r="O1514" s="168">
        <f>WEEKNUM(N1514)</f>
        <v>34</v>
      </c>
      <c r="P1514" s="185"/>
      <c r="Q1514" s="132" t="s">
        <v>29</v>
      </c>
      <c r="R1514" s="133"/>
      <c r="S1514" s="133"/>
      <c r="T1514" s="133"/>
      <c r="U1514" s="133"/>
      <c r="V1514" s="133"/>
    </row>
    <row r="1515" spans="1:22" s="128" customFormat="1" ht="15" hidden="1" customHeight="1" x14ac:dyDescent="0.3">
      <c r="A1515" s="129" t="s">
        <v>477</v>
      </c>
      <c r="B1515" s="132">
        <v>1125</v>
      </c>
      <c r="C1515" s="131">
        <v>46226</v>
      </c>
      <c r="D1515" s="140">
        <f>WEEKNUM(C1515)</f>
        <v>30</v>
      </c>
      <c r="E1515" s="132" t="s">
        <v>475</v>
      </c>
      <c r="F1515" s="130" t="s">
        <v>794</v>
      </c>
      <c r="G1515" s="137" t="s">
        <v>1027</v>
      </c>
      <c r="H1515" s="137" t="s">
        <v>51</v>
      </c>
      <c r="I1515" s="137" t="s">
        <v>46</v>
      </c>
      <c r="J1515" s="137">
        <v>500</v>
      </c>
      <c r="K1515" s="167">
        <v>28.5</v>
      </c>
      <c r="L1515" s="167">
        <f>K1515*J1515</f>
        <v>14250</v>
      </c>
      <c r="M1515" s="167">
        <f>L1515</f>
        <v>14250</v>
      </c>
      <c r="N1515" s="135">
        <v>46254</v>
      </c>
      <c r="O1515" s="168">
        <f>WEEKNUM(N1515)</f>
        <v>34</v>
      </c>
      <c r="P1515" s="185"/>
      <c r="Q1515" s="132" t="s">
        <v>29</v>
      </c>
      <c r="R1515" s="133"/>
      <c r="S1515" s="133"/>
      <c r="T1515" s="133"/>
      <c r="U1515" s="133"/>
      <c r="V1515" s="133"/>
    </row>
    <row r="1516" spans="1:22" s="128" customFormat="1" ht="15" hidden="1" customHeight="1" x14ac:dyDescent="0.3">
      <c r="A1516" s="129" t="s">
        <v>486</v>
      </c>
      <c r="B1516" s="132">
        <v>648</v>
      </c>
      <c r="C1516" s="131">
        <v>46227</v>
      </c>
      <c r="D1516" s="140">
        <f>WEEKNUM(C1516)</f>
        <v>30</v>
      </c>
      <c r="E1516" s="132" t="s">
        <v>475</v>
      </c>
      <c r="F1516" s="130" t="s">
        <v>1021</v>
      </c>
      <c r="G1516" s="137" t="s">
        <v>495</v>
      </c>
      <c r="H1516" s="137" t="s">
        <v>529</v>
      </c>
      <c r="I1516" s="137" t="s">
        <v>46</v>
      </c>
      <c r="J1516" s="137">
        <v>100</v>
      </c>
      <c r="K1516" s="167">
        <v>17.5</v>
      </c>
      <c r="L1516" s="167">
        <f>K1516*J1516</f>
        <v>1750</v>
      </c>
      <c r="M1516" s="167">
        <f>L1516/2</f>
        <v>875</v>
      </c>
      <c r="N1516" s="135">
        <v>46246</v>
      </c>
      <c r="O1516" s="168">
        <f>WEEKNUM(N1516)</f>
        <v>33</v>
      </c>
      <c r="P1516" s="185"/>
      <c r="Q1516" s="132" t="s">
        <v>29</v>
      </c>
      <c r="R1516" s="133"/>
      <c r="S1516" s="133"/>
      <c r="T1516" s="133"/>
      <c r="U1516" s="133"/>
      <c r="V1516" s="133"/>
    </row>
    <row r="1517" spans="1:22" s="128" customFormat="1" ht="15" hidden="1" customHeight="1" x14ac:dyDescent="0.3">
      <c r="A1517" s="129" t="s">
        <v>477</v>
      </c>
      <c r="B1517" s="132">
        <v>1126</v>
      </c>
      <c r="C1517" s="131">
        <v>46230</v>
      </c>
      <c r="D1517" s="140">
        <f>WEEKNUM(C1517)</f>
        <v>31</v>
      </c>
      <c r="E1517" s="132" t="s">
        <v>475</v>
      </c>
      <c r="F1517" s="130" t="s">
        <v>551</v>
      </c>
      <c r="G1517" s="137" t="s">
        <v>311</v>
      </c>
      <c r="H1517" s="137" t="s">
        <v>51</v>
      </c>
      <c r="I1517" s="137" t="s">
        <v>46</v>
      </c>
      <c r="J1517" s="137">
        <v>100</v>
      </c>
      <c r="K1517" s="167">
        <v>15</v>
      </c>
      <c r="L1517" s="167">
        <f>K1517*J1517</f>
        <v>1500</v>
      </c>
      <c r="M1517" s="167">
        <v>0</v>
      </c>
      <c r="N1517" s="135">
        <v>46254</v>
      </c>
      <c r="O1517" s="168">
        <f>WEEKNUM(N1517)</f>
        <v>34</v>
      </c>
      <c r="P1517" s="185"/>
      <c r="Q1517" s="132" t="s">
        <v>29</v>
      </c>
      <c r="R1517" s="133"/>
      <c r="S1517" s="133"/>
      <c r="T1517" s="133"/>
      <c r="U1517" s="133"/>
      <c r="V1517" s="133"/>
    </row>
    <row r="1518" spans="1:22" s="128" customFormat="1" ht="15" hidden="1" customHeight="1" x14ac:dyDescent="0.3">
      <c r="A1518" s="129" t="s">
        <v>477</v>
      </c>
      <c r="B1518" s="132">
        <v>1126</v>
      </c>
      <c r="C1518" s="131">
        <v>46230</v>
      </c>
      <c r="D1518" s="140">
        <f>WEEKNUM(C1518)</f>
        <v>31</v>
      </c>
      <c r="E1518" s="132" t="s">
        <v>475</v>
      </c>
      <c r="F1518" s="130" t="s">
        <v>551</v>
      </c>
      <c r="G1518" s="137" t="s">
        <v>546</v>
      </c>
      <c r="H1518" s="137" t="s">
        <v>529</v>
      </c>
      <c r="I1518" s="137" t="s">
        <v>46</v>
      </c>
      <c r="J1518" s="137">
        <v>100</v>
      </c>
      <c r="K1518" s="167">
        <v>14.6</v>
      </c>
      <c r="L1518" s="167">
        <f>K1518*J1518</f>
        <v>1460</v>
      </c>
      <c r="M1518" s="167">
        <v>960</v>
      </c>
      <c r="N1518" s="135">
        <v>46254</v>
      </c>
      <c r="O1518" s="168">
        <f>WEEKNUM(N1518)</f>
        <v>34</v>
      </c>
      <c r="P1518" s="185"/>
      <c r="Q1518" s="132" t="s">
        <v>29</v>
      </c>
      <c r="R1518" s="133"/>
      <c r="S1518" s="133"/>
      <c r="T1518" s="133"/>
      <c r="U1518" s="133"/>
      <c r="V1518" s="133"/>
    </row>
    <row r="1519" spans="1:22" s="128" customFormat="1" ht="15" hidden="1" customHeight="1" x14ac:dyDescent="0.3">
      <c r="A1519" s="129" t="s">
        <v>477</v>
      </c>
      <c r="B1519" s="132">
        <v>1127</v>
      </c>
      <c r="C1519" s="131">
        <v>46230</v>
      </c>
      <c r="D1519" s="140">
        <f>WEEKNUM(C1519)</f>
        <v>31</v>
      </c>
      <c r="E1519" s="132" t="s">
        <v>475</v>
      </c>
      <c r="F1519" s="130" t="s">
        <v>1029</v>
      </c>
      <c r="G1519" s="137" t="s">
        <v>495</v>
      </c>
      <c r="H1519" s="137" t="s">
        <v>529</v>
      </c>
      <c r="I1519" s="137" t="s">
        <v>46</v>
      </c>
      <c r="J1519" s="137">
        <v>100</v>
      </c>
      <c r="K1519" s="167">
        <v>17.5</v>
      </c>
      <c r="L1519" s="167">
        <f>K1519*J1519</f>
        <v>1750</v>
      </c>
      <c r="M1519" s="167">
        <f>L1519/2</f>
        <v>875</v>
      </c>
      <c r="N1519" s="135">
        <v>46258</v>
      </c>
      <c r="O1519" s="168">
        <f>WEEKNUM(N1519)</f>
        <v>35</v>
      </c>
      <c r="P1519" s="185"/>
      <c r="Q1519" s="132" t="s">
        <v>29</v>
      </c>
      <c r="R1519" s="133"/>
      <c r="S1519" s="133"/>
      <c r="T1519" s="133"/>
      <c r="U1519" s="133"/>
      <c r="V1519" s="133"/>
    </row>
    <row r="1520" spans="1:22" s="128" customFormat="1" ht="15" hidden="1" customHeight="1" x14ac:dyDescent="0.3">
      <c r="A1520" s="129" t="s">
        <v>477</v>
      </c>
      <c r="B1520" s="132">
        <v>1127</v>
      </c>
      <c r="C1520" s="131">
        <v>46230</v>
      </c>
      <c r="D1520" s="140">
        <f>WEEKNUM(C1520)</f>
        <v>31</v>
      </c>
      <c r="E1520" s="132" t="s">
        <v>475</v>
      </c>
      <c r="F1520" s="130" t="s">
        <v>1029</v>
      </c>
      <c r="G1520" s="137" t="s">
        <v>1030</v>
      </c>
      <c r="H1520" s="137" t="s">
        <v>51</v>
      </c>
      <c r="I1520" s="137" t="s">
        <v>61</v>
      </c>
      <c r="J1520" s="137">
        <v>100</v>
      </c>
      <c r="K1520" s="167">
        <v>67</v>
      </c>
      <c r="L1520" s="167">
        <f>K1520*J1520</f>
        <v>6700</v>
      </c>
      <c r="M1520" s="167">
        <f>L1520/2</f>
        <v>3350</v>
      </c>
      <c r="N1520" s="135">
        <v>46258</v>
      </c>
      <c r="O1520" s="168">
        <f>WEEKNUM(N1520)</f>
        <v>35</v>
      </c>
      <c r="P1520" s="185"/>
      <c r="Q1520" s="132" t="s">
        <v>29</v>
      </c>
      <c r="R1520" s="133"/>
      <c r="S1520" s="133"/>
      <c r="T1520" s="133"/>
      <c r="U1520" s="133"/>
      <c r="V1520" s="133"/>
    </row>
    <row r="1521" spans="1:22" s="128" customFormat="1" ht="15" hidden="1" customHeight="1" x14ac:dyDescent="0.3">
      <c r="A1521" s="129" t="s">
        <v>486</v>
      </c>
      <c r="B1521" s="132">
        <v>649</v>
      </c>
      <c r="C1521" s="131">
        <v>46230</v>
      </c>
      <c r="D1521" s="140">
        <f>WEEKNUM(C1521)</f>
        <v>31</v>
      </c>
      <c r="E1521" s="132" t="s">
        <v>68</v>
      </c>
      <c r="F1521" s="130" t="s">
        <v>1040</v>
      </c>
      <c r="G1521" s="137" t="s">
        <v>1041</v>
      </c>
      <c r="H1521" s="137" t="s">
        <v>74</v>
      </c>
      <c r="I1521" s="137" t="s">
        <v>46</v>
      </c>
      <c r="J1521" s="137">
        <v>4</v>
      </c>
      <c r="K1521" s="167">
        <v>34.909999999999997</v>
      </c>
      <c r="L1521" s="167">
        <f>K1521*J1521</f>
        <v>139.63999999999999</v>
      </c>
      <c r="M1521" s="167"/>
      <c r="N1521" s="135">
        <v>46234</v>
      </c>
      <c r="O1521" s="168">
        <f>WEEKNUM(N1521)</f>
        <v>31</v>
      </c>
      <c r="P1521" s="185"/>
      <c r="Q1521" s="140" t="s">
        <v>29</v>
      </c>
      <c r="R1521" s="133"/>
      <c r="S1521" s="133"/>
      <c r="T1521" s="133"/>
      <c r="U1521" s="133"/>
      <c r="V1521" s="133"/>
    </row>
    <row r="1522" spans="1:22" s="128" customFormat="1" ht="15" hidden="1" customHeight="1" x14ac:dyDescent="0.3">
      <c r="A1522" s="129" t="s">
        <v>486</v>
      </c>
      <c r="B1522" s="132">
        <v>649</v>
      </c>
      <c r="C1522" s="131">
        <v>46230</v>
      </c>
      <c r="D1522" s="140">
        <f>WEEKNUM(C1522)</f>
        <v>31</v>
      </c>
      <c r="E1522" s="132" t="s">
        <v>68</v>
      </c>
      <c r="F1522" s="130" t="s">
        <v>1040</v>
      </c>
      <c r="G1522" s="137" t="s">
        <v>1033</v>
      </c>
      <c r="H1522" s="137" t="s">
        <v>340</v>
      </c>
      <c r="I1522" s="137" t="s">
        <v>46</v>
      </c>
      <c r="J1522" s="137">
        <v>2</v>
      </c>
      <c r="K1522" s="167">
        <v>61.75</v>
      </c>
      <c r="L1522" s="167">
        <f>(K1522*J1522)</f>
        <v>123.5</v>
      </c>
      <c r="M1522" s="167">
        <v>0</v>
      </c>
      <c r="N1522" s="135">
        <v>46234</v>
      </c>
      <c r="O1522" s="168">
        <f>WEEKNUM(N1522)</f>
        <v>31</v>
      </c>
      <c r="P1522" s="185"/>
      <c r="Q1522" s="140" t="s">
        <v>29</v>
      </c>
      <c r="R1522" s="133"/>
      <c r="S1522" s="133"/>
      <c r="T1522" s="133"/>
      <c r="U1522" s="133"/>
      <c r="V1522" s="133"/>
    </row>
    <row r="1523" spans="1:22" s="128" customFormat="1" ht="15" hidden="1" customHeight="1" x14ac:dyDescent="0.3">
      <c r="A1523" s="129" t="s">
        <v>486</v>
      </c>
      <c r="B1523" s="132">
        <v>649</v>
      </c>
      <c r="C1523" s="131">
        <v>46230</v>
      </c>
      <c r="D1523" s="140">
        <f>WEEKNUM(C1523)</f>
        <v>31</v>
      </c>
      <c r="E1523" s="132" t="s">
        <v>68</v>
      </c>
      <c r="F1523" s="130" t="s">
        <v>1040</v>
      </c>
      <c r="G1523" s="137" t="s">
        <v>51</v>
      </c>
      <c r="H1523" s="137" t="s">
        <v>51</v>
      </c>
      <c r="I1523" s="137" t="s">
        <v>46</v>
      </c>
      <c r="J1523" s="137">
        <v>6</v>
      </c>
      <c r="K1523" s="167">
        <v>23.75</v>
      </c>
      <c r="L1523" s="167">
        <f>(K1523*J1523)</f>
        <v>142.5</v>
      </c>
      <c r="M1523" s="167">
        <v>0</v>
      </c>
      <c r="N1523" s="135">
        <v>46234</v>
      </c>
      <c r="O1523" s="168">
        <f>WEEKNUM(N1523)</f>
        <v>31</v>
      </c>
      <c r="P1523" s="185"/>
      <c r="Q1523" s="140" t="s">
        <v>29</v>
      </c>
      <c r="R1523" s="133"/>
      <c r="S1523" s="133"/>
      <c r="T1523" s="133"/>
      <c r="U1523" s="133"/>
      <c r="V1523" s="133"/>
    </row>
    <row r="1524" spans="1:22" s="128" customFormat="1" ht="15" hidden="1" customHeight="1" x14ac:dyDescent="0.3">
      <c r="A1524" s="129" t="s">
        <v>486</v>
      </c>
      <c r="B1524" s="132">
        <v>649</v>
      </c>
      <c r="C1524" s="131">
        <v>46230</v>
      </c>
      <c r="D1524" s="140">
        <f>WEEKNUM(C1524)</f>
        <v>31</v>
      </c>
      <c r="E1524" s="132" t="s">
        <v>68</v>
      </c>
      <c r="F1524" s="130" t="s">
        <v>1040</v>
      </c>
      <c r="G1524" s="137" t="s">
        <v>308</v>
      </c>
      <c r="H1524" s="137" t="s">
        <v>74</v>
      </c>
      <c r="I1524" s="137" t="s">
        <v>46</v>
      </c>
      <c r="J1524" s="137">
        <v>7</v>
      </c>
      <c r="K1524" s="167">
        <v>34.909999999999997</v>
      </c>
      <c r="L1524" s="167">
        <v>244.4</v>
      </c>
      <c r="M1524" s="167">
        <v>0</v>
      </c>
      <c r="N1524" s="135">
        <v>46234</v>
      </c>
      <c r="O1524" s="168">
        <f>WEEKNUM(N1524)</f>
        <v>31</v>
      </c>
      <c r="P1524" s="185"/>
      <c r="Q1524" s="140" t="s">
        <v>29</v>
      </c>
      <c r="R1524" s="133"/>
      <c r="S1524" s="133"/>
      <c r="T1524" s="133"/>
      <c r="U1524" s="133"/>
      <c r="V1524" s="133"/>
    </row>
    <row r="1525" spans="1:22" s="128" customFormat="1" ht="15" hidden="1" customHeight="1" x14ac:dyDescent="0.3">
      <c r="A1525" s="129" t="s">
        <v>486</v>
      </c>
      <c r="B1525" s="132">
        <v>228</v>
      </c>
      <c r="C1525" s="131">
        <v>46231</v>
      </c>
      <c r="D1525" s="140">
        <f>WEEKNUM(C1525)</f>
        <v>31</v>
      </c>
      <c r="E1525" s="132" t="s">
        <v>475</v>
      </c>
      <c r="F1525" s="130" t="s">
        <v>1031</v>
      </c>
      <c r="G1525" s="137" t="s">
        <v>311</v>
      </c>
      <c r="H1525" s="137" t="s">
        <v>51</v>
      </c>
      <c r="I1525" s="137" t="s">
        <v>46</v>
      </c>
      <c r="J1525" s="137">
        <v>50</v>
      </c>
      <c r="K1525" s="167">
        <v>17</v>
      </c>
      <c r="L1525" s="167">
        <f>K1525*J1525</f>
        <v>850</v>
      </c>
      <c r="M1525" s="167">
        <f>L1525/2</f>
        <v>425</v>
      </c>
      <c r="N1525" s="135">
        <v>46258</v>
      </c>
      <c r="O1525" s="168">
        <f>WEEKNUM(N1525)</f>
        <v>35</v>
      </c>
      <c r="P1525" s="185"/>
      <c r="Q1525" s="132" t="s">
        <v>29</v>
      </c>
      <c r="R1525" s="133"/>
      <c r="S1525" s="133"/>
      <c r="T1525" s="133"/>
      <c r="U1525" s="133"/>
      <c r="V1525" s="133"/>
    </row>
    <row r="1526" spans="1:22" s="128" customFormat="1" ht="15" hidden="1" customHeight="1" x14ac:dyDescent="0.3">
      <c r="A1526" s="129" t="s">
        <v>486</v>
      </c>
      <c r="B1526" s="132">
        <v>228</v>
      </c>
      <c r="C1526" s="131">
        <v>46231</v>
      </c>
      <c r="D1526" s="140">
        <f>WEEKNUM(C1526)</f>
        <v>31</v>
      </c>
      <c r="E1526" s="132" t="s">
        <v>475</v>
      </c>
      <c r="F1526" s="130" t="s">
        <v>1031</v>
      </c>
      <c r="G1526" s="137" t="s">
        <v>311</v>
      </c>
      <c r="H1526" s="137" t="s">
        <v>51</v>
      </c>
      <c r="I1526" s="137" t="s">
        <v>46</v>
      </c>
      <c r="J1526" s="137">
        <v>50</v>
      </c>
      <c r="K1526" s="167">
        <v>14.3</v>
      </c>
      <c r="L1526" s="167">
        <f>K1526*J1526</f>
        <v>715</v>
      </c>
      <c r="M1526" s="167">
        <f>L1526/2</f>
        <v>357.5</v>
      </c>
      <c r="N1526" s="135">
        <v>46258</v>
      </c>
      <c r="O1526" s="168">
        <f>WEEKNUM(N1526)</f>
        <v>35</v>
      </c>
      <c r="P1526" s="185"/>
      <c r="Q1526" s="132" t="s">
        <v>29</v>
      </c>
      <c r="R1526" s="133"/>
      <c r="S1526" s="133"/>
      <c r="T1526" s="133"/>
      <c r="U1526" s="133"/>
      <c r="V1526" s="133"/>
    </row>
    <row r="1527" spans="1:22" s="128" customFormat="1" ht="15" hidden="1" customHeight="1" x14ac:dyDescent="0.3">
      <c r="A1527" s="129" t="s">
        <v>486</v>
      </c>
      <c r="B1527" s="132">
        <v>231</v>
      </c>
      <c r="C1527" s="131">
        <v>46232</v>
      </c>
      <c r="D1527" s="140">
        <f>WEEKNUM(C1527)</f>
        <v>31</v>
      </c>
      <c r="E1527" s="132" t="s">
        <v>475</v>
      </c>
      <c r="F1527" s="130" t="s">
        <v>1032</v>
      </c>
      <c r="G1527" s="137" t="s">
        <v>311</v>
      </c>
      <c r="H1527" s="137" t="s">
        <v>51</v>
      </c>
      <c r="I1527" s="137" t="s">
        <v>46</v>
      </c>
      <c r="J1527" s="137">
        <v>200</v>
      </c>
      <c r="K1527" s="167">
        <v>17</v>
      </c>
      <c r="L1527" s="167">
        <f>K1527*J1527</f>
        <v>3400</v>
      </c>
      <c r="M1527" s="167">
        <f>L1527/2</f>
        <v>1700</v>
      </c>
      <c r="N1527" s="135">
        <v>46259</v>
      </c>
      <c r="O1527" s="168">
        <f>WEEKNUM(N1527)</f>
        <v>35</v>
      </c>
      <c r="P1527" s="185"/>
      <c r="Q1527" s="132" t="s">
        <v>29</v>
      </c>
      <c r="R1527" s="133"/>
      <c r="S1527" s="133"/>
      <c r="T1527" s="133"/>
      <c r="U1527" s="133"/>
      <c r="V1527" s="133"/>
    </row>
    <row r="1528" spans="1:22" s="128" customFormat="1" ht="15" hidden="1" customHeight="1" x14ac:dyDescent="0.3">
      <c r="A1528" s="129" t="s">
        <v>486</v>
      </c>
      <c r="B1528" s="132">
        <v>229</v>
      </c>
      <c r="C1528" s="131">
        <v>46232</v>
      </c>
      <c r="D1528" s="140">
        <f>WEEKNUM(C1528)</f>
        <v>31</v>
      </c>
      <c r="E1528" s="132" t="s">
        <v>68</v>
      </c>
      <c r="F1528" s="130" t="s">
        <v>410</v>
      </c>
      <c r="G1528" s="137" t="s">
        <v>1033</v>
      </c>
      <c r="H1528" s="137" t="s">
        <v>340</v>
      </c>
      <c r="I1528" s="137" t="s">
        <v>46</v>
      </c>
      <c r="J1528" s="137">
        <v>3</v>
      </c>
      <c r="K1528" s="167">
        <v>65</v>
      </c>
      <c r="L1528" s="167">
        <f>K1528*J1528</f>
        <v>195</v>
      </c>
      <c r="M1528" s="167">
        <f>L1528/2</f>
        <v>97.5</v>
      </c>
      <c r="N1528" s="135">
        <v>46234</v>
      </c>
      <c r="O1528" s="168">
        <f>WEEKNUM(N1528)</f>
        <v>31</v>
      </c>
      <c r="P1528" s="185"/>
      <c r="Q1528" s="132" t="s">
        <v>29</v>
      </c>
      <c r="R1528" s="133"/>
      <c r="S1528" s="133"/>
      <c r="T1528" s="133"/>
      <c r="U1528" s="133"/>
      <c r="V1528" s="133"/>
    </row>
    <row r="1529" spans="1:22" s="128" customFormat="1" ht="15" hidden="1" customHeight="1" x14ac:dyDescent="0.3">
      <c r="A1529" s="129" t="s">
        <v>486</v>
      </c>
      <c r="B1529" s="132">
        <v>229</v>
      </c>
      <c r="C1529" s="131">
        <v>46232</v>
      </c>
      <c r="D1529" s="140">
        <f>WEEKNUM(C1529)</f>
        <v>31</v>
      </c>
      <c r="E1529" s="132" t="s">
        <v>68</v>
      </c>
      <c r="F1529" s="130" t="s">
        <v>410</v>
      </c>
      <c r="G1529" s="137" t="s">
        <v>70</v>
      </c>
      <c r="H1529" s="137" t="s">
        <v>74</v>
      </c>
      <c r="I1529" s="137" t="s">
        <v>46</v>
      </c>
      <c r="J1529" s="137">
        <v>2</v>
      </c>
      <c r="K1529" s="167">
        <v>36.75</v>
      </c>
      <c r="L1529" s="167">
        <f>K1529*J1529</f>
        <v>73.5</v>
      </c>
      <c r="M1529" s="167">
        <f>L1529/2</f>
        <v>36.75</v>
      </c>
      <c r="N1529" s="135">
        <v>46234</v>
      </c>
      <c r="O1529" s="168">
        <f>WEEKNUM(N1529)</f>
        <v>31</v>
      </c>
      <c r="P1529" s="185"/>
      <c r="Q1529" s="132" t="s">
        <v>29</v>
      </c>
      <c r="R1529" s="133"/>
      <c r="S1529" s="133"/>
      <c r="T1529" s="133"/>
      <c r="U1529" s="133"/>
      <c r="V1529" s="133"/>
    </row>
    <row r="1530" spans="1:22" s="128" customFormat="1" ht="15" hidden="1" customHeight="1" x14ac:dyDescent="0.3">
      <c r="A1530" s="129" t="s">
        <v>477</v>
      </c>
      <c r="B1530" s="132">
        <v>1129</v>
      </c>
      <c r="C1530" s="131">
        <v>46232</v>
      </c>
      <c r="D1530" s="140">
        <f>WEEKNUM(C1530)</f>
        <v>31</v>
      </c>
      <c r="E1530" s="132" t="s">
        <v>475</v>
      </c>
      <c r="F1530" s="130" t="s">
        <v>621</v>
      </c>
      <c r="G1530" s="137" t="s">
        <v>506</v>
      </c>
      <c r="H1530" s="137" t="s">
        <v>74</v>
      </c>
      <c r="I1530" s="137" t="s">
        <v>46</v>
      </c>
      <c r="J1530" s="137">
        <v>108</v>
      </c>
      <c r="K1530" s="167">
        <v>29.5</v>
      </c>
      <c r="L1530" s="167">
        <f>K1530*J1530</f>
        <v>3186</v>
      </c>
      <c r="M1530" s="167">
        <f>L1530/2</f>
        <v>1593</v>
      </c>
      <c r="N1530" s="135">
        <v>46262</v>
      </c>
      <c r="O1530" s="168">
        <f>WEEKNUM(N1530)</f>
        <v>35</v>
      </c>
      <c r="P1530" s="185"/>
      <c r="Q1530" s="132" t="s">
        <v>29</v>
      </c>
      <c r="R1530" s="133"/>
      <c r="S1530" s="133"/>
      <c r="T1530" s="133"/>
      <c r="U1530" s="133"/>
      <c r="V1530" s="133"/>
    </row>
    <row r="1531" spans="1:22" s="128" customFormat="1" ht="15" hidden="1" customHeight="1" x14ac:dyDescent="0.3">
      <c r="A1531" s="129" t="s">
        <v>477</v>
      </c>
      <c r="B1531" s="132">
        <v>1129</v>
      </c>
      <c r="C1531" s="131">
        <v>46232</v>
      </c>
      <c r="D1531" s="140">
        <f>WEEKNUM(C1531)</f>
        <v>31</v>
      </c>
      <c r="E1531" s="132" t="s">
        <v>475</v>
      </c>
      <c r="F1531" s="130" t="s">
        <v>621</v>
      </c>
      <c r="G1531" s="137" t="s">
        <v>412</v>
      </c>
      <c r="H1531" s="137" t="s">
        <v>74</v>
      </c>
      <c r="I1531" s="137" t="s">
        <v>46</v>
      </c>
      <c r="J1531" s="137">
        <v>45</v>
      </c>
      <c r="K1531" s="167">
        <v>30</v>
      </c>
      <c r="L1531" s="167">
        <f>K1531*J1531</f>
        <v>1350</v>
      </c>
      <c r="M1531" s="167">
        <f>L1531/2</f>
        <v>675</v>
      </c>
      <c r="N1531" s="135">
        <v>46262</v>
      </c>
      <c r="O1531" s="168">
        <f>WEEKNUM(N1531)</f>
        <v>35</v>
      </c>
      <c r="P1531" s="185"/>
      <c r="Q1531" s="132" t="s">
        <v>29</v>
      </c>
      <c r="R1531" s="133"/>
      <c r="S1531" s="133"/>
      <c r="T1531" s="133"/>
      <c r="U1531" s="133"/>
      <c r="V1531" s="133"/>
    </row>
    <row r="1532" spans="1:22" s="128" customFormat="1" ht="15" hidden="1" customHeight="1" x14ac:dyDescent="0.3">
      <c r="A1532" s="129" t="s">
        <v>477</v>
      </c>
      <c r="B1532" s="132">
        <v>1128</v>
      </c>
      <c r="C1532" s="131">
        <v>46232</v>
      </c>
      <c r="D1532" s="140">
        <f>WEEKNUM(C1532)</f>
        <v>31</v>
      </c>
      <c r="E1532" s="132" t="s">
        <v>498</v>
      </c>
      <c r="F1532" s="130" t="s">
        <v>459</v>
      </c>
      <c r="G1532" s="137" t="s">
        <v>411</v>
      </c>
      <c r="H1532" s="137" t="s">
        <v>340</v>
      </c>
      <c r="I1532" s="137" t="s">
        <v>46</v>
      </c>
      <c r="J1532" s="137">
        <v>178</v>
      </c>
      <c r="K1532" s="167">
        <v>40</v>
      </c>
      <c r="L1532" s="167">
        <f>K1532*J1532</f>
        <v>7120</v>
      </c>
      <c r="M1532" s="167">
        <f>L1532/2</f>
        <v>3560</v>
      </c>
      <c r="N1532" s="135">
        <v>46241</v>
      </c>
      <c r="O1532" s="168">
        <f>WEEKNUM(N1532)</f>
        <v>32</v>
      </c>
      <c r="P1532" s="185"/>
      <c r="Q1532" s="132" t="s">
        <v>29</v>
      </c>
      <c r="R1532" s="133"/>
      <c r="S1532" s="133"/>
      <c r="T1532" s="133"/>
      <c r="U1532" s="133"/>
      <c r="V1532" s="133"/>
    </row>
    <row r="1533" spans="1:22" s="128" customFormat="1" ht="15" hidden="1" customHeight="1" x14ac:dyDescent="0.3">
      <c r="A1533" s="129" t="s">
        <v>477</v>
      </c>
      <c r="B1533" s="132">
        <v>1128</v>
      </c>
      <c r="C1533" s="131">
        <v>46232</v>
      </c>
      <c r="D1533" s="140">
        <f>WEEKNUM(C1533)</f>
        <v>31</v>
      </c>
      <c r="E1533" s="132" t="s">
        <v>498</v>
      </c>
      <c r="F1533" s="130" t="s">
        <v>459</v>
      </c>
      <c r="G1533" s="137" t="s">
        <v>411</v>
      </c>
      <c r="H1533" s="137" t="s">
        <v>340</v>
      </c>
      <c r="I1533" s="137" t="s">
        <v>46</v>
      </c>
      <c r="J1533" s="137">
        <v>82</v>
      </c>
      <c r="K1533" s="167">
        <v>42</v>
      </c>
      <c r="L1533" s="167">
        <f>K1533*J1533</f>
        <v>3444</v>
      </c>
      <c r="M1533" s="167">
        <f>L1533/2</f>
        <v>1722</v>
      </c>
      <c r="N1533" s="135">
        <v>46241</v>
      </c>
      <c r="O1533" s="168">
        <f>WEEKNUM(N1533)</f>
        <v>32</v>
      </c>
      <c r="P1533" s="185"/>
      <c r="Q1533" s="132" t="s">
        <v>29</v>
      </c>
      <c r="R1533" s="133"/>
      <c r="S1533" s="133"/>
      <c r="T1533" s="133"/>
      <c r="U1533" s="133"/>
      <c r="V1533" s="133"/>
    </row>
    <row r="1534" spans="1:22" s="128" customFormat="1" ht="15" hidden="1" customHeight="1" x14ac:dyDescent="0.3">
      <c r="A1534" s="129" t="s">
        <v>477</v>
      </c>
      <c r="B1534" s="132">
        <v>1130</v>
      </c>
      <c r="C1534" s="131">
        <v>46232</v>
      </c>
      <c r="D1534" s="140">
        <f>WEEKNUM(C1534)</f>
        <v>31</v>
      </c>
      <c r="E1534" s="132" t="s">
        <v>498</v>
      </c>
      <c r="F1534" s="130" t="s">
        <v>1034</v>
      </c>
      <c r="G1534" s="137" t="s">
        <v>487</v>
      </c>
      <c r="H1534" s="137" t="s">
        <v>51</v>
      </c>
      <c r="I1534" s="137" t="s">
        <v>46</v>
      </c>
      <c r="J1534" s="137">
        <v>100</v>
      </c>
      <c r="K1534" s="167">
        <v>25</v>
      </c>
      <c r="L1534" s="167">
        <f>K1534*J1534</f>
        <v>2500</v>
      </c>
      <c r="M1534" s="167">
        <f>L1534/2</f>
        <v>1250</v>
      </c>
      <c r="N1534" s="135">
        <v>46259</v>
      </c>
      <c r="O1534" s="168">
        <f>WEEKNUM(N1534)</f>
        <v>35</v>
      </c>
      <c r="P1534" s="185"/>
      <c r="Q1534" s="132" t="s">
        <v>29</v>
      </c>
      <c r="R1534" s="133"/>
      <c r="S1534" s="133"/>
      <c r="T1534" s="133"/>
      <c r="U1534" s="133"/>
      <c r="V1534" s="133"/>
    </row>
    <row r="1535" spans="1:22" s="128" customFormat="1" ht="15" hidden="1" customHeight="1" x14ac:dyDescent="0.3">
      <c r="A1535" s="129" t="s">
        <v>486</v>
      </c>
      <c r="B1535" s="132">
        <v>233</v>
      </c>
      <c r="C1535" s="131">
        <v>46232</v>
      </c>
      <c r="D1535" s="140">
        <f>WEEKNUM(C1535)</f>
        <v>31</v>
      </c>
      <c r="E1535" s="132" t="s">
        <v>68</v>
      </c>
      <c r="F1535" s="130" t="s">
        <v>379</v>
      </c>
      <c r="G1535" s="137" t="s">
        <v>311</v>
      </c>
      <c r="H1535" s="137" t="s">
        <v>51</v>
      </c>
      <c r="I1535" s="137" t="s">
        <v>46</v>
      </c>
      <c r="J1535" s="137">
        <v>3</v>
      </c>
      <c r="K1535" s="167">
        <v>25</v>
      </c>
      <c r="L1535" s="167">
        <f>K1535*J1535</f>
        <v>75</v>
      </c>
      <c r="M1535" s="167">
        <v>0</v>
      </c>
      <c r="N1535" s="135">
        <v>46252</v>
      </c>
      <c r="O1535" s="168">
        <f>WEEKNUM(N1535)</f>
        <v>34</v>
      </c>
      <c r="P1535" s="185"/>
      <c r="Q1535" s="132" t="s">
        <v>29</v>
      </c>
      <c r="R1535" s="133"/>
      <c r="S1535" s="133"/>
      <c r="T1535" s="133"/>
      <c r="U1535" s="133"/>
      <c r="V1535" s="133"/>
    </row>
    <row r="1536" spans="1:22" s="128" customFormat="1" ht="15" hidden="1" customHeight="1" x14ac:dyDescent="0.3">
      <c r="A1536" s="129" t="s">
        <v>486</v>
      </c>
      <c r="B1536" s="132">
        <v>233</v>
      </c>
      <c r="C1536" s="131">
        <v>46232</v>
      </c>
      <c r="D1536" s="140">
        <f>WEEKNUM(C1536)</f>
        <v>31</v>
      </c>
      <c r="E1536" s="132" t="s">
        <v>68</v>
      </c>
      <c r="F1536" s="130" t="s">
        <v>379</v>
      </c>
      <c r="G1536" s="137" t="s">
        <v>308</v>
      </c>
      <c r="H1536" s="137" t="s">
        <v>74</v>
      </c>
      <c r="I1536" s="137" t="s">
        <v>46</v>
      </c>
      <c r="J1536" s="137">
        <v>5</v>
      </c>
      <c r="K1536" s="167">
        <v>36.75</v>
      </c>
      <c r="L1536" s="167">
        <f>K1536*J1536</f>
        <v>183.75</v>
      </c>
      <c r="M1536" s="167">
        <v>0</v>
      </c>
      <c r="N1536" s="135">
        <v>46252</v>
      </c>
      <c r="O1536" s="168">
        <f>WEEKNUM(N1536)</f>
        <v>34</v>
      </c>
      <c r="P1536" s="185"/>
      <c r="Q1536" s="132" t="s">
        <v>29</v>
      </c>
      <c r="R1536" s="133"/>
      <c r="S1536" s="133"/>
      <c r="T1536" s="133"/>
      <c r="U1536" s="133"/>
      <c r="V1536" s="133"/>
    </row>
    <row r="1537" spans="1:22" s="128" customFormat="1" ht="15" hidden="1" customHeight="1" x14ac:dyDescent="0.3">
      <c r="A1537" s="129" t="s">
        <v>486</v>
      </c>
      <c r="B1537" s="132">
        <v>233</v>
      </c>
      <c r="C1537" s="131">
        <v>46232</v>
      </c>
      <c r="D1537" s="140">
        <f>WEEKNUM(C1537)</f>
        <v>31</v>
      </c>
      <c r="E1537" s="132" t="s">
        <v>68</v>
      </c>
      <c r="F1537" s="130" t="s">
        <v>379</v>
      </c>
      <c r="G1537" s="137" t="s">
        <v>408</v>
      </c>
      <c r="H1537" s="137" t="s">
        <v>80</v>
      </c>
      <c r="I1537" s="137" t="s">
        <v>46</v>
      </c>
      <c r="J1537" s="137">
        <v>3</v>
      </c>
      <c r="K1537" s="167">
        <v>21</v>
      </c>
      <c r="L1537" s="167">
        <f>K1537*J1537</f>
        <v>63</v>
      </c>
      <c r="M1537" s="167">
        <v>0</v>
      </c>
      <c r="N1537" s="135">
        <v>46252</v>
      </c>
      <c r="O1537" s="168">
        <f>WEEKNUM(N1537)</f>
        <v>34</v>
      </c>
      <c r="P1537" s="185"/>
      <c r="Q1537" s="132" t="s">
        <v>29</v>
      </c>
      <c r="R1537" s="133"/>
      <c r="S1537" s="133"/>
      <c r="T1537" s="133"/>
      <c r="U1537" s="133"/>
      <c r="V1537" s="133"/>
    </row>
    <row r="1538" spans="1:22" s="128" customFormat="1" ht="15" hidden="1" customHeight="1" x14ac:dyDescent="0.3">
      <c r="A1538" s="129" t="s">
        <v>477</v>
      </c>
      <c r="B1538" s="132">
        <v>232</v>
      </c>
      <c r="C1538" s="131">
        <v>46232</v>
      </c>
      <c r="D1538" s="140">
        <f>WEEKNUM(C1538)</f>
        <v>31</v>
      </c>
      <c r="E1538" s="132" t="s">
        <v>475</v>
      </c>
      <c r="F1538" s="130" t="s">
        <v>544</v>
      </c>
      <c r="G1538" s="137" t="s">
        <v>218</v>
      </c>
      <c r="H1538" s="137" t="s">
        <v>74</v>
      </c>
      <c r="I1538" s="137" t="s">
        <v>46</v>
      </c>
      <c r="J1538" s="137">
        <v>100</v>
      </c>
      <c r="K1538" s="167">
        <v>26.5</v>
      </c>
      <c r="L1538" s="167">
        <f>K1538*J1538</f>
        <v>2650</v>
      </c>
      <c r="M1538" s="167">
        <v>0</v>
      </c>
      <c r="N1538" s="135">
        <v>46260</v>
      </c>
      <c r="O1538" s="168">
        <f>WEEKNUM(N1538)</f>
        <v>35</v>
      </c>
      <c r="P1538" s="185"/>
      <c r="Q1538" s="132" t="s">
        <v>29</v>
      </c>
      <c r="R1538" s="133"/>
      <c r="S1538" s="133"/>
      <c r="T1538" s="133"/>
      <c r="U1538" s="133"/>
      <c r="V1538" s="133"/>
    </row>
    <row r="1539" spans="1:22" s="128" customFormat="1" ht="15" hidden="1" customHeight="1" x14ac:dyDescent="0.3">
      <c r="A1539" s="129" t="s">
        <v>477</v>
      </c>
      <c r="B1539" s="132">
        <v>232</v>
      </c>
      <c r="C1539" s="131">
        <v>46232</v>
      </c>
      <c r="D1539" s="140">
        <f>WEEKNUM(C1539)</f>
        <v>31</v>
      </c>
      <c r="E1539" s="132" t="s">
        <v>475</v>
      </c>
      <c r="F1539" s="130" t="s">
        <v>544</v>
      </c>
      <c r="G1539" s="137" t="s">
        <v>546</v>
      </c>
      <c r="H1539" s="137" t="s">
        <v>529</v>
      </c>
      <c r="I1539" s="137" t="s">
        <v>46</v>
      </c>
      <c r="J1539" s="137">
        <v>100</v>
      </c>
      <c r="K1539" s="167">
        <v>17.5</v>
      </c>
      <c r="L1539" s="167">
        <f>K1539*J1539</f>
        <v>1750</v>
      </c>
      <c r="M1539" s="167">
        <v>0</v>
      </c>
      <c r="N1539" s="135">
        <v>46260</v>
      </c>
      <c r="O1539" s="168">
        <f>WEEKNUM(N1539)</f>
        <v>35</v>
      </c>
      <c r="P1539" s="185"/>
      <c r="Q1539" s="132" t="s">
        <v>29</v>
      </c>
      <c r="R1539" s="133"/>
      <c r="S1539" s="133"/>
      <c r="T1539" s="133"/>
      <c r="U1539" s="133"/>
      <c r="V1539" s="133"/>
    </row>
    <row r="1540" spans="1:22" s="128" customFormat="1" ht="15" hidden="1" customHeight="1" x14ac:dyDescent="0.3">
      <c r="A1540" s="129" t="s">
        <v>477</v>
      </c>
      <c r="B1540" s="132">
        <v>232</v>
      </c>
      <c r="C1540" s="131">
        <v>46232</v>
      </c>
      <c r="D1540" s="140">
        <f>WEEKNUM(C1540)</f>
        <v>31</v>
      </c>
      <c r="E1540" s="132" t="s">
        <v>475</v>
      </c>
      <c r="F1540" s="130" t="s">
        <v>544</v>
      </c>
      <c r="G1540" s="137" t="s">
        <v>618</v>
      </c>
      <c r="H1540" s="137" t="s">
        <v>555</v>
      </c>
      <c r="I1540" s="137" t="s">
        <v>46</v>
      </c>
      <c r="J1540" s="137">
        <v>20</v>
      </c>
      <c r="K1540" s="167">
        <v>35</v>
      </c>
      <c r="L1540" s="167">
        <f>K1540*J1540</f>
        <v>700</v>
      </c>
      <c r="M1540" s="167">
        <v>0</v>
      </c>
      <c r="N1540" s="135">
        <v>46260</v>
      </c>
      <c r="O1540" s="168">
        <f>WEEKNUM(N1540)</f>
        <v>35</v>
      </c>
      <c r="P1540" s="185"/>
      <c r="Q1540" s="132" t="s">
        <v>29</v>
      </c>
      <c r="R1540" s="133"/>
      <c r="S1540" s="133"/>
      <c r="T1540" s="133"/>
      <c r="U1540" s="133"/>
      <c r="V1540" s="133"/>
    </row>
    <row r="1541" spans="1:22" s="128" customFormat="1" ht="15" hidden="1" customHeight="1" x14ac:dyDescent="0.3">
      <c r="A1541" s="129" t="s">
        <v>477</v>
      </c>
      <c r="B1541" s="132">
        <v>232</v>
      </c>
      <c r="C1541" s="131">
        <v>46232</v>
      </c>
      <c r="D1541" s="140">
        <f>WEEKNUM(C1541)</f>
        <v>31</v>
      </c>
      <c r="E1541" s="132" t="s">
        <v>475</v>
      </c>
      <c r="F1541" s="130" t="s">
        <v>544</v>
      </c>
      <c r="G1541" s="137" t="s">
        <v>480</v>
      </c>
      <c r="H1541" s="137" t="s">
        <v>51</v>
      </c>
      <c r="I1541" s="137" t="s">
        <v>46</v>
      </c>
      <c r="J1541" s="137">
        <v>100</v>
      </c>
      <c r="K1541" s="167">
        <v>17.899999999999999</v>
      </c>
      <c r="L1541" s="167">
        <f>K1541*J1541</f>
        <v>1789.9999999999998</v>
      </c>
      <c r="M1541" s="167">
        <v>0</v>
      </c>
      <c r="N1541" s="135">
        <v>46260</v>
      </c>
      <c r="O1541" s="168">
        <f>WEEKNUM(N1541)</f>
        <v>35</v>
      </c>
      <c r="P1541" s="185"/>
      <c r="Q1541" s="132" t="s">
        <v>29</v>
      </c>
      <c r="R1541" s="133"/>
      <c r="S1541" s="133"/>
      <c r="T1541" s="133"/>
      <c r="U1541" s="133"/>
      <c r="V1541" s="133"/>
    </row>
    <row r="1542" spans="1:22" s="128" customFormat="1" ht="15" hidden="1" customHeight="1" x14ac:dyDescent="0.3">
      <c r="A1542" s="129" t="s">
        <v>486</v>
      </c>
      <c r="B1542" s="132">
        <v>230</v>
      </c>
      <c r="C1542" s="131">
        <v>46234</v>
      </c>
      <c r="D1542" s="140">
        <f>WEEKNUM(C1542)</f>
        <v>31</v>
      </c>
      <c r="E1542" s="132" t="s">
        <v>68</v>
      </c>
      <c r="F1542" s="130" t="s">
        <v>1036</v>
      </c>
      <c r="G1542" s="137" t="s">
        <v>311</v>
      </c>
      <c r="H1542" s="137" t="s">
        <v>51</v>
      </c>
      <c r="I1542" s="137" t="s">
        <v>46</v>
      </c>
      <c r="J1542" s="137">
        <v>6</v>
      </c>
      <c r="K1542" s="167">
        <v>25</v>
      </c>
      <c r="L1542" s="167">
        <f>K1542*J1542</f>
        <v>150</v>
      </c>
      <c r="M1542" s="167">
        <f>L1542/2</f>
        <v>75</v>
      </c>
      <c r="N1542" s="135">
        <v>46255</v>
      </c>
      <c r="O1542" s="168">
        <f>WEEKNUM(N1542)</f>
        <v>34</v>
      </c>
      <c r="P1542" s="185"/>
      <c r="Q1542" s="132" t="s">
        <v>29</v>
      </c>
      <c r="R1542" s="133"/>
      <c r="S1542" s="133"/>
      <c r="T1542" s="133"/>
      <c r="U1542" s="133"/>
      <c r="V1542" s="133"/>
    </row>
    <row r="1543" spans="1:22" s="128" customFormat="1" ht="15" hidden="1" customHeight="1" x14ac:dyDescent="0.3">
      <c r="A1543" s="129" t="s">
        <v>486</v>
      </c>
      <c r="B1543" s="132">
        <v>230</v>
      </c>
      <c r="C1543" s="131">
        <v>46234</v>
      </c>
      <c r="D1543" s="140">
        <f>WEEKNUM(C1543)</f>
        <v>31</v>
      </c>
      <c r="E1543" s="132" t="s">
        <v>68</v>
      </c>
      <c r="F1543" s="130" t="s">
        <v>1036</v>
      </c>
      <c r="G1543" s="137" t="s">
        <v>308</v>
      </c>
      <c r="H1543" s="137" t="s">
        <v>74</v>
      </c>
      <c r="I1543" s="137" t="s">
        <v>46</v>
      </c>
      <c r="J1543" s="137">
        <v>12</v>
      </c>
      <c r="K1543" s="167">
        <v>36.75</v>
      </c>
      <c r="L1543" s="167">
        <f>K1543*J1543</f>
        <v>441</v>
      </c>
      <c r="M1543" s="167">
        <f>L1543/2</f>
        <v>220.5</v>
      </c>
      <c r="N1543" s="135">
        <v>46255</v>
      </c>
      <c r="O1543" s="168">
        <f>WEEKNUM(N1543)</f>
        <v>34</v>
      </c>
      <c r="P1543" s="185"/>
      <c r="Q1543" s="132" t="s">
        <v>29</v>
      </c>
      <c r="R1543" s="133"/>
      <c r="S1543" s="133"/>
      <c r="T1543" s="133"/>
      <c r="U1543" s="133"/>
      <c r="V1543" s="133"/>
    </row>
    <row r="1544" spans="1:22" s="128" customFormat="1" ht="15" hidden="1" customHeight="1" x14ac:dyDescent="0.3">
      <c r="A1544" s="129" t="s">
        <v>486</v>
      </c>
      <c r="B1544" s="132">
        <v>230</v>
      </c>
      <c r="C1544" s="131">
        <v>46234</v>
      </c>
      <c r="D1544" s="140">
        <f>WEEKNUM(C1544)</f>
        <v>31</v>
      </c>
      <c r="E1544" s="132" t="s">
        <v>68</v>
      </c>
      <c r="F1544" s="130" t="s">
        <v>1036</v>
      </c>
      <c r="G1544" s="137" t="s">
        <v>1033</v>
      </c>
      <c r="H1544" s="137" t="s">
        <v>340</v>
      </c>
      <c r="I1544" s="137" t="s">
        <v>46</v>
      </c>
      <c r="J1544" s="137">
        <v>8</v>
      </c>
      <c r="K1544" s="167">
        <v>65</v>
      </c>
      <c r="L1544" s="167">
        <f>K1544*J1544</f>
        <v>520</v>
      </c>
      <c r="M1544" s="167">
        <f>L1544/2</f>
        <v>260</v>
      </c>
      <c r="N1544" s="135">
        <v>46255</v>
      </c>
      <c r="O1544" s="168">
        <f>WEEKNUM(N1544)</f>
        <v>34</v>
      </c>
      <c r="P1544" s="185"/>
      <c r="Q1544" s="132" t="s">
        <v>29</v>
      </c>
      <c r="R1544" s="133"/>
      <c r="S1544" s="133"/>
      <c r="T1544" s="133"/>
      <c r="U1544" s="133"/>
      <c r="V1544" s="133"/>
    </row>
    <row r="1545" spans="1:22" s="128" customFormat="1" ht="15" hidden="1" customHeight="1" x14ac:dyDescent="0.3">
      <c r="A1545" s="129" t="s">
        <v>486</v>
      </c>
      <c r="B1545" s="132">
        <v>230</v>
      </c>
      <c r="C1545" s="131">
        <v>46234</v>
      </c>
      <c r="D1545" s="140">
        <f>WEEKNUM(C1545)</f>
        <v>31</v>
      </c>
      <c r="E1545" s="132" t="s">
        <v>68</v>
      </c>
      <c r="F1545" s="130" t="s">
        <v>1036</v>
      </c>
      <c r="G1545" s="137" t="s">
        <v>70</v>
      </c>
      <c r="H1545" s="137" t="s">
        <v>74</v>
      </c>
      <c r="I1545" s="137" t="s">
        <v>46</v>
      </c>
      <c r="J1545" s="137">
        <v>8</v>
      </c>
      <c r="K1545" s="167">
        <v>36.75</v>
      </c>
      <c r="L1545" s="167">
        <f>K1545*J1545</f>
        <v>294</v>
      </c>
      <c r="M1545" s="167">
        <f>L1545/2</f>
        <v>147</v>
      </c>
      <c r="N1545" s="135">
        <v>46255</v>
      </c>
      <c r="O1545" s="168">
        <f>WEEKNUM(N1545)</f>
        <v>34</v>
      </c>
      <c r="P1545" s="185"/>
      <c r="Q1545" s="132" t="s">
        <v>29</v>
      </c>
      <c r="R1545" s="133"/>
      <c r="S1545" s="133"/>
      <c r="T1545" s="133"/>
      <c r="U1545" s="133"/>
      <c r="V1545" s="133"/>
    </row>
    <row r="1546" spans="1:22" s="128" customFormat="1" ht="15" hidden="1" customHeight="1" x14ac:dyDescent="0.3">
      <c r="A1546" s="129" t="s">
        <v>486</v>
      </c>
      <c r="B1546" s="132">
        <v>230</v>
      </c>
      <c r="C1546" s="131">
        <v>46234</v>
      </c>
      <c r="D1546" s="140">
        <f>WEEKNUM(C1546)</f>
        <v>31</v>
      </c>
      <c r="E1546" s="132" t="s">
        <v>68</v>
      </c>
      <c r="F1546" s="130" t="s">
        <v>1036</v>
      </c>
      <c r="G1546" s="137" t="s">
        <v>1037</v>
      </c>
      <c r="H1546" s="137" t="s">
        <v>74</v>
      </c>
      <c r="I1546" s="137" t="s">
        <v>46</v>
      </c>
      <c r="J1546" s="137">
        <v>2</v>
      </c>
      <c r="K1546" s="167">
        <v>55</v>
      </c>
      <c r="L1546" s="167">
        <f>K1546*J1546</f>
        <v>110</v>
      </c>
      <c r="M1546" s="167">
        <f>L1546/2</f>
        <v>55</v>
      </c>
      <c r="N1546" s="135">
        <v>46255</v>
      </c>
      <c r="O1546" s="168">
        <f>WEEKNUM(N1546)</f>
        <v>34</v>
      </c>
      <c r="P1546" s="185"/>
      <c r="Q1546" s="132" t="s">
        <v>29</v>
      </c>
      <c r="R1546" s="133"/>
      <c r="S1546" s="133"/>
      <c r="T1546" s="133"/>
      <c r="U1546" s="133"/>
      <c r="V1546" s="133"/>
    </row>
    <row r="1547" spans="1:22" s="128" customFormat="1" ht="15" hidden="1" customHeight="1" x14ac:dyDescent="0.3">
      <c r="A1547" s="129" t="s">
        <v>477</v>
      </c>
      <c r="B1547" s="132">
        <v>1131</v>
      </c>
      <c r="C1547" s="131">
        <v>46234</v>
      </c>
      <c r="D1547" s="140">
        <f>WEEKNUM(C1547)</f>
        <v>31</v>
      </c>
      <c r="E1547" s="132" t="s">
        <v>55</v>
      </c>
      <c r="F1547" s="130" t="s">
        <v>454</v>
      </c>
      <c r="G1547" s="137" t="s">
        <v>1038</v>
      </c>
      <c r="H1547" s="137" t="s">
        <v>304</v>
      </c>
      <c r="I1547" s="137" t="s">
        <v>61</v>
      </c>
      <c r="J1547" s="137">
        <v>3000</v>
      </c>
      <c r="K1547" s="167">
        <v>10.8</v>
      </c>
      <c r="L1547" s="167">
        <f>K1547*J1547</f>
        <v>32400.000000000004</v>
      </c>
      <c r="M1547" s="167">
        <v>0</v>
      </c>
      <c r="N1547" s="135">
        <v>46265</v>
      </c>
      <c r="O1547" s="168">
        <f>WEEKNUM(N1547)</f>
        <v>36</v>
      </c>
      <c r="P1547" s="185"/>
      <c r="Q1547" s="132" t="s">
        <v>29</v>
      </c>
      <c r="R1547" s="133"/>
      <c r="S1547" s="133"/>
      <c r="T1547" s="133"/>
      <c r="U1547" s="133"/>
      <c r="V1547" s="133"/>
    </row>
    <row r="1548" spans="1:22" s="128" customFormat="1" ht="15" hidden="1" customHeight="1" x14ac:dyDescent="0.3">
      <c r="A1548" s="129" t="s">
        <v>477</v>
      </c>
      <c r="B1548" s="132">
        <v>1132</v>
      </c>
      <c r="C1548" s="131">
        <v>46234</v>
      </c>
      <c r="D1548" s="140">
        <f>WEEKNUM(C1548)</f>
        <v>31</v>
      </c>
      <c r="E1548" s="132" t="s">
        <v>55</v>
      </c>
      <c r="F1548" s="130" t="s">
        <v>454</v>
      </c>
      <c r="G1548" s="137" t="s">
        <v>1039</v>
      </c>
      <c r="H1548" s="137" t="s">
        <v>304</v>
      </c>
      <c r="I1548" s="137" t="s">
        <v>61</v>
      </c>
      <c r="J1548" s="137">
        <v>4000</v>
      </c>
      <c r="K1548" s="167">
        <v>9.5</v>
      </c>
      <c r="L1548" s="167">
        <f>K1548*J1548</f>
        <v>38000</v>
      </c>
      <c r="M1548" s="167">
        <v>0</v>
      </c>
      <c r="N1548" s="135">
        <v>46265</v>
      </c>
      <c r="O1548" s="168">
        <f>WEEKNUM(N1548)</f>
        <v>36</v>
      </c>
      <c r="P1548" s="185"/>
      <c r="Q1548" s="132" t="s">
        <v>29</v>
      </c>
      <c r="R1548" s="133"/>
      <c r="S1548" s="133"/>
      <c r="T1548" s="133"/>
      <c r="U1548" s="133"/>
      <c r="V1548" s="133"/>
    </row>
    <row r="1549" spans="1:22" s="128" customFormat="1" ht="15" hidden="1" customHeight="1" x14ac:dyDescent="0.3">
      <c r="A1549" s="129" t="s">
        <v>477</v>
      </c>
      <c r="B1549" s="132">
        <v>1133</v>
      </c>
      <c r="C1549" s="131">
        <v>46237</v>
      </c>
      <c r="D1549" s="140">
        <f>WEEKNUM(C1549)</f>
        <v>32</v>
      </c>
      <c r="E1549" s="132" t="s">
        <v>475</v>
      </c>
      <c r="F1549" s="130" t="s">
        <v>442</v>
      </c>
      <c r="G1549" s="137" t="s">
        <v>411</v>
      </c>
      <c r="H1549" s="137" t="s">
        <v>340</v>
      </c>
      <c r="I1549" s="137" t="s">
        <v>61</v>
      </c>
      <c r="J1549" s="137">
        <v>10</v>
      </c>
      <c r="K1549" s="167">
        <v>75</v>
      </c>
      <c r="L1549" s="167">
        <f>K1549*J1549</f>
        <v>750</v>
      </c>
      <c r="M1549" s="167">
        <v>750</v>
      </c>
      <c r="N1549" s="135">
        <v>46241</v>
      </c>
      <c r="O1549" s="168">
        <f>WEEKNUM(N1549)</f>
        <v>32</v>
      </c>
      <c r="P1549" s="185"/>
      <c r="Q1549" s="132" t="s">
        <v>29</v>
      </c>
      <c r="R1549" s="133"/>
      <c r="S1549" s="133"/>
      <c r="T1549" s="133"/>
      <c r="U1549" s="133"/>
      <c r="V1549" s="133"/>
    </row>
    <row r="1550" spans="1:22" s="128" customFormat="1" ht="15" hidden="1" customHeight="1" x14ac:dyDescent="0.3">
      <c r="A1550" s="129" t="s">
        <v>477</v>
      </c>
      <c r="B1550" s="132">
        <v>1134</v>
      </c>
      <c r="C1550" s="131">
        <v>46238</v>
      </c>
      <c r="D1550" s="140">
        <f>WEEKNUM(C1550)</f>
        <v>32</v>
      </c>
      <c r="E1550" s="132" t="s">
        <v>478</v>
      </c>
      <c r="F1550" s="130" t="s">
        <v>444</v>
      </c>
      <c r="G1550" s="137" t="s">
        <v>1042</v>
      </c>
      <c r="H1550" s="137" t="s">
        <v>660</v>
      </c>
      <c r="I1550" s="137" t="s">
        <v>61</v>
      </c>
      <c r="J1550" s="137">
        <v>900</v>
      </c>
      <c r="K1550" s="167">
        <v>2.8</v>
      </c>
      <c r="L1550" s="167">
        <f>K1550*J1550</f>
        <v>2520</v>
      </c>
      <c r="M1550" s="167">
        <f>L1550</f>
        <v>2520</v>
      </c>
      <c r="N1550" s="135">
        <v>46262</v>
      </c>
      <c r="O1550" s="168">
        <f>WEEKNUM(N1550)</f>
        <v>35</v>
      </c>
      <c r="P1550" s="185"/>
      <c r="Q1550" s="132" t="s">
        <v>29</v>
      </c>
      <c r="R1550" s="133"/>
      <c r="S1550" s="133"/>
      <c r="T1550" s="133"/>
      <c r="U1550" s="133"/>
      <c r="V1550" s="133"/>
    </row>
    <row r="1551" spans="1:22" s="128" customFormat="1" ht="15" hidden="1" customHeight="1" x14ac:dyDescent="0.3">
      <c r="A1551" s="129" t="s">
        <v>486</v>
      </c>
      <c r="B1551" s="132">
        <v>224</v>
      </c>
      <c r="C1551" s="131">
        <v>46238</v>
      </c>
      <c r="D1551" s="140">
        <f>WEEKNUM(C1551)</f>
        <v>32</v>
      </c>
      <c r="E1551" s="132" t="s">
        <v>68</v>
      </c>
      <c r="F1551" s="130" t="s">
        <v>445</v>
      </c>
      <c r="G1551" s="137" t="s">
        <v>308</v>
      </c>
      <c r="H1551" s="137" t="s">
        <v>74</v>
      </c>
      <c r="I1551" s="137" t="s">
        <v>46</v>
      </c>
      <c r="J1551" s="137">
        <v>6</v>
      </c>
      <c r="K1551" s="167">
        <v>36.75</v>
      </c>
      <c r="L1551" s="167">
        <f>K1551*J1551</f>
        <v>220.5</v>
      </c>
      <c r="M1551" s="167">
        <f>L1551/2</f>
        <v>110.25</v>
      </c>
      <c r="N1551" s="135">
        <v>46259</v>
      </c>
      <c r="O1551" s="168">
        <f>WEEKNUM(N1551)</f>
        <v>35</v>
      </c>
      <c r="P1551" s="185"/>
      <c r="Q1551" s="132" t="s">
        <v>29</v>
      </c>
      <c r="R1551" s="133"/>
      <c r="S1551" s="133"/>
      <c r="T1551" s="133"/>
      <c r="U1551" s="133"/>
      <c r="V1551" s="133"/>
    </row>
    <row r="1552" spans="1:22" s="128" customFormat="1" ht="15" hidden="1" customHeight="1" x14ac:dyDescent="0.3">
      <c r="A1552" s="129" t="s">
        <v>486</v>
      </c>
      <c r="B1552" s="132">
        <v>224</v>
      </c>
      <c r="C1552" s="131">
        <v>46238</v>
      </c>
      <c r="D1552" s="140">
        <f>WEEKNUM(C1552)</f>
        <v>32</v>
      </c>
      <c r="E1552" s="132" t="s">
        <v>68</v>
      </c>
      <c r="F1552" s="130" t="s">
        <v>445</v>
      </c>
      <c r="G1552" s="137" t="s">
        <v>1041</v>
      </c>
      <c r="H1552" s="137" t="s">
        <v>74</v>
      </c>
      <c r="I1552" s="137" t="s">
        <v>46</v>
      </c>
      <c r="J1552" s="137">
        <v>2</v>
      </c>
      <c r="K1552" s="167">
        <v>36.75</v>
      </c>
      <c r="L1552" s="167">
        <f>K1552*J1552</f>
        <v>73.5</v>
      </c>
      <c r="M1552" s="167">
        <f>L1552/2</f>
        <v>36.75</v>
      </c>
      <c r="N1552" s="135">
        <v>46259</v>
      </c>
      <c r="O1552" s="168">
        <f>WEEKNUM(N1552)</f>
        <v>35</v>
      </c>
      <c r="P1552" s="185"/>
      <c r="Q1552" s="132" t="s">
        <v>29</v>
      </c>
      <c r="R1552" s="133"/>
      <c r="S1552" s="133"/>
      <c r="T1552" s="133"/>
      <c r="U1552" s="133"/>
      <c r="V1552" s="133"/>
    </row>
    <row r="1553" spans="1:22" s="128" customFormat="1" ht="15" hidden="1" customHeight="1" x14ac:dyDescent="0.3">
      <c r="A1553" s="129" t="s">
        <v>486</v>
      </c>
      <c r="B1553" s="132">
        <v>224</v>
      </c>
      <c r="C1553" s="131">
        <v>46238</v>
      </c>
      <c r="D1553" s="140">
        <f>WEEKNUM(C1553)</f>
        <v>32</v>
      </c>
      <c r="E1553" s="132" t="s">
        <v>68</v>
      </c>
      <c r="F1553" s="130" t="s">
        <v>445</v>
      </c>
      <c r="G1553" s="137" t="s">
        <v>411</v>
      </c>
      <c r="H1553" s="137" t="s">
        <v>340</v>
      </c>
      <c r="I1553" s="137" t="s">
        <v>46</v>
      </c>
      <c r="J1553" s="137">
        <v>2</v>
      </c>
      <c r="K1553" s="167">
        <v>65</v>
      </c>
      <c r="L1553" s="167">
        <f>K1553*J1553</f>
        <v>130</v>
      </c>
      <c r="M1553" s="167">
        <f>L1553/2</f>
        <v>65</v>
      </c>
      <c r="N1553" s="135">
        <v>46259</v>
      </c>
      <c r="O1553" s="168">
        <f>WEEKNUM(N1553)</f>
        <v>35</v>
      </c>
      <c r="P1553" s="185"/>
      <c r="Q1553" s="132" t="s">
        <v>29</v>
      </c>
      <c r="R1553" s="133"/>
      <c r="S1553" s="133"/>
      <c r="T1553" s="133"/>
      <c r="U1553" s="133"/>
      <c r="V1553" s="133"/>
    </row>
    <row r="1554" spans="1:22" s="128" customFormat="1" ht="15" hidden="1" customHeight="1" x14ac:dyDescent="0.3">
      <c r="A1554" s="129" t="s">
        <v>486</v>
      </c>
      <c r="B1554" s="132">
        <v>224</v>
      </c>
      <c r="C1554" s="131">
        <v>46238</v>
      </c>
      <c r="D1554" s="140">
        <f>WEEKNUM(C1554)</f>
        <v>32</v>
      </c>
      <c r="E1554" s="132" t="s">
        <v>68</v>
      </c>
      <c r="F1554" s="130" t="s">
        <v>445</v>
      </c>
      <c r="G1554" s="137" t="s">
        <v>311</v>
      </c>
      <c r="H1554" s="137" t="s">
        <v>51</v>
      </c>
      <c r="I1554" s="137" t="s">
        <v>46</v>
      </c>
      <c r="J1554" s="137">
        <v>2</v>
      </c>
      <c r="K1554" s="167">
        <v>25</v>
      </c>
      <c r="L1554" s="167">
        <f>K1554*J1554</f>
        <v>50</v>
      </c>
      <c r="M1554" s="167">
        <f>L1554/2</f>
        <v>25</v>
      </c>
      <c r="N1554" s="135">
        <v>46259</v>
      </c>
      <c r="O1554" s="168">
        <f>WEEKNUM(N1554)</f>
        <v>35</v>
      </c>
      <c r="P1554" s="185"/>
      <c r="Q1554" s="132" t="s">
        <v>29</v>
      </c>
      <c r="R1554" s="133"/>
      <c r="S1554" s="133"/>
      <c r="T1554" s="133"/>
      <c r="U1554" s="133"/>
      <c r="V1554" s="133"/>
    </row>
    <row r="1555" spans="1:22" s="128" customFormat="1" ht="15" hidden="1" customHeight="1" x14ac:dyDescent="0.3">
      <c r="A1555" s="129" t="s">
        <v>486</v>
      </c>
      <c r="B1555" s="132">
        <v>224</v>
      </c>
      <c r="C1555" s="131">
        <v>46238</v>
      </c>
      <c r="D1555" s="140">
        <f>WEEKNUM(C1555)</f>
        <v>32</v>
      </c>
      <c r="E1555" s="132" t="s">
        <v>68</v>
      </c>
      <c r="F1555" s="130" t="s">
        <v>445</v>
      </c>
      <c r="G1555" s="137" t="s">
        <v>356</v>
      </c>
      <c r="H1555" s="137" t="s">
        <v>1043</v>
      </c>
      <c r="I1555" s="137" t="s">
        <v>46</v>
      </c>
      <c r="J1555" s="137">
        <v>2</v>
      </c>
      <c r="K1555" s="167">
        <v>140</v>
      </c>
      <c r="L1555" s="167">
        <f>K1555*J1555</f>
        <v>280</v>
      </c>
      <c r="M1555" s="167">
        <f>L1555/2</f>
        <v>140</v>
      </c>
      <c r="N1555" s="135">
        <v>46259</v>
      </c>
      <c r="O1555" s="168">
        <f>WEEKNUM(N1555)</f>
        <v>35</v>
      </c>
      <c r="P1555" s="185"/>
      <c r="Q1555" s="132" t="s">
        <v>29</v>
      </c>
      <c r="R1555" s="133"/>
      <c r="S1555" s="133"/>
      <c r="T1555" s="133"/>
      <c r="U1555" s="133"/>
      <c r="V1555" s="133"/>
    </row>
    <row r="1556" spans="1:22" s="128" customFormat="1" ht="15" hidden="1" customHeight="1" x14ac:dyDescent="0.3">
      <c r="A1556" s="129" t="s">
        <v>486</v>
      </c>
      <c r="B1556" s="132">
        <v>224</v>
      </c>
      <c r="C1556" s="131">
        <v>46238</v>
      </c>
      <c r="D1556" s="140">
        <f>WEEKNUM(C1556)</f>
        <v>32</v>
      </c>
      <c r="E1556" s="132" t="s">
        <v>68</v>
      </c>
      <c r="F1556" s="130" t="s">
        <v>445</v>
      </c>
      <c r="G1556" s="137" t="s">
        <v>505</v>
      </c>
      <c r="H1556" s="137" t="s">
        <v>190</v>
      </c>
      <c r="I1556" s="137" t="s">
        <v>46</v>
      </c>
      <c r="J1556" s="137">
        <v>8</v>
      </c>
      <c r="K1556" s="167">
        <v>80</v>
      </c>
      <c r="L1556" s="167">
        <f>K1556*J1556</f>
        <v>640</v>
      </c>
      <c r="M1556" s="167">
        <f>L1556/2</f>
        <v>320</v>
      </c>
      <c r="N1556" s="135">
        <v>46259</v>
      </c>
      <c r="O1556" s="168">
        <f>WEEKNUM(N1556)</f>
        <v>35</v>
      </c>
      <c r="P1556" s="185"/>
      <c r="Q1556" s="132" t="s">
        <v>29</v>
      </c>
      <c r="R1556" s="133"/>
      <c r="S1556" s="133"/>
      <c r="T1556" s="133"/>
      <c r="U1556" s="133"/>
      <c r="V1556" s="133"/>
    </row>
    <row r="1557" spans="1:22" s="128" customFormat="1" ht="15" hidden="1" customHeight="1" x14ac:dyDescent="0.3">
      <c r="A1557" s="129" t="s">
        <v>477</v>
      </c>
      <c r="B1557" s="132">
        <v>1135</v>
      </c>
      <c r="C1557" s="131">
        <v>46239</v>
      </c>
      <c r="D1557" s="140">
        <f>WEEKNUM(C1557)</f>
        <v>32</v>
      </c>
      <c r="E1557" s="132" t="s">
        <v>475</v>
      </c>
      <c r="F1557" s="130" t="s">
        <v>449</v>
      </c>
      <c r="G1557" s="137" t="s">
        <v>1044</v>
      </c>
      <c r="H1557" s="137" t="s">
        <v>660</v>
      </c>
      <c r="I1557" s="137" t="s">
        <v>61</v>
      </c>
      <c r="J1557" s="137">
        <v>150</v>
      </c>
      <c r="K1557" s="167">
        <v>7.9</v>
      </c>
      <c r="L1557" s="167">
        <f>K1557*J1557</f>
        <v>1185</v>
      </c>
      <c r="M1557" s="167">
        <f>L1557</f>
        <v>1185</v>
      </c>
      <c r="N1557" s="135">
        <v>46258</v>
      </c>
      <c r="O1557" s="168">
        <f>WEEKNUM(N1557)</f>
        <v>35</v>
      </c>
      <c r="P1557" s="185"/>
      <c r="Q1557" s="132" t="s">
        <v>29</v>
      </c>
      <c r="R1557" s="133"/>
      <c r="S1557" s="133"/>
      <c r="T1557" s="133"/>
      <c r="U1557" s="133"/>
      <c r="V1557" s="133"/>
    </row>
    <row r="1558" spans="1:22" s="128" customFormat="1" ht="15" hidden="1" customHeight="1" x14ac:dyDescent="0.3">
      <c r="A1558" s="129" t="s">
        <v>477</v>
      </c>
      <c r="B1558" s="132">
        <v>239</v>
      </c>
      <c r="C1558" s="131">
        <v>46240</v>
      </c>
      <c r="D1558" s="140">
        <f>WEEKNUM(C1558)</f>
        <v>32</v>
      </c>
      <c r="E1558" s="132" t="s">
        <v>475</v>
      </c>
      <c r="F1558" s="130" t="s">
        <v>453</v>
      </c>
      <c r="G1558" s="137" t="s">
        <v>1045</v>
      </c>
      <c r="H1558" s="137" t="s">
        <v>74</v>
      </c>
      <c r="I1558" s="137" t="s">
        <v>46</v>
      </c>
      <c r="J1558" s="137">
        <v>260</v>
      </c>
      <c r="K1558" s="167">
        <v>57</v>
      </c>
      <c r="L1558" s="167">
        <f>K1558*J1558</f>
        <v>14820</v>
      </c>
      <c r="M1558" s="167">
        <f>L1558</f>
        <v>14820</v>
      </c>
      <c r="N1558" s="135">
        <v>46269</v>
      </c>
      <c r="O1558" s="168">
        <f>WEEKNUM(N1558)</f>
        <v>36</v>
      </c>
      <c r="P1558" s="185"/>
      <c r="Q1558" s="132" t="s">
        <v>29</v>
      </c>
      <c r="R1558" s="133"/>
      <c r="S1558" s="133"/>
      <c r="T1558" s="133"/>
      <c r="U1558" s="133"/>
      <c r="V1558" s="133"/>
    </row>
    <row r="1559" spans="1:22" s="128" customFormat="1" ht="15" hidden="1" customHeight="1" x14ac:dyDescent="0.3">
      <c r="A1559" s="218" t="s">
        <v>477</v>
      </c>
      <c r="B1559" s="219">
        <v>1140</v>
      </c>
      <c r="C1559" s="220">
        <v>46245</v>
      </c>
      <c r="D1559" s="221">
        <f>WEEKNUM(C1559)</f>
        <v>33</v>
      </c>
      <c r="E1559" s="219" t="s">
        <v>498</v>
      </c>
      <c r="F1559" s="222" t="s">
        <v>459</v>
      </c>
      <c r="G1559" s="223" t="s">
        <v>411</v>
      </c>
      <c r="H1559" s="223" t="s">
        <v>74</v>
      </c>
      <c r="I1559" s="223" t="s">
        <v>46</v>
      </c>
      <c r="J1559" s="223">
        <v>62</v>
      </c>
      <c r="K1559" s="224">
        <v>60</v>
      </c>
      <c r="L1559" s="224">
        <f>K1559*J1559</f>
        <v>3720</v>
      </c>
      <c r="M1559" s="224">
        <f>L1559</f>
        <v>3720</v>
      </c>
      <c r="N1559" s="225">
        <v>46252</v>
      </c>
      <c r="O1559" s="226">
        <f>WEEKNUM(N1559)</f>
        <v>34</v>
      </c>
      <c r="P1559" s="185"/>
      <c r="Q1559" s="219" t="s">
        <v>29</v>
      </c>
      <c r="R1559" s="227"/>
      <c r="S1559" s="227"/>
      <c r="T1559" s="227"/>
      <c r="U1559" s="227"/>
      <c r="V1559" s="227"/>
    </row>
    <row r="1560" spans="1:22" s="128" customFormat="1" ht="15" hidden="1" customHeight="1" x14ac:dyDescent="0.3">
      <c r="A1560" s="129" t="s">
        <v>477</v>
      </c>
      <c r="B1560" s="132">
        <v>657</v>
      </c>
      <c r="C1560" s="131">
        <v>46246</v>
      </c>
      <c r="D1560" s="221">
        <f>WEEKNUM(C1560)</f>
        <v>33</v>
      </c>
      <c r="E1560" s="221" t="s">
        <v>55</v>
      </c>
      <c r="F1560" s="130" t="s">
        <v>461</v>
      </c>
      <c r="G1560" s="137" t="s">
        <v>1018</v>
      </c>
      <c r="H1560" s="137" t="s">
        <v>304</v>
      </c>
      <c r="I1560" s="137" t="s">
        <v>46</v>
      </c>
      <c r="J1560" s="137">
        <v>450</v>
      </c>
      <c r="K1560" s="167">
        <v>11.5</v>
      </c>
      <c r="L1560" s="167">
        <f>K1560*J1560</f>
        <v>5175</v>
      </c>
      <c r="M1560" s="167">
        <f>L1560/2</f>
        <v>2587.5</v>
      </c>
      <c r="N1560" s="135">
        <v>46267</v>
      </c>
      <c r="O1560" s="226">
        <f>WEEKNUM(N1560)</f>
        <v>36</v>
      </c>
      <c r="P1560" s="185"/>
      <c r="Q1560" s="132" t="s">
        <v>29</v>
      </c>
      <c r="R1560" s="133"/>
      <c r="S1560" s="133"/>
      <c r="T1560" s="133"/>
      <c r="U1560" s="133"/>
      <c r="V1560" s="133"/>
    </row>
    <row r="1561" spans="1:22" s="128" customFormat="1" ht="15" hidden="1" customHeight="1" x14ac:dyDescent="0.3">
      <c r="A1561" s="129" t="s">
        <v>477</v>
      </c>
      <c r="B1561" s="132">
        <v>658</v>
      </c>
      <c r="C1561" s="131">
        <v>46254</v>
      </c>
      <c r="D1561" s="221">
        <v>33</v>
      </c>
      <c r="E1561" s="132" t="s">
        <v>475</v>
      </c>
      <c r="F1561" s="130" t="s">
        <v>1072</v>
      </c>
      <c r="G1561" s="137" t="s">
        <v>218</v>
      </c>
      <c r="H1561" s="137" t="s">
        <v>74</v>
      </c>
      <c r="I1561" s="137" t="s">
        <v>46</v>
      </c>
      <c r="J1561" s="137">
        <v>12</v>
      </c>
      <c r="K1561" s="167">
        <v>45</v>
      </c>
      <c r="L1561" s="167">
        <f>K1561*J1561</f>
        <v>540</v>
      </c>
      <c r="M1561" s="167">
        <f>L1561</f>
        <v>540</v>
      </c>
      <c r="N1561" s="135">
        <v>46291</v>
      </c>
      <c r="O1561" s="168">
        <f>WEEKNUM(N1561)</f>
        <v>39</v>
      </c>
      <c r="P1561" s="185"/>
      <c r="Q1561" s="132" t="s">
        <v>29</v>
      </c>
      <c r="R1561" s="133"/>
      <c r="S1561" s="133"/>
      <c r="T1561" s="133"/>
      <c r="U1561" s="133"/>
      <c r="V1561" s="133"/>
    </row>
    <row r="1562" spans="1:22" s="128" customFormat="1" ht="15" hidden="1" customHeight="1" x14ac:dyDescent="0.3">
      <c r="A1562" s="129" t="s">
        <v>477</v>
      </c>
      <c r="B1562" s="132">
        <v>1146</v>
      </c>
      <c r="C1562" s="131">
        <v>46254</v>
      </c>
      <c r="D1562" s="221">
        <v>33</v>
      </c>
      <c r="E1562" s="132" t="s">
        <v>498</v>
      </c>
      <c r="F1562" s="130" t="s">
        <v>459</v>
      </c>
      <c r="G1562" s="137" t="s">
        <v>411</v>
      </c>
      <c r="H1562" s="137" t="s">
        <v>340</v>
      </c>
      <c r="I1562" s="137" t="s">
        <v>46</v>
      </c>
      <c r="J1562" s="137">
        <v>6</v>
      </c>
      <c r="K1562" s="167">
        <v>60</v>
      </c>
      <c r="L1562" s="167">
        <f>K1562*J1562</f>
        <v>360</v>
      </c>
      <c r="M1562" s="167">
        <v>360</v>
      </c>
      <c r="N1562" s="135">
        <v>46254</v>
      </c>
      <c r="O1562" s="168">
        <f>WEEKNUM(N1562)</f>
        <v>34</v>
      </c>
      <c r="P1562" s="185"/>
      <c r="Q1562" s="132" t="s">
        <v>29</v>
      </c>
      <c r="R1562" s="133"/>
      <c r="S1562" s="133"/>
      <c r="T1562" s="133"/>
      <c r="U1562" s="133"/>
      <c r="V1562" s="133"/>
    </row>
    <row r="1563" spans="1:22" s="128" customFormat="1" ht="15" hidden="1" customHeight="1" x14ac:dyDescent="0.3">
      <c r="A1563" s="142" t="s">
        <v>491</v>
      </c>
      <c r="B1563" s="142">
        <v>1193</v>
      </c>
      <c r="C1563" s="141">
        <v>45761</v>
      </c>
      <c r="D1563" s="140">
        <f>WEEKNUM(C1563)</f>
        <v>16</v>
      </c>
      <c r="E1563" s="158" t="s">
        <v>68</v>
      </c>
      <c r="F1563" s="142" t="s">
        <v>360</v>
      </c>
      <c r="G1563" s="182" t="s">
        <v>339</v>
      </c>
      <c r="H1563" s="182" t="s">
        <v>340</v>
      </c>
      <c r="I1563" s="182" t="s">
        <v>46</v>
      </c>
      <c r="J1563" s="189">
        <v>4</v>
      </c>
      <c r="K1563" s="183">
        <v>65</v>
      </c>
      <c r="L1563" s="183">
        <f>K1563*J1563</f>
        <v>260</v>
      </c>
      <c r="M1563" s="183">
        <v>0</v>
      </c>
      <c r="N1563" s="200">
        <v>45788</v>
      </c>
      <c r="O1563" s="157">
        <f>WEEKNUM(N1563)</f>
        <v>20</v>
      </c>
      <c r="P1563" s="319"/>
      <c r="Q1563" s="142" t="s">
        <v>730</v>
      </c>
      <c r="R1563" s="143">
        <v>0</v>
      </c>
      <c r="S1563" s="143">
        <f>J1563*1</f>
        <v>4</v>
      </c>
      <c r="T1563" s="143">
        <v>0</v>
      </c>
      <c r="U1563" s="143">
        <f>J1563*0.5</f>
        <v>2</v>
      </c>
      <c r="V1563" s="143">
        <f>R1563+S1563+T1563+U1563</f>
        <v>6</v>
      </c>
    </row>
    <row r="1564" spans="1:22" s="128" customFormat="1" ht="15" customHeight="1" x14ac:dyDescent="0.3">
      <c r="A1564" s="129" t="s">
        <v>477</v>
      </c>
      <c r="B1564" s="132">
        <v>226</v>
      </c>
      <c r="C1564" s="131">
        <v>46230</v>
      </c>
      <c r="D1564" s="140">
        <f>WEEKNUM(C1564)</f>
        <v>31</v>
      </c>
      <c r="E1564" s="132" t="s">
        <v>475</v>
      </c>
      <c r="F1564" s="130" t="s">
        <v>1028</v>
      </c>
      <c r="G1564" s="137" t="s">
        <v>529</v>
      </c>
      <c r="H1564" s="137" t="s">
        <v>529</v>
      </c>
      <c r="I1564" s="137" t="s">
        <v>46</v>
      </c>
      <c r="J1564" s="137">
        <v>300</v>
      </c>
      <c r="K1564" s="167">
        <v>20</v>
      </c>
      <c r="L1564" s="167">
        <f>K1564*J1564</f>
        <v>6000</v>
      </c>
      <c r="M1564" s="167">
        <v>6000</v>
      </c>
      <c r="N1564" s="135">
        <v>46255</v>
      </c>
      <c r="O1564" s="168">
        <f>WEEKNUM(N1564)</f>
        <v>34</v>
      </c>
      <c r="P1564" s="185"/>
      <c r="Q1564" s="132"/>
      <c r="R1564" s="133"/>
      <c r="S1564" s="133"/>
      <c r="T1564" s="133"/>
      <c r="U1564" s="133"/>
      <c r="V1564" s="133"/>
    </row>
    <row r="1565" spans="1:22" s="128" customFormat="1" ht="15" customHeight="1" x14ac:dyDescent="0.3">
      <c r="A1565" s="129" t="s">
        <v>486</v>
      </c>
      <c r="B1565" s="132">
        <v>652</v>
      </c>
      <c r="C1565" s="131">
        <v>46234</v>
      </c>
      <c r="D1565" s="140">
        <f>WEEKNUM(C1565)</f>
        <v>31</v>
      </c>
      <c r="E1565" s="132" t="s">
        <v>475</v>
      </c>
      <c r="F1565" s="130" t="s">
        <v>1035</v>
      </c>
      <c r="G1565" s="137" t="s">
        <v>116</v>
      </c>
      <c r="H1565" s="137" t="s">
        <v>60</v>
      </c>
      <c r="I1565" s="137" t="s">
        <v>61</v>
      </c>
      <c r="J1565" s="137">
        <v>3000</v>
      </c>
      <c r="K1565" s="167">
        <v>13.5</v>
      </c>
      <c r="L1565" s="167">
        <f>K1565*J1565</f>
        <v>40500</v>
      </c>
      <c r="M1565" s="167">
        <v>0</v>
      </c>
      <c r="N1565" s="135">
        <v>46275</v>
      </c>
      <c r="O1565" s="168">
        <f>WEEKNUM(N1565)</f>
        <v>37</v>
      </c>
      <c r="P1565" s="185"/>
      <c r="Q1565" s="132"/>
      <c r="R1565" s="133"/>
      <c r="S1565" s="133"/>
      <c r="T1565" s="133"/>
      <c r="U1565" s="133"/>
      <c r="V1565" s="133"/>
    </row>
    <row r="1566" spans="1:22" s="128" customFormat="1" ht="15" customHeight="1" x14ac:dyDescent="0.3">
      <c r="A1566" s="129" t="s">
        <v>486</v>
      </c>
      <c r="B1566" s="132">
        <v>653</v>
      </c>
      <c r="C1566" s="131">
        <v>46237</v>
      </c>
      <c r="D1566" s="140">
        <f>WEEKNUM(C1566)</f>
        <v>32</v>
      </c>
      <c r="E1566" s="132" t="s">
        <v>475</v>
      </c>
      <c r="F1566" s="130" t="s">
        <v>441</v>
      </c>
      <c r="G1566" s="137" t="s">
        <v>116</v>
      </c>
      <c r="H1566" s="137" t="s">
        <v>60</v>
      </c>
      <c r="I1566" s="137" t="s">
        <v>61</v>
      </c>
      <c r="J1566" s="137">
        <v>2000</v>
      </c>
      <c r="K1566" s="167">
        <v>15.5</v>
      </c>
      <c r="L1566" s="167">
        <f>K1566*J1566</f>
        <v>31000</v>
      </c>
      <c r="M1566" s="167">
        <v>16000</v>
      </c>
      <c r="N1566" s="135">
        <v>46269</v>
      </c>
      <c r="O1566" s="168">
        <f>WEEKNUM(N1566)</f>
        <v>36</v>
      </c>
      <c r="P1566" s="185"/>
      <c r="Q1566" s="140"/>
      <c r="R1566" s="133"/>
      <c r="S1566" s="133"/>
      <c r="T1566" s="133"/>
      <c r="U1566" s="133"/>
      <c r="V1566" s="133"/>
    </row>
    <row r="1567" spans="1:22" s="128" customFormat="1" ht="15" customHeight="1" x14ac:dyDescent="0.3">
      <c r="A1567" s="129" t="s">
        <v>477</v>
      </c>
      <c r="B1567" s="132">
        <v>654</v>
      </c>
      <c r="C1567" s="131">
        <v>46237</v>
      </c>
      <c r="D1567" s="140">
        <f>WEEKNUM(C1567)</f>
        <v>32</v>
      </c>
      <c r="E1567" s="132" t="s">
        <v>498</v>
      </c>
      <c r="F1567" s="130" t="s">
        <v>443</v>
      </c>
      <c r="G1567" s="137" t="s">
        <v>487</v>
      </c>
      <c r="H1567" s="137" t="s">
        <v>51</v>
      </c>
      <c r="I1567" s="137" t="s">
        <v>46</v>
      </c>
      <c r="J1567" s="137">
        <v>100</v>
      </c>
      <c r="K1567" s="167">
        <v>25</v>
      </c>
      <c r="L1567" s="167">
        <f>K1567*J1567</f>
        <v>2500</v>
      </c>
      <c r="M1567" s="167">
        <v>0</v>
      </c>
      <c r="N1567" s="135">
        <v>46262</v>
      </c>
      <c r="O1567" s="168">
        <f>WEEKNUM(N1567)</f>
        <v>35</v>
      </c>
      <c r="P1567" s="185"/>
      <c r="Q1567" s="132"/>
      <c r="R1567" s="133"/>
      <c r="S1567" s="133"/>
      <c r="T1567" s="133"/>
      <c r="U1567" s="133"/>
      <c r="V1567" s="133"/>
    </row>
    <row r="1568" spans="1:22" s="128" customFormat="1" ht="15" customHeight="1" x14ac:dyDescent="0.3">
      <c r="A1568" s="129" t="s">
        <v>477</v>
      </c>
      <c r="B1568" s="132">
        <v>238</v>
      </c>
      <c r="C1568" s="131">
        <v>46239</v>
      </c>
      <c r="D1568" s="140">
        <f>WEEKNUM(C1568)</f>
        <v>32</v>
      </c>
      <c r="E1568" s="132" t="s">
        <v>498</v>
      </c>
      <c r="F1568" s="130" t="s">
        <v>446</v>
      </c>
      <c r="G1568" s="137" t="s">
        <v>487</v>
      </c>
      <c r="H1568" s="137" t="s">
        <v>51</v>
      </c>
      <c r="I1568" s="137" t="s">
        <v>46</v>
      </c>
      <c r="J1568" s="137">
        <v>3000</v>
      </c>
      <c r="K1568" s="167">
        <v>23.5</v>
      </c>
      <c r="L1568" s="167">
        <f>K1568*J1568</f>
        <v>70500</v>
      </c>
      <c r="M1568" s="167">
        <f>L1568</f>
        <v>70500</v>
      </c>
      <c r="N1568" s="135">
        <v>46269</v>
      </c>
      <c r="O1568" s="168">
        <f>WEEKNUM(N1568)</f>
        <v>36</v>
      </c>
      <c r="P1568" s="185"/>
      <c r="Q1568" s="132"/>
      <c r="R1568" s="133"/>
      <c r="S1568" s="133"/>
      <c r="T1568" s="133"/>
      <c r="U1568" s="133"/>
      <c r="V1568" s="133"/>
    </row>
    <row r="1569" spans="1:22" s="128" customFormat="1" ht="15" customHeight="1" x14ac:dyDescent="0.3">
      <c r="A1569" s="129" t="s">
        <v>486</v>
      </c>
      <c r="B1569" s="132">
        <v>235</v>
      </c>
      <c r="C1569" s="131">
        <v>46239</v>
      </c>
      <c r="D1569" s="140">
        <f>WEEKNUM(C1569)</f>
        <v>32</v>
      </c>
      <c r="E1569" s="132" t="s">
        <v>498</v>
      </c>
      <c r="F1569" s="130" t="s">
        <v>447</v>
      </c>
      <c r="G1569" s="137" t="s">
        <v>311</v>
      </c>
      <c r="H1569" s="137" t="s">
        <v>51</v>
      </c>
      <c r="I1569" s="137" t="s">
        <v>46</v>
      </c>
      <c r="J1569" s="137">
        <v>100</v>
      </c>
      <c r="K1569" s="167">
        <v>16</v>
      </c>
      <c r="L1569" s="167">
        <f>K1569*J1569</f>
        <v>1600</v>
      </c>
      <c r="M1569" s="167">
        <v>0</v>
      </c>
      <c r="N1569" s="135">
        <v>46279</v>
      </c>
      <c r="O1569" s="168">
        <f>WEEKNUM(N1569)</f>
        <v>38</v>
      </c>
      <c r="P1569" s="185"/>
      <c r="Q1569" s="132"/>
      <c r="R1569" s="133"/>
      <c r="S1569" s="133"/>
      <c r="T1569" s="133"/>
      <c r="U1569" s="133"/>
      <c r="V1569" s="133"/>
    </row>
    <row r="1570" spans="1:22" s="128" customFormat="1" ht="15" customHeight="1" x14ac:dyDescent="0.3">
      <c r="A1570" s="129" t="s">
        <v>486</v>
      </c>
      <c r="B1570" s="132">
        <v>235</v>
      </c>
      <c r="C1570" s="131">
        <v>46239</v>
      </c>
      <c r="D1570" s="140">
        <f>WEEKNUM(C1570)</f>
        <v>32</v>
      </c>
      <c r="E1570" s="132" t="s">
        <v>498</v>
      </c>
      <c r="F1570" s="130" t="s">
        <v>447</v>
      </c>
      <c r="G1570" s="137" t="s">
        <v>308</v>
      </c>
      <c r="H1570" s="137" t="s">
        <v>74</v>
      </c>
      <c r="I1570" s="137" t="s">
        <v>46</v>
      </c>
      <c r="J1570" s="137">
        <v>100</v>
      </c>
      <c r="K1570" s="167">
        <v>26.5</v>
      </c>
      <c r="L1570" s="167">
        <f>K1570*J1570</f>
        <v>2650</v>
      </c>
      <c r="M1570" s="167">
        <v>0</v>
      </c>
      <c r="N1570" s="135">
        <v>46279</v>
      </c>
      <c r="O1570" s="168">
        <f>WEEKNUM(N1570)</f>
        <v>38</v>
      </c>
      <c r="P1570" s="185"/>
      <c r="Q1570" s="132"/>
      <c r="R1570" s="133"/>
      <c r="S1570" s="133"/>
      <c r="T1570" s="133"/>
      <c r="U1570" s="133"/>
      <c r="V1570" s="133"/>
    </row>
    <row r="1571" spans="1:22" s="128" customFormat="1" ht="15" customHeight="1" x14ac:dyDescent="0.3">
      <c r="A1571" s="129" t="s">
        <v>486</v>
      </c>
      <c r="B1571" s="132">
        <v>237</v>
      </c>
      <c r="C1571" s="131">
        <v>46239</v>
      </c>
      <c r="D1571" s="140">
        <f>WEEKNUM(C1571)</f>
        <v>32</v>
      </c>
      <c r="E1571" s="132" t="s">
        <v>68</v>
      </c>
      <c r="F1571" s="130" t="s">
        <v>448</v>
      </c>
      <c r="G1571" s="137" t="s">
        <v>1033</v>
      </c>
      <c r="H1571" s="137" t="s">
        <v>340</v>
      </c>
      <c r="I1571" s="137" t="s">
        <v>46</v>
      </c>
      <c r="J1571" s="137">
        <v>4</v>
      </c>
      <c r="K1571" s="167">
        <v>65</v>
      </c>
      <c r="L1571" s="167">
        <f>K1571*J1571</f>
        <v>260</v>
      </c>
      <c r="M1571" s="167">
        <v>130</v>
      </c>
      <c r="N1571" s="135">
        <v>46268</v>
      </c>
      <c r="O1571" s="168">
        <f>WEEKNUM(N1571)</f>
        <v>36</v>
      </c>
      <c r="P1571" s="185"/>
      <c r="Q1571" s="132"/>
      <c r="R1571" s="133"/>
      <c r="S1571" s="133"/>
      <c r="T1571" s="133"/>
      <c r="U1571" s="133"/>
      <c r="V1571" s="133"/>
    </row>
    <row r="1572" spans="1:22" s="128" customFormat="1" ht="15" customHeight="1" x14ac:dyDescent="0.3">
      <c r="A1572" s="129" t="s">
        <v>486</v>
      </c>
      <c r="B1572" s="132">
        <v>236</v>
      </c>
      <c r="C1572" s="131">
        <v>46239</v>
      </c>
      <c r="D1572" s="140">
        <f>WEEKNUM(C1572)</f>
        <v>32</v>
      </c>
      <c r="E1572" s="132" t="s">
        <v>498</v>
      </c>
      <c r="F1572" s="130" t="s">
        <v>450</v>
      </c>
      <c r="G1572" s="137" t="s">
        <v>487</v>
      </c>
      <c r="H1572" s="137" t="s">
        <v>51</v>
      </c>
      <c r="I1572" s="137" t="s">
        <v>46</v>
      </c>
      <c r="J1572" s="137">
        <v>10</v>
      </c>
      <c r="K1572" s="167">
        <v>55</v>
      </c>
      <c r="L1572" s="167">
        <f>K1572*J1572</f>
        <v>550</v>
      </c>
      <c r="M1572" s="167">
        <f>L1572/2</f>
        <v>275</v>
      </c>
      <c r="N1572" s="135">
        <v>46279</v>
      </c>
      <c r="O1572" s="168">
        <f>WEEKNUM(N1572)</f>
        <v>38</v>
      </c>
      <c r="P1572" s="185"/>
      <c r="Q1572" s="132"/>
      <c r="R1572" s="133"/>
      <c r="S1572" s="133"/>
      <c r="T1572" s="133"/>
      <c r="U1572" s="133"/>
      <c r="V1572" s="133"/>
    </row>
    <row r="1573" spans="1:22" s="128" customFormat="1" ht="15" customHeight="1" x14ac:dyDescent="0.3">
      <c r="A1573" s="129" t="s">
        <v>486</v>
      </c>
      <c r="B1573" s="132">
        <v>234</v>
      </c>
      <c r="C1573" s="131">
        <v>46240</v>
      </c>
      <c r="D1573" s="140">
        <f>WEEKNUM(C1573)</f>
        <v>32</v>
      </c>
      <c r="E1573" s="132" t="s">
        <v>475</v>
      </c>
      <c r="F1573" s="130" t="s">
        <v>451</v>
      </c>
      <c r="G1573" s="137" t="s">
        <v>546</v>
      </c>
      <c r="H1573" s="137" t="s">
        <v>529</v>
      </c>
      <c r="I1573" s="137" t="s">
        <v>46</v>
      </c>
      <c r="J1573" s="137">
        <v>100</v>
      </c>
      <c r="K1573" s="167">
        <v>25</v>
      </c>
      <c r="L1573" s="167">
        <f>K1573*J1573</f>
        <v>2500</v>
      </c>
      <c r="M1573" s="167">
        <f>L1573/2</f>
        <v>1250</v>
      </c>
      <c r="N1573" s="135">
        <v>46274</v>
      </c>
      <c r="O1573" s="168">
        <f>WEEKNUM(N1573)</f>
        <v>37</v>
      </c>
      <c r="P1573" s="185"/>
      <c r="Q1573" s="132"/>
      <c r="R1573" s="133"/>
      <c r="S1573" s="133"/>
      <c r="T1573" s="133"/>
      <c r="U1573" s="133"/>
      <c r="V1573" s="133"/>
    </row>
    <row r="1574" spans="1:22" s="128" customFormat="1" ht="15" customHeight="1" x14ac:dyDescent="0.3">
      <c r="A1574" s="129" t="s">
        <v>486</v>
      </c>
      <c r="B1574" s="132">
        <v>655</v>
      </c>
      <c r="C1574" s="131">
        <v>46240</v>
      </c>
      <c r="D1574" s="140">
        <f>WEEKNUM(C1574)</f>
        <v>32</v>
      </c>
      <c r="E1574" s="132" t="s">
        <v>475</v>
      </c>
      <c r="F1574" s="130" t="s">
        <v>452</v>
      </c>
      <c r="G1574" s="137" t="s">
        <v>311</v>
      </c>
      <c r="H1574" s="137" t="s">
        <v>51</v>
      </c>
      <c r="I1574" s="137" t="s">
        <v>46</v>
      </c>
      <c r="J1574" s="137">
        <v>150</v>
      </c>
      <c r="K1574" s="167">
        <v>16.5</v>
      </c>
      <c r="L1574" s="167">
        <f>K1574*J1574</f>
        <v>2475</v>
      </c>
      <c r="M1574" s="167">
        <f>L1574/2</f>
        <v>1237.5</v>
      </c>
      <c r="N1574" s="135">
        <v>46269</v>
      </c>
      <c r="O1574" s="168">
        <f>WEEKNUM(N1574)</f>
        <v>36</v>
      </c>
      <c r="P1574" s="185"/>
      <c r="Q1574" s="132"/>
      <c r="R1574" s="133"/>
      <c r="S1574" s="133"/>
      <c r="T1574" s="133"/>
      <c r="U1574" s="133"/>
      <c r="V1574" s="133"/>
    </row>
    <row r="1575" spans="1:22" s="128" customFormat="1" ht="15" customHeight="1" x14ac:dyDescent="0.3">
      <c r="A1575" s="129" t="s">
        <v>486</v>
      </c>
      <c r="B1575" s="132">
        <v>241</v>
      </c>
      <c r="C1575" s="131">
        <v>46241</v>
      </c>
      <c r="D1575" s="140">
        <f>WEEKNUM(C1575)</f>
        <v>32</v>
      </c>
      <c r="E1575" s="132" t="s">
        <v>68</v>
      </c>
      <c r="F1575" s="130" t="s">
        <v>455</v>
      </c>
      <c r="G1575" s="137" t="s">
        <v>1041</v>
      </c>
      <c r="H1575" s="137" t="s">
        <v>74</v>
      </c>
      <c r="I1575" s="137" t="s">
        <v>46</v>
      </c>
      <c r="J1575" s="137">
        <v>12</v>
      </c>
      <c r="K1575" s="167">
        <v>36.75</v>
      </c>
      <c r="L1575" s="167">
        <f>K1575*J1575</f>
        <v>441</v>
      </c>
      <c r="M1575" s="167">
        <f>L1575</f>
        <v>441</v>
      </c>
      <c r="N1575" s="135">
        <v>46262</v>
      </c>
      <c r="O1575" s="168">
        <f>WEEKNUM(N1575)</f>
        <v>35</v>
      </c>
      <c r="P1575" s="185"/>
      <c r="Q1575" s="132"/>
      <c r="R1575" s="133"/>
      <c r="S1575" s="133"/>
      <c r="T1575" s="133"/>
      <c r="U1575" s="133"/>
      <c r="V1575" s="133"/>
    </row>
    <row r="1576" spans="1:22" s="128" customFormat="1" ht="15" customHeight="1" x14ac:dyDescent="0.3">
      <c r="A1576" s="129" t="s">
        <v>486</v>
      </c>
      <c r="B1576" s="132">
        <v>241</v>
      </c>
      <c r="C1576" s="131">
        <v>46241</v>
      </c>
      <c r="D1576" s="140">
        <f>WEEKNUM(C1576)</f>
        <v>32</v>
      </c>
      <c r="E1576" s="132" t="s">
        <v>68</v>
      </c>
      <c r="F1576" s="130" t="s">
        <v>455</v>
      </c>
      <c r="G1576" s="137" t="s">
        <v>307</v>
      </c>
      <c r="H1576" s="137" t="s">
        <v>74</v>
      </c>
      <c r="I1576" s="137" t="s">
        <v>46</v>
      </c>
      <c r="J1576" s="137">
        <v>2</v>
      </c>
      <c r="K1576" s="167">
        <v>47.5</v>
      </c>
      <c r="L1576" s="167">
        <f>K1576*J1576</f>
        <v>95</v>
      </c>
      <c r="M1576" s="167">
        <f>L1576</f>
        <v>95</v>
      </c>
      <c r="N1576" s="135">
        <v>46262</v>
      </c>
      <c r="O1576" s="168">
        <f>WEEKNUM(N1576)</f>
        <v>35</v>
      </c>
      <c r="P1576" s="185"/>
      <c r="Q1576" s="132"/>
      <c r="R1576" s="133"/>
      <c r="S1576" s="133"/>
      <c r="T1576" s="133"/>
      <c r="U1576" s="133"/>
      <c r="V1576" s="133"/>
    </row>
    <row r="1577" spans="1:22" s="228" customFormat="1" ht="15" customHeight="1" x14ac:dyDescent="0.3">
      <c r="A1577" s="129" t="s">
        <v>486</v>
      </c>
      <c r="B1577" s="132">
        <v>241</v>
      </c>
      <c r="C1577" s="131">
        <v>46241</v>
      </c>
      <c r="D1577" s="140">
        <f>WEEKNUM(C1577)</f>
        <v>32</v>
      </c>
      <c r="E1577" s="132" t="s">
        <v>68</v>
      </c>
      <c r="F1577" s="130" t="s">
        <v>455</v>
      </c>
      <c r="G1577" s="137" t="s">
        <v>356</v>
      </c>
      <c r="H1577" s="137" t="s">
        <v>321</v>
      </c>
      <c r="I1577" s="137" t="s">
        <v>46</v>
      </c>
      <c r="J1577" s="137">
        <v>2</v>
      </c>
      <c r="K1577" s="167">
        <v>120</v>
      </c>
      <c r="L1577" s="167">
        <f>K1577*J1577</f>
        <v>240</v>
      </c>
      <c r="M1577" s="167">
        <f>L1577</f>
        <v>240</v>
      </c>
      <c r="N1577" s="135">
        <v>46262</v>
      </c>
      <c r="O1577" s="168">
        <f>WEEKNUM(N1577)</f>
        <v>35</v>
      </c>
      <c r="P1577" s="185"/>
      <c r="Q1577" s="132"/>
      <c r="R1577" s="133"/>
      <c r="S1577" s="133"/>
      <c r="T1577" s="133"/>
      <c r="U1577" s="133"/>
      <c r="V1577" s="133"/>
    </row>
    <row r="1578" spans="1:22" s="128" customFormat="1" ht="15" customHeight="1" x14ac:dyDescent="0.3">
      <c r="A1578" s="129" t="s">
        <v>486</v>
      </c>
      <c r="B1578" s="132">
        <v>241</v>
      </c>
      <c r="C1578" s="131">
        <v>46241</v>
      </c>
      <c r="D1578" s="140">
        <f>WEEKNUM(C1578)</f>
        <v>32</v>
      </c>
      <c r="E1578" s="132" t="s">
        <v>68</v>
      </c>
      <c r="F1578" s="130" t="s">
        <v>455</v>
      </c>
      <c r="G1578" s="137" t="s">
        <v>311</v>
      </c>
      <c r="H1578" s="137" t="s">
        <v>51</v>
      </c>
      <c r="I1578" s="137" t="s">
        <v>46</v>
      </c>
      <c r="J1578" s="137">
        <v>4</v>
      </c>
      <c r="K1578" s="167">
        <v>25</v>
      </c>
      <c r="L1578" s="167">
        <f>K1578*J1578</f>
        <v>100</v>
      </c>
      <c r="M1578" s="167">
        <f>L1578</f>
        <v>100</v>
      </c>
      <c r="N1578" s="135">
        <v>46262</v>
      </c>
      <c r="O1578" s="168">
        <f>WEEKNUM(N1578)</f>
        <v>35</v>
      </c>
      <c r="P1578" s="185"/>
      <c r="Q1578" s="132"/>
      <c r="R1578" s="133"/>
      <c r="S1578" s="133"/>
      <c r="T1578" s="133"/>
      <c r="U1578" s="133"/>
      <c r="V1578" s="133"/>
    </row>
    <row r="1579" spans="1:22" s="128" customFormat="1" ht="15" hidden="1" customHeight="1" x14ac:dyDescent="0.3">
      <c r="A1579" s="129" t="s">
        <v>477</v>
      </c>
      <c r="B1579" s="132">
        <v>1137</v>
      </c>
      <c r="C1579" s="131">
        <v>46241</v>
      </c>
      <c r="D1579" s="140">
        <f>WEEKNUM(C1579)</f>
        <v>32</v>
      </c>
      <c r="E1579" s="132" t="s">
        <v>55</v>
      </c>
      <c r="F1579" s="130" t="s">
        <v>454</v>
      </c>
      <c r="G1579" s="137" t="s">
        <v>583</v>
      </c>
      <c r="H1579" s="137" t="s">
        <v>583</v>
      </c>
      <c r="I1579" s="137" t="s">
        <v>61</v>
      </c>
      <c r="J1579" s="137">
        <v>1000</v>
      </c>
      <c r="K1579" s="167">
        <v>15.15</v>
      </c>
      <c r="L1579" s="167">
        <f>K1579*J1579</f>
        <v>15150</v>
      </c>
      <c r="M1579" s="167">
        <f>L1579</f>
        <v>15150</v>
      </c>
      <c r="N1579" s="135">
        <v>46265</v>
      </c>
      <c r="O1579" s="168">
        <f>WEEKNUM(N1579)</f>
        <v>36</v>
      </c>
      <c r="P1579" s="185"/>
      <c r="Q1579" s="132" t="s">
        <v>29</v>
      </c>
      <c r="R1579" s="133"/>
      <c r="S1579" s="133"/>
      <c r="T1579" s="133"/>
      <c r="U1579" s="133"/>
      <c r="V1579" s="133"/>
    </row>
    <row r="1580" spans="1:22" s="128" customFormat="1" ht="15" customHeight="1" x14ac:dyDescent="0.3">
      <c r="A1580" s="129" t="s">
        <v>477</v>
      </c>
      <c r="B1580" s="132">
        <v>656</v>
      </c>
      <c r="C1580" s="131">
        <v>46244</v>
      </c>
      <c r="D1580" s="140">
        <f>WEEKNUM(C1580)</f>
        <v>33</v>
      </c>
      <c r="E1580" s="132" t="s">
        <v>478</v>
      </c>
      <c r="F1580" s="130" t="s">
        <v>456</v>
      </c>
      <c r="G1580" s="137" t="s">
        <v>638</v>
      </c>
      <c r="H1580" s="137" t="s">
        <v>60</v>
      </c>
      <c r="I1580" s="137" t="s">
        <v>61</v>
      </c>
      <c r="J1580" s="137">
        <v>300</v>
      </c>
      <c r="K1580" s="167">
        <v>23</v>
      </c>
      <c r="L1580" s="167">
        <f>K1580*J1580</f>
        <v>6900</v>
      </c>
      <c r="M1580" s="167">
        <f>L1580</f>
        <v>6900</v>
      </c>
      <c r="N1580" s="135">
        <v>46280</v>
      </c>
      <c r="O1580" s="168">
        <f>WEEKNUM(N1580)</f>
        <v>38</v>
      </c>
      <c r="P1580" s="185"/>
      <c r="Q1580" s="132"/>
      <c r="R1580" s="133"/>
      <c r="S1580" s="133"/>
      <c r="T1580" s="133"/>
      <c r="U1580" s="133"/>
      <c r="V1580" s="133"/>
    </row>
    <row r="1581" spans="1:22" s="128" customFormat="1" ht="15" customHeight="1" x14ac:dyDescent="0.3">
      <c r="A1581" s="129" t="s">
        <v>477</v>
      </c>
      <c r="B1581" s="132">
        <v>242</v>
      </c>
      <c r="C1581" s="131">
        <v>46244</v>
      </c>
      <c r="D1581" s="140">
        <f>WEEKNUM(C1581)</f>
        <v>33</v>
      </c>
      <c r="E1581" s="132" t="s">
        <v>475</v>
      </c>
      <c r="F1581" s="130" t="s">
        <v>457</v>
      </c>
      <c r="G1581" s="137" t="s">
        <v>783</v>
      </c>
      <c r="H1581" s="137" t="s">
        <v>529</v>
      </c>
      <c r="I1581" s="137" t="s">
        <v>46</v>
      </c>
      <c r="J1581" s="137">
        <v>100</v>
      </c>
      <c r="K1581" s="167">
        <v>27.5</v>
      </c>
      <c r="L1581" s="167">
        <f>K1581*J1581</f>
        <v>2750</v>
      </c>
      <c r="M1581" s="167">
        <f>L1581</f>
        <v>2750</v>
      </c>
      <c r="N1581" s="135">
        <v>46275</v>
      </c>
      <c r="O1581" s="168">
        <f>WEEKNUM(N1581)</f>
        <v>37</v>
      </c>
      <c r="P1581" s="185"/>
      <c r="Q1581" s="132"/>
      <c r="R1581" s="133"/>
      <c r="S1581" s="133"/>
      <c r="T1581" s="133"/>
      <c r="U1581" s="133"/>
      <c r="V1581" s="133"/>
    </row>
    <row r="1582" spans="1:22" s="128" customFormat="1" ht="15" customHeight="1" x14ac:dyDescent="0.3">
      <c r="A1582" s="129" t="s">
        <v>477</v>
      </c>
      <c r="B1582" s="132">
        <v>242</v>
      </c>
      <c r="C1582" s="131">
        <v>46244</v>
      </c>
      <c r="D1582" s="140">
        <f>WEEKNUM(C1582)</f>
        <v>33</v>
      </c>
      <c r="E1582" s="132" t="s">
        <v>475</v>
      </c>
      <c r="F1582" s="130" t="s">
        <v>457</v>
      </c>
      <c r="G1582" s="137" t="s">
        <v>1046</v>
      </c>
      <c r="H1582" s="137" t="s">
        <v>51</v>
      </c>
      <c r="I1582" s="137" t="s">
        <v>46</v>
      </c>
      <c r="J1582" s="137">
        <v>200</v>
      </c>
      <c r="K1582" s="167">
        <v>19.5</v>
      </c>
      <c r="L1582" s="167">
        <f>K1582*J1582</f>
        <v>3900</v>
      </c>
      <c r="M1582" s="167">
        <f>L1582</f>
        <v>3900</v>
      </c>
      <c r="N1582" s="135">
        <v>46275</v>
      </c>
      <c r="O1582" s="168">
        <f>WEEKNUM(N1582)</f>
        <v>37</v>
      </c>
      <c r="P1582" s="185"/>
      <c r="Q1582" s="132"/>
      <c r="R1582" s="133"/>
      <c r="S1582" s="133"/>
      <c r="T1582" s="133"/>
      <c r="U1582" s="133"/>
      <c r="V1582" s="133"/>
    </row>
    <row r="1583" spans="1:22" s="128" customFormat="1" ht="15" customHeight="1" x14ac:dyDescent="0.3">
      <c r="A1583" s="129" t="s">
        <v>486</v>
      </c>
      <c r="B1583" s="132">
        <v>243</v>
      </c>
      <c r="C1583" s="131">
        <v>46244</v>
      </c>
      <c r="D1583" s="140">
        <f>WEEKNUM(C1583)</f>
        <v>33</v>
      </c>
      <c r="E1583" s="132" t="s">
        <v>475</v>
      </c>
      <c r="F1583" s="130" t="s">
        <v>458</v>
      </c>
      <c r="G1583" s="137" t="s">
        <v>311</v>
      </c>
      <c r="H1583" s="137" t="s">
        <v>51</v>
      </c>
      <c r="I1583" s="137" t="s">
        <v>46</v>
      </c>
      <c r="J1583" s="137">
        <v>40</v>
      </c>
      <c r="K1583" s="167">
        <v>25</v>
      </c>
      <c r="L1583" s="167">
        <f>K1583*J1583</f>
        <v>1000</v>
      </c>
      <c r="M1583" s="167">
        <f>L1583</f>
        <v>1000</v>
      </c>
      <c r="N1583" s="135">
        <v>46275</v>
      </c>
      <c r="O1583" s="168">
        <f>WEEKNUM(N1583)</f>
        <v>37</v>
      </c>
      <c r="P1583" s="185"/>
      <c r="Q1583" s="132"/>
      <c r="R1583" s="133"/>
      <c r="S1583" s="133"/>
      <c r="T1583" s="133"/>
      <c r="U1583" s="133"/>
      <c r="V1583" s="133"/>
    </row>
    <row r="1584" spans="1:22" s="128" customFormat="1" ht="15" customHeight="1" x14ac:dyDescent="0.3">
      <c r="A1584" s="129" t="s">
        <v>477</v>
      </c>
      <c r="B1584" s="132">
        <v>1139</v>
      </c>
      <c r="C1584" s="131">
        <v>46245</v>
      </c>
      <c r="D1584" s="140">
        <f>WEEKNUM(C1584)</f>
        <v>33</v>
      </c>
      <c r="E1584" s="132" t="s">
        <v>498</v>
      </c>
      <c r="F1584" s="130" t="s">
        <v>460</v>
      </c>
      <c r="G1584" s="137" t="s">
        <v>487</v>
      </c>
      <c r="H1584" s="137" t="s">
        <v>51</v>
      </c>
      <c r="I1584" s="137" t="s">
        <v>46</v>
      </c>
      <c r="J1584" s="137">
        <v>200</v>
      </c>
      <c r="K1584" s="167">
        <v>25</v>
      </c>
      <c r="L1584" s="167">
        <f>K1584*J1584</f>
        <v>5000</v>
      </c>
      <c r="M1584" s="167">
        <f>L1584</f>
        <v>5000</v>
      </c>
      <c r="N1584" s="135">
        <v>46279</v>
      </c>
      <c r="O1584" s="168">
        <f>WEEKNUM(N1584)</f>
        <v>38</v>
      </c>
      <c r="P1584" s="185"/>
      <c r="Q1584" s="132"/>
      <c r="R1584" s="133"/>
      <c r="S1584" s="133"/>
      <c r="T1584" s="133"/>
      <c r="U1584" s="133"/>
      <c r="V1584" s="133"/>
    </row>
    <row r="1585" spans="1:22" s="128" customFormat="1" ht="15" customHeight="1" x14ac:dyDescent="0.3">
      <c r="A1585" s="129" t="s">
        <v>477</v>
      </c>
      <c r="B1585" s="132">
        <v>1141</v>
      </c>
      <c r="C1585" s="131">
        <v>46246</v>
      </c>
      <c r="D1585" s="221">
        <f>WEEKNUM(C1585)</f>
        <v>33</v>
      </c>
      <c r="E1585" s="132" t="s">
        <v>475</v>
      </c>
      <c r="F1585" s="130" t="s">
        <v>462</v>
      </c>
      <c r="G1585" s="137" t="s">
        <v>1047</v>
      </c>
      <c r="H1585" s="137" t="s">
        <v>74</v>
      </c>
      <c r="I1585" s="137" t="s">
        <v>26</v>
      </c>
      <c r="J1585" s="137">
        <v>400</v>
      </c>
      <c r="K1585" s="167">
        <v>24.5</v>
      </c>
      <c r="L1585" s="167">
        <f>K1585*J1585</f>
        <v>9800</v>
      </c>
      <c r="M1585" s="167">
        <f>L1585/2</f>
        <v>4900</v>
      </c>
      <c r="N1585" s="135">
        <v>46276</v>
      </c>
      <c r="O1585" s="226">
        <f>WEEKNUM(N1585)</f>
        <v>37</v>
      </c>
      <c r="P1585" s="185"/>
      <c r="Q1585" s="132"/>
      <c r="R1585" s="133"/>
      <c r="S1585" s="133"/>
      <c r="T1585" s="133"/>
      <c r="U1585" s="133"/>
      <c r="V1585" s="133"/>
    </row>
    <row r="1586" spans="1:22" s="128" customFormat="1" ht="15" customHeight="1" x14ac:dyDescent="0.3">
      <c r="A1586" s="129" t="s">
        <v>486</v>
      </c>
      <c r="B1586" s="132">
        <v>244</v>
      </c>
      <c r="C1586" s="131">
        <v>46246</v>
      </c>
      <c r="D1586" s="221">
        <v>33</v>
      </c>
      <c r="E1586" s="132" t="s">
        <v>68</v>
      </c>
      <c r="F1586" s="130" t="s">
        <v>463</v>
      </c>
      <c r="G1586" s="137" t="s">
        <v>311</v>
      </c>
      <c r="H1586" s="137" t="s">
        <v>51</v>
      </c>
      <c r="I1586" s="137" t="s">
        <v>26</v>
      </c>
      <c r="J1586" s="137">
        <v>6</v>
      </c>
      <c r="K1586" s="167">
        <v>25</v>
      </c>
      <c r="L1586" s="167">
        <f>K1586*J1586</f>
        <v>150</v>
      </c>
      <c r="M1586" s="167">
        <f>L1586/2</f>
        <v>75</v>
      </c>
      <c r="N1586" s="135">
        <v>46268</v>
      </c>
      <c r="O1586" s="226">
        <f>WEEKNUM(N1586)</f>
        <v>36</v>
      </c>
      <c r="P1586" s="185"/>
      <c r="Q1586" s="132"/>
      <c r="R1586" s="133"/>
      <c r="S1586" s="133"/>
      <c r="T1586" s="133"/>
      <c r="U1586" s="133"/>
      <c r="V1586" s="133"/>
    </row>
    <row r="1587" spans="1:22" s="128" customFormat="1" ht="15" customHeight="1" x14ac:dyDescent="0.3">
      <c r="A1587" s="129" t="s">
        <v>486</v>
      </c>
      <c r="B1587" s="132">
        <v>244</v>
      </c>
      <c r="C1587" s="131">
        <v>46246</v>
      </c>
      <c r="D1587" s="221">
        <v>33</v>
      </c>
      <c r="E1587" s="132" t="s">
        <v>68</v>
      </c>
      <c r="F1587" s="130" t="s">
        <v>463</v>
      </c>
      <c r="G1587" s="137" t="s">
        <v>313</v>
      </c>
      <c r="H1587" s="137" t="s">
        <v>80</v>
      </c>
      <c r="I1587" s="137" t="s">
        <v>26</v>
      </c>
      <c r="J1587" s="137">
        <v>4</v>
      </c>
      <c r="K1587" s="167">
        <v>21</v>
      </c>
      <c r="L1587" s="167">
        <f>K1587*J1587</f>
        <v>84</v>
      </c>
      <c r="M1587" s="167">
        <f>L1587/2</f>
        <v>42</v>
      </c>
      <c r="N1587" s="135">
        <v>46268</v>
      </c>
      <c r="O1587" s="226">
        <f>WEEKNUM(N1587)</f>
        <v>36</v>
      </c>
      <c r="P1587" s="185"/>
      <c r="Q1587" s="132"/>
      <c r="R1587" s="133"/>
      <c r="S1587" s="133"/>
      <c r="T1587" s="133"/>
      <c r="U1587" s="133"/>
      <c r="V1587" s="133"/>
    </row>
    <row r="1588" spans="1:22" s="128" customFormat="1" ht="15" customHeight="1" x14ac:dyDescent="0.3">
      <c r="A1588" s="129" t="s">
        <v>486</v>
      </c>
      <c r="B1588" s="132">
        <v>244</v>
      </c>
      <c r="C1588" s="131">
        <v>46246</v>
      </c>
      <c r="D1588" s="221">
        <v>33</v>
      </c>
      <c r="E1588" s="132" t="s">
        <v>68</v>
      </c>
      <c r="F1588" s="130" t="s">
        <v>463</v>
      </c>
      <c r="G1588" s="137" t="s">
        <v>1048</v>
      </c>
      <c r="H1588" s="137" t="s">
        <v>74</v>
      </c>
      <c r="I1588" s="137" t="s">
        <v>26</v>
      </c>
      <c r="J1588" s="137">
        <v>4</v>
      </c>
      <c r="K1588" s="167">
        <v>36.75</v>
      </c>
      <c r="L1588" s="167">
        <f>K1588*J1588</f>
        <v>147</v>
      </c>
      <c r="M1588" s="167">
        <f>L1588/2</f>
        <v>73.5</v>
      </c>
      <c r="N1588" s="135">
        <v>46268</v>
      </c>
      <c r="O1588" s="226">
        <f>WEEKNUM(N1588)</f>
        <v>36</v>
      </c>
      <c r="P1588" s="185"/>
      <c r="Q1588" s="132"/>
      <c r="R1588" s="133"/>
      <c r="S1588" s="133"/>
      <c r="T1588" s="133"/>
      <c r="U1588" s="133"/>
      <c r="V1588" s="133"/>
    </row>
    <row r="1589" spans="1:22" s="128" customFormat="1" ht="15" customHeight="1" x14ac:dyDescent="0.3">
      <c r="A1589" s="129" t="s">
        <v>486</v>
      </c>
      <c r="B1589" s="132">
        <v>244</v>
      </c>
      <c r="C1589" s="131">
        <v>46246</v>
      </c>
      <c r="D1589" s="221">
        <v>33</v>
      </c>
      <c r="E1589" s="132" t="s">
        <v>68</v>
      </c>
      <c r="F1589" s="130" t="s">
        <v>463</v>
      </c>
      <c r="G1589" s="137" t="s">
        <v>505</v>
      </c>
      <c r="H1589" s="137" t="s">
        <v>190</v>
      </c>
      <c r="I1589" s="137" t="s">
        <v>26</v>
      </c>
      <c r="J1589" s="137">
        <v>4</v>
      </c>
      <c r="K1589" s="167">
        <v>80</v>
      </c>
      <c r="L1589" s="167">
        <f>K1589*J1589</f>
        <v>320</v>
      </c>
      <c r="M1589" s="167">
        <f>L1589/2</f>
        <v>160</v>
      </c>
      <c r="N1589" s="135">
        <v>46268</v>
      </c>
      <c r="O1589" s="226">
        <f>WEEKNUM(N1589)</f>
        <v>36</v>
      </c>
      <c r="P1589" s="185"/>
      <c r="Q1589" s="132"/>
      <c r="R1589" s="133"/>
      <c r="S1589" s="133"/>
      <c r="T1589" s="133"/>
      <c r="U1589" s="133"/>
      <c r="V1589" s="133"/>
    </row>
    <row r="1590" spans="1:22" s="128" customFormat="1" ht="15" customHeight="1" x14ac:dyDescent="0.3">
      <c r="A1590" s="129" t="s">
        <v>477</v>
      </c>
      <c r="B1590" s="132">
        <v>1142</v>
      </c>
      <c r="C1590" s="131">
        <v>46247</v>
      </c>
      <c r="D1590" s="221">
        <v>33</v>
      </c>
      <c r="E1590" s="132" t="s">
        <v>55</v>
      </c>
      <c r="F1590" s="130" t="s">
        <v>454</v>
      </c>
      <c r="G1590" s="137" t="s">
        <v>1069</v>
      </c>
      <c r="H1590" s="137" t="s">
        <v>304</v>
      </c>
      <c r="I1590" s="137" t="s">
        <v>61</v>
      </c>
      <c r="J1590" s="137">
        <v>5300</v>
      </c>
      <c r="K1590" s="167">
        <v>13.5</v>
      </c>
      <c r="L1590" s="167">
        <f>K1590*J1590</f>
        <v>71550</v>
      </c>
      <c r="M1590" s="167">
        <f>L1590/2</f>
        <v>35775</v>
      </c>
      <c r="N1590" s="135">
        <v>46283</v>
      </c>
      <c r="O1590" s="226">
        <f>WEEKNUM(N1590)</f>
        <v>38</v>
      </c>
      <c r="P1590" s="185"/>
      <c r="Q1590" s="132"/>
      <c r="R1590" s="133"/>
      <c r="S1590" s="133"/>
      <c r="T1590" s="133"/>
      <c r="U1590" s="133"/>
      <c r="V1590" s="133"/>
    </row>
    <row r="1591" spans="1:22" s="128" customFormat="1" ht="13.8" customHeight="1" x14ac:dyDescent="0.3">
      <c r="A1591" s="129" t="s">
        <v>486</v>
      </c>
      <c r="B1591" s="132">
        <v>245</v>
      </c>
      <c r="C1591" s="131">
        <v>46248</v>
      </c>
      <c r="D1591" s="221">
        <v>33</v>
      </c>
      <c r="E1591" s="132" t="s">
        <v>672</v>
      </c>
      <c r="F1591" s="130" t="s">
        <v>1070</v>
      </c>
      <c r="G1591" s="137" t="s">
        <v>1071</v>
      </c>
      <c r="H1591" s="137" t="s">
        <v>51</v>
      </c>
      <c r="I1591" s="137" t="s">
        <v>61</v>
      </c>
      <c r="J1591" s="137">
        <v>300</v>
      </c>
      <c r="K1591" s="167">
        <v>19.899999999999999</v>
      </c>
      <c r="L1591" s="167">
        <f>K1591*J1591</f>
        <v>5970</v>
      </c>
      <c r="M1591" s="167">
        <f>L1591/2</f>
        <v>2985</v>
      </c>
      <c r="N1591" s="135">
        <v>46288</v>
      </c>
      <c r="O1591" s="226">
        <f>WEEKNUM(N1591)</f>
        <v>39</v>
      </c>
      <c r="P1591" s="185"/>
      <c r="Q1591" s="132"/>
      <c r="R1591" s="133"/>
      <c r="S1591" s="133"/>
      <c r="T1591" s="133"/>
      <c r="U1591" s="133"/>
      <c r="V1591" s="133"/>
    </row>
    <row r="1592" spans="1:22" s="128" customFormat="1" ht="15" customHeight="1" x14ac:dyDescent="0.3">
      <c r="A1592" s="129" t="s">
        <v>477</v>
      </c>
      <c r="B1592" s="132">
        <v>1143</v>
      </c>
      <c r="C1592" s="131">
        <v>46248</v>
      </c>
      <c r="D1592" s="221">
        <v>33</v>
      </c>
      <c r="E1592" s="132" t="s">
        <v>478</v>
      </c>
      <c r="F1592" s="130" t="s">
        <v>1014</v>
      </c>
      <c r="G1592" s="137" t="s">
        <v>506</v>
      </c>
      <c r="H1592" s="137" t="s">
        <v>74</v>
      </c>
      <c r="I1592" s="137" t="s">
        <v>46</v>
      </c>
      <c r="J1592" s="137">
        <v>6</v>
      </c>
      <c r="K1592" s="167">
        <v>45</v>
      </c>
      <c r="L1592" s="167">
        <f>K1592*J1592</f>
        <v>270</v>
      </c>
      <c r="M1592" s="167">
        <f>L1592/2</f>
        <v>135</v>
      </c>
      <c r="N1592" s="135">
        <v>46276</v>
      </c>
      <c r="O1592" s="226">
        <f>WEEKNUM(N1592)</f>
        <v>37</v>
      </c>
      <c r="P1592" s="185"/>
      <c r="Q1592" s="132"/>
      <c r="R1592" s="133"/>
      <c r="S1592" s="133"/>
      <c r="T1592" s="133"/>
      <c r="U1592" s="133"/>
      <c r="V1592" s="133"/>
    </row>
    <row r="1593" spans="1:22" s="128" customFormat="1" ht="15" customHeight="1" x14ac:dyDescent="0.3">
      <c r="A1593" s="129" t="s">
        <v>477</v>
      </c>
      <c r="B1593" s="132">
        <v>1143</v>
      </c>
      <c r="C1593" s="131">
        <v>46248</v>
      </c>
      <c r="D1593" s="221">
        <v>33</v>
      </c>
      <c r="E1593" s="132" t="s">
        <v>478</v>
      </c>
      <c r="F1593" s="130" t="s">
        <v>1014</v>
      </c>
      <c r="G1593" s="137" t="s">
        <v>506</v>
      </c>
      <c r="H1593" s="137" t="s">
        <v>74</v>
      </c>
      <c r="I1593" s="137" t="s">
        <v>46</v>
      </c>
      <c r="J1593" s="137">
        <v>2</v>
      </c>
      <c r="K1593" s="167">
        <v>75</v>
      </c>
      <c r="L1593" s="167">
        <f>K1593*J1593</f>
        <v>150</v>
      </c>
      <c r="M1593" s="167">
        <f>L1593/2</f>
        <v>75</v>
      </c>
      <c r="N1593" s="135">
        <v>46276</v>
      </c>
      <c r="O1593" s="226">
        <f>WEEKNUM(N1593)</f>
        <v>37</v>
      </c>
      <c r="P1593" s="185"/>
      <c r="Q1593" s="132"/>
      <c r="R1593" s="133"/>
      <c r="S1593" s="133"/>
      <c r="T1593" s="133"/>
      <c r="U1593" s="133"/>
      <c r="V1593" s="133"/>
    </row>
    <row r="1594" spans="1:22" s="128" customFormat="1" ht="15" customHeight="1" x14ac:dyDescent="0.3">
      <c r="A1594" s="129" t="s">
        <v>477</v>
      </c>
      <c r="B1594" s="132">
        <v>1143</v>
      </c>
      <c r="C1594" s="131">
        <v>46248</v>
      </c>
      <c r="D1594" s="221">
        <v>33</v>
      </c>
      <c r="E1594" s="132" t="s">
        <v>478</v>
      </c>
      <c r="F1594" s="130" t="s">
        <v>1014</v>
      </c>
      <c r="G1594" s="137" t="s">
        <v>506</v>
      </c>
      <c r="H1594" s="137" t="s">
        <v>74</v>
      </c>
      <c r="I1594" s="137" t="s">
        <v>46</v>
      </c>
      <c r="J1594" s="137">
        <v>4</v>
      </c>
      <c r="K1594" s="167">
        <v>75</v>
      </c>
      <c r="L1594" s="167">
        <f>K1594*J1594</f>
        <v>300</v>
      </c>
      <c r="M1594" s="167">
        <f>L1594/2</f>
        <v>150</v>
      </c>
      <c r="N1594" s="135">
        <v>46276</v>
      </c>
      <c r="O1594" s="168">
        <f>WEEKNUM(N1594)</f>
        <v>37</v>
      </c>
      <c r="P1594" s="185"/>
      <c r="Q1594" s="132"/>
      <c r="R1594" s="133"/>
      <c r="S1594" s="133"/>
      <c r="T1594" s="133"/>
      <c r="U1594" s="133"/>
      <c r="V1594" s="133"/>
    </row>
    <row r="1595" spans="1:22" s="128" customFormat="1" ht="15" customHeight="1" x14ac:dyDescent="0.3">
      <c r="A1595" s="129" t="s">
        <v>477</v>
      </c>
      <c r="B1595" s="132">
        <v>1144</v>
      </c>
      <c r="C1595" s="131">
        <v>46251</v>
      </c>
      <c r="D1595" s="221">
        <v>33</v>
      </c>
      <c r="E1595" s="132" t="s">
        <v>475</v>
      </c>
      <c r="F1595" s="130" t="s">
        <v>462</v>
      </c>
      <c r="G1595" s="137" t="s">
        <v>830</v>
      </c>
      <c r="H1595" s="137" t="s">
        <v>304</v>
      </c>
      <c r="I1595" s="137" t="s">
        <v>61</v>
      </c>
      <c r="J1595" s="137">
        <v>400</v>
      </c>
      <c r="K1595" s="167">
        <v>28</v>
      </c>
      <c r="L1595" s="167">
        <f>K1595*J1595</f>
        <v>11200</v>
      </c>
      <c r="M1595" s="167">
        <f>L1595/2</f>
        <v>5600</v>
      </c>
      <c r="N1595" s="135">
        <v>46282</v>
      </c>
      <c r="O1595" s="168">
        <f>WEEKNUM(N1595)</f>
        <v>38</v>
      </c>
      <c r="P1595" s="185"/>
      <c r="Q1595" s="132"/>
      <c r="R1595" s="133"/>
      <c r="S1595" s="133"/>
      <c r="T1595" s="133"/>
      <c r="U1595" s="133"/>
      <c r="V1595" s="133"/>
    </row>
    <row r="1596" spans="1:22" s="128" customFormat="1" ht="15" hidden="1" customHeight="1" x14ac:dyDescent="0.3">
      <c r="A1596" s="129" t="s">
        <v>477</v>
      </c>
      <c r="B1596" s="132">
        <v>1148</v>
      </c>
      <c r="C1596" s="131">
        <v>46254</v>
      </c>
      <c r="D1596" s="221">
        <v>33</v>
      </c>
      <c r="E1596" s="132" t="s">
        <v>475</v>
      </c>
      <c r="F1596" s="130" t="s">
        <v>462</v>
      </c>
      <c r="G1596" s="137" t="s">
        <v>506</v>
      </c>
      <c r="H1596" s="137" t="s">
        <v>74</v>
      </c>
      <c r="I1596" s="137" t="s">
        <v>46</v>
      </c>
      <c r="J1596" s="137">
        <v>100</v>
      </c>
      <c r="K1596" s="167">
        <v>26.5</v>
      </c>
      <c r="L1596" s="167">
        <f>K1596*J1596</f>
        <v>2650</v>
      </c>
      <c r="M1596" s="167">
        <f>L1596/2</f>
        <v>1325</v>
      </c>
      <c r="N1596" s="135">
        <v>46286</v>
      </c>
      <c r="O1596" s="168">
        <f>WEEKNUM(N1596)</f>
        <v>39</v>
      </c>
      <c r="P1596" s="185"/>
      <c r="Q1596" s="132" t="s">
        <v>29</v>
      </c>
      <c r="R1596" s="133"/>
      <c r="S1596" s="133"/>
      <c r="T1596" s="133"/>
      <c r="U1596" s="133"/>
      <c r="V1596" s="133"/>
    </row>
    <row r="1597" spans="1:22" s="128" customFormat="1" ht="15" customHeight="1" x14ac:dyDescent="0.3">
      <c r="A1597" s="129" t="s">
        <v>477</v>
      </c>
      <c r="B1597" s="132">
        <v>1149</v>
      </c>
      <c r="C1597" s="131">
        <v>46254</v>
      </c>
      <c r="D1597" s="221">
        <v>33</v>
      </c>
      <c r="E1597" s="132" t="s">
        <v>475</v>
      </c>
      <c r="F1597" s="130" t="s">
        <v>1008</v>
      </c>
      <c r="G1597" s="137" t="s">
        <v>487</v>
      </c>
      <c r="H1597" s="137" t="s">
        <v>51</v>
      </c>
      <c r="I1597" s="137" t="s">
        <v>46</v>
      </c>
      <c r="J1597" s="137">
        <v>500</v>
      </c>
      <c r="K1597" s="167">
        <v>19.5</v>
      </c>
      <c r="L1597" s="167">
        <f>K1597*J1597</f>
        <v>9750</v>
      </c>
      <c r="M1597" s="167">
        <v>0</v>
      </c>
      <c r="N1597" s="135">
        <v>46286</v>
      </c>
      <c r="O1597" s="168">
        <f>WEEKNUM(N1597)</f>
        <v>39</v>
      </c>
      <c r="P1597" s="185"/>
      <c r="Q1597" s="132"/>
      <c r="R1597" s="133"/>
      <c r="S1597" s="133"/>
      <c r="T1597" s="133"/>
      <c r="U1597" s="133"/>
      <c r="V1597" s="133"/>
    </row>
    <row r="1598" spans="1:22" s="128" customFormat="1" ht="15" customHeight="1" x14ac:dyDescent="0.3">
      <c r="A1598" s="129" t="s">
        <v>486</v>
      </c>
      <c r="B1598" s="132">
        <v>247</v>
      </c>
      <c r="C1598" s="131">
        <v>46255</v>
      </c>
      <c r="D1598" s="221">
        <v>33</v>
      </c>
      <c r="E1598" s="132" t="s">
        <v>475</v>
      </c>
      <c r="F1598" s="130" t="s">
        <v>1075</v>
      </c>
      <c r="G1598" s="137" t="s">
        <v>311</v>
      </c>
      <c r="H1598" s="137" t="s">
        <v>51</v>
      </c>
      <c r="I1598" s="137" t="s">
        <v>46</v>
      </c>
      <c r="J1598" s="137">
        <v>100</v>
      </c>
      <c r="K1598" s="167">
        <v>17</v>
      </c>
      <c r="L1598" s="167">
        <v>0</v>
      </c>
      <c r="M1598" s="167">
        <f>L1598/2</f>
        <v>0</v>
      </c>
      <c r="N1598" s="135">
        <v>46293</v>
      </c>
      <c r="O1598" s="168">
        <f>WEEKNUM(N1598)</f>
        <v>40</v>
      </c>
      <c r="P1598" s="185"/>
      <c r="Q1598" s="132"/>
      <c r="R1598" s="133"/>
      <c r="S1598" s="133"/>
      <c r="T1598" s="133"/>
      <c r="U1598" s="133"/>
      <c r="V1598" s="133"/>
    </row>
    <row r="1599" spans="1:22" s="128" customFormat="1" ht="15" customHeight="1" x14ac:dyDescent="0.3">
      <c r="A1599" s="129" t="s">
        <v>486</v>
      </c>
      <c r="B1599" s="132">
        <v>247</v>
      </c>
      <c r="C1599" s="131">
        <v>46255</v>
      </c>
      <c r="D1599" s="221">
        <v>33</v>
      </c>
      <c r="E1599" s="132" t="s">
        <v>475</v>
      </c>
      <c r="F1599" s="130" t="s">
        <v>1075</v>
      </c>
      <c r="G1599" s="137" t="s">
        <v>495</v>
      </c>
      <c r="H1599" s="137" t="s">
        <v>529</v>
      </c>
      <c r="I1599" s="137" t="s">
        <v>46</v>
      </c>
      <c r="J1599" s="137">
        <v>100</v>
      </c>
      <c r="K1599" s="167">
        <v>17.5</v>
      </c>
      <c r="L1599" s="167">
        <v>5286.5</v>
      </c>
      <c r="M1599" s="167">
        <v>0</v>
      </c>
      <c r="N1599" s="135">
        <v>46293</v>
      </c>
      <c r="O1599" s="168">
        <f>WEEKNUM(N1599)</f>
        <v>40</v>
      </c>
      <c r="P1599" s="185"/>
      <c r="Q1599" s="132"/>
      <c r="R1599" s="133"/>
      <c r="S1599" s="133"/>
      <c r="T1599" s="133"/>
      <c r="U1599" s="133"/>
      <c r="V1599" s="133"/>
    </row>
    <row r="1600" spans="1:22" s="128" customFormat="1" ht="15" customHeight="1" x14ac:dyDescent="0.3">
      <c r="A1600" s="129" t="s">
        <v>486</v>
      </c>
      <c r="B1600" s="132">
        <v>247</v>
      </c>
      <c r="C1600" s="131">
        <v>46255</v>
      </c>
      <c r="D1600" s="221">
        <v>33</v>
      </c>
      <c r="E1600" s="132" t="s">
        <v>475</v>
      </c>
      <c r="F1600" s="130" t="s">
        <v>1075</v>
      </c>
      <c r="G1600" s="137" t="s">
        <v>515</v>
      </c>
      <c r="H1600" s="137" t="s">
        <v>60</v>
      </c>
      <c r="I1600" s="137" t="s">
        <v>46</v>
      </c>
      <c r="J1600" s="137">
        <v>100</v>
      </c>
      <c r="K1600" s="167">
        <v>20</v>
      </c>
      <c r="L1600" s="167">
        <v>0</v>
      </c>
      <c r="M1600" s="167">
        <v>0</v>
      </c>
      <c r="N1600" s="135">
        <v>46293</v>
      </c>
      <c r="O1600" s="168">
        <f>WEEKNUM(N1600)</f>
        <v>40</v>
      </c>
      <c r="P1600" s="185"/>
      <c r="Q1600" s="132"/>
      <c r="R1600" s="133"/>
      <c r="S1600" s="133"/>
      <c r="T1600" s="133"/>
      <c r="U1600" s="133"/>
      <c r="V1600" s="133"/>
    </row>
    <row r="1601" spans="1:22" s="128" customFormat="1" ht="15" customHeight="1" x14ac:dyDescent="0.3">
      <c r="A1601" s="129" t="s">
        <v>477</v>
      </c>
      <c r="B1601" s="132">
        <v>1152</v>
      </c>
      <c r="C1601" s="131">
        <v>46258</v>
      </c>
      <c r="D1601" s="221">
        <v>33</v>
      </c>
      <c r="E1601" s="132" t="s">
        <v>475</v>
      </c>
      <c r="F1601" s="130" t="s">
        <v>1077</v>
      </c>
      <c r="G1601" s="137" t="s">
        <v>638</v>
      </c>
      <c r="H1601" s="137" t="s">
        <v>60</v>
      </c>
      <c r="I1601" s="137" t="s">
        <v>61</v>
      </c>
      <c r="J1601" s="137">
        <v>3500</v>
      </c>
      <c r="K1601" s="167">
        <v>12.65</v>
      </c>
      <c r="L1601" s="167">
        <f>K1601*J1601</f>
        <v>44275</v>
      </c>
      <c r="M1601" s="167">
        <f>L1601</f>
        <v>44275</v>
      </c>
      <c r="N1601" s="135">
        <v>46295</v>
      </c>
      <c r="O1601" s="168">
        <f>WEEKNUM(N1601)</f>
        <v>40</v>
      </c>
      <c r="P1601" s="185"/>
      <c r="Q1601" s="132"/>
      <c r="R1601" s="133"/>
      <c r="S1601" s="133"/>
      <c r="T1601" s="133"/>
      <c r="U1601" s="133"/>
      <c r="V1601" s="133"/>
    </row>
    <row r="1602" spans="1:22" s="128" customFormat="1" ht="15" customHeight="1" x14ac:dyDescent="0.3">
      <c r="A1602" s="129" t="s">
        <v>477</v>
      </c>
      <c r="B1602" s="132">
        <v>659</v>
      </c>
      <c r="C1602" s="131">
        <v>46258</v>
      </c>
      <c r="D1602" s="221">
        <v>33</v>
      </c>
      <c r="E1602" s="132" t="s">
        <v>498</v>
      </c>
      <c r="F1602" s="130" t="s">
        <v>1017</v>
      </c>
      <c r="G1602" s="137" t="s">
        <v>487</v>
      </c>
      <c r="H1602" s="137" t="s">
        <v>51</v>
      </c>
      <c r="I1602" s="137" t="s">
        <v>46</v>
      </c>
      <c r="J1602" s="137">
        <v>300</v>
      </c>
      <c r="K1602" s="167">
        <v>23.5</v>
      </c>
      <c r="L1602" s="167">
        <f>K1602*J1602</f>
        <v>7050</v>
      </c>
      <c r="M1602" s="167">
        <f>L1602</f>
        <v>7050</v>
      </c>
      <c r="N1602" s="135">
        <v>46279</v>
      </c>
      <c r="O1602" s="168">
        <f>WEEKNUM(N1602)</f>
        <v>38</v>
      </c>
      <c r="P1602" s="185"/>
      <c r="Q1602" s="132"/>
      <c r="R1602" s="133"/>
      <c r="S1602" s="133"/>
      <c r="T1602" s="133"/>
      <c r="U1602" s="133"/>
      <c r="V1602" s="133"/>
    </row>
    <row r="1603" spans="1:22" s="128" customFormat="1" ht="15" customHeight="1" x14ac:dyDescent="0.3">
      <c r="A1603" s="129" t="s">
        <v>486</v>
      </c>
      <c r="B1603" s="132">
        <v>1150</v>
      </c>
      <c r="C1603" s="131">
        <v>46259</v>
      </c>
      <c r="D1603" s="221">
        <v>33</v>
      </c>
      <c r="E1603" s="132" t="s">
        <v>475</v>
      </c>
      <c r="F1603" s="130" t="s">
        <v>1078</v>
      </c>
      <c r="G1603" s="137" t="s">
        <v>218</v>
      </c>
      <c r="H1603" s="137" t="s">
        <v>74</v>
      </c>
      <c r="I1603" s="137" t="s">
        <v>46</v>
      </c>
      <c r="J1603" s="137">
        <v>200</v>
      </c>
      <c r="K1603" s="167">
        <v>22.5</v>
      </c>
      <c r="L1603" s="167">
        <f>K1603*J1603</f>
        <v>4500</v>
      </c>
      <c r="M1603" s="167">
        <f>L1603/2</f>
        <v>2250</v>
      </c>
      <c r="N1603" s="135">
        <v>46290</v>
      </c>
      <c r="O1603" s="168">
        <f>WEEKNUM(N1603)</f>
        <v>39</v>
      </c>
      <c r="P1603" s="185"/>
      <c r="Q1603" s="132"/>
      <c r="R1603" s="133"/>
      <c r="S1603" s="133"/>
      <c r="T1603" s="133"/>
      <c r="U1603" s="133"/>
      <c r="V1603" s="133"/>
    </row>
    <row r="1604" spans="1:22" s="128" customFormat="1" ht="15" customHeight="1" x14ac:dyDescent="0.3">
      <c r="A1604" s="129" t="s">
        <v>477</v>
      </c>
      <c r="B1604" s="132">
        <v>1124</v>
      </c>
      <c r="C1604" s="131">
        <v>46259</v>
      </c>
      <c r="D1604" s="221">
        <v>33</v>
      </c>
      <c r="E1604" s="132" t="s">
        <v>478</v>
      </c>
      <c r="F1604" s="130" t="s">
        <v>1079</v>
      </c>
      <c r="G1604" s="137" t="s">
        <v>830</v>
      </c>
      <c r="H1604" s="137" t="s">
        <v>304</v>
      </c>
      <c r="I1604" s="137" t="s">
        <v>61</v>
      </c>
      <c r="J1604" s="137">
        <v>500</v>
      </c>
      <c r="K1604" s="167">
        <v>11.5</v>
      </c>
      <c r="L1604" s="167">
        <f>K1604*J1604</f>
        <v>5750</v>
      </c>
      <c r="M1604" s="167">
        <f>L1604</f>
        <v>5750</v>
      </c>
      <c r="N1604" s="135">
        <v>46290</v>
      </c>
      <c r="O1604" s="168">
        <f>WEEKNUM(N1604)</f>
        <v>39</v>
      </c>
      <c r="P1604" s="185"/>
      <c r="Q1604" s="132"/>
      <c r="R1604" s="133"/>
      <c r="S1604" s="133"/>
      <c r="T1604" s="133"/>
      <c r="U1604" s="133"/>
      <c r="V1604" s="133"/>
    </row>
    <row r="1605" spans="1:22" s="128" customFormat="1" ht="15" customHeight="1" x14ac:dyDescent="0.3">
      <c r="A1605" s="129" t="s">
        <v>477</v>
      </c>
      <c r="B1605" s="132">
        <v>249</v>
      </c>
      <c r="C1605" s="131">
        <v>46260</v>
      </c>
      <c r="D1605" s="221">
        <v>33</v>
      </c>
      <c r="E1605" s="132" t="s">
        <v>475</v>
      </c>
      <c r="F1605" s="130" t="s">
        <v>1080</v>
      </c>
      <c r="G1605" s="137" t="s">
        <v>1081</v>
      </c>
      <c r="H1605" s="137" t="s">
        <v>60</v>
      </c>
      <c r="I1605" s="137" t="s">
        <v>61</v>
      </c>
      <c r="J1605" s="137">
        <v>200</v>
      </c>
      <c r="K1605" s="167">
        <v>25</v>
      </c>
      <c r="L1605" s="167">
        <f>K1605*J1605</f>
        <v>5000</v>
      </c>
      <c r="M1605" s="167">
        <v>2500</v>
      </c>
      <c r="N1605" s="135">
        <v>46293</v>
      </c>
      <c r="O1605" s="168">
        <f>WEEKNUM(N1605)</f>
        <v>40</v>
      </c>
      <c r="P1605" s="185"/>
      <c r="Q1605" s="132"/>
      <c r="R1605" s="133"/>
      <c r="S1605" s="133"/>
      <c r="T1605" s="133"/>
      <c r="U1605" s="133"/>
      <c r="V1605" s="133"/>
    </row>
    <row r="1606" spans="1:22" s="128" customFormat="1" ht="15" customHeight="1" x14ac:dyDescent="0.3">
      <c r="A1606" s="129" t="s">
        <v>477</v>
      </c>
      <c r="B1606" s="132">
        <v>660</v>
      </c>
      <c r="C1606" s="131">
        <v>46260</v>
      </c>
      <c r="D1606" s="221">
        <v>33</v>
      </c>
      <c r="E1606" s="132" t="s">
        <v>475</v>
      </c>
      <c r="F1606" s="130" t="s">
        <v>1082</v>
      </c>
      <c r="G1606" s="137" t="s">
        <v>506</v>
      </c>
      <c r="H1606" s="137" t="s">
        <v>74</v>
      </c>
      <c r="I1606" s="137" t="s">
        <v>46</v>
      </c>
      <c r="J1606" s="137">
        <v>200</v>
      </c>
      <c r="K1606" s="167">
        <v>24.5</v>
      </c>
      <c r="L1606" s="167">
        <f>K1606*J1606</f>
        <v>4900</v>
      </c>
      <c r="M1606" s="167">
        <v>0</v>
      </c>
      <c r="N1606" s="135">
        <v>46290</v>
      </c>
      <c r="O1606" s="168">
        <f>WEEKNUM(N1606)</f>
        <v>39</v>
      </c>
      <c r="P1606" s="185"/>
      <c r="Q1606" s="132"/>
      <c r="R1606" s="133"/>
      <c r="S1606" s="133"/>
      <c r="T1606" s="133"/>
      <c r="U1606" s="133"/>
      <c r="V1606" s="133"/>
    </row>
    <row r="1607" spans="1:22" s="128" customFormat="1" ht="15" customHeight="1" x14ac:dyDescent="0.3">
      <c r="A1607" s="129" t="s">
        <v>486</v>
      </c>
      <c r="B1607" s="132">
        <v>250</v>
      </c>
      <c r="C1607" s="131">
        <v>46260</v>
      </c>
      <c r="D1607" s="221">
        <v>33</v>
      </c>
      <c r="E1607" s="132" t="s">
        <v>475</v>
      </c>
      <c r="F1607" s="130" t="s">
        <v>1083</v>
      </c>
      <c r="G1607" s="137" t="s">
        <v>1084</v>
      </c>
      <c r="H1607" s="137" t="s">
        <v>60</v>
      </c>
      <c r="I1607" s="137" t="s">
        <v>61</v>
      </c>
      <c r="J1607" s="137">
        <v>100</v>
      </c>
      <c r="K1607" s="167">
        <v>27</v>
      </c>
      <c r="L1607" s="167">
        <f>K1607*J1607</f>
        <v>2700</v>
      </c>
      <c r="M1607" s="167">
        <f>L1607/2</f>
        <v>1350</v>
      </c>
      <c r="N1607" s="135">
        <v>46295</v>
      </c>
      <c r="O1607" s="168">
        <f>WEEKNUM(N1607)</f>
        <v>40</v>
      </c>
      <c r="P1607" s="185"/>
      <c r="Q1607" s="132"/>
      <c r="R1607" s="133"/>
      <c r="S1607" s="133"/>
      <c r="T1607" s="133"/>
      <c r="U1607" s="133"/>
      <c r="V1607" s="133"/>
    </row>
    <row r="1608" spans="1:22" s="128" customFormat="1" ht="15" customHeight="1" x14ac:dyDescent="0.3">
      <c r="A1608" s="129" t="s">
        <v>486</v>
      </c>
      <c r="B1608" s="132">
        <v>250</v>
      </c>
      <c r="C1608" s="131">
        <v>46260</v>
      </c>
      <c r="D1608" s="221">
        <v>33</v>
      </c>
      <c r="E1608" s="132" t="s">
        <v>475</v>
      </c>
      <c r="F1608" s="130" t="s">
        <v>1083</v>
      </c>
      <c r="G1608" s="137" t="s">
        <v>1085</v>
      </c>
      <c r="H1608" s="137" t="s">
        <v>51</v>
      </c>
      <c r="I1608" s="137" t="s">
        <v>46</v>
      </c>
      <c r="J1608" s="137">
        <v>100</v>
      </c>
      <c r="K1608" s="167">
        <v>29</v>
      </c>
      <c r="L1608" s="167">
        <f>K1608*J1608</f>
        <v>2900</v>
      </c>
      <c r="M1608" s="167">
        <f>L1608/2</f>
        <v>1450</v>
      </c>
      <c r="N1608" s="135">
        <v>46295</v>
      </c>
      <c r="O1608" s="168">
        <f>WEEKNUM(N1608)</f>
        <v>40</v>
      </c>
      <c r="P1608" s="185"/>
      <c r="Q1608" s="132"/>
      <c r="R1608" s="133"/>
      <c r="S1608" s="133"/>
      <c r="T1608" s="133"/>
      <c r="U1608" s="133"/>
      <c r="V1608" s="133"/>
    </row>
    <row r="1609" spans="1:22" s="128" customFormat="1" ht="15" customHeight="1" x14ac:dyDescent="0.3">
      <c r="A1609" s="129" t="s">
        <v>486</v>
      </c>
      <c r="B1609" s="132">
        <v>250</v>
      </c>
      <c r="C1609" s="131">
        <v>46260</v>
      </c>
      <c r="D1609" s="221">
        <v>33</v>
      </c>
      <c r="E1609" s="132" t="s">
        <v>475</v>
      </c>
      <c r="F1609" s="130" t="s">
        <v>1083</v>
      </c>
      <c r="G1609" s="137" t="s">
        <v>559</v>
      </c>
      <c r="H1609" s="137" t="s">
        <v>38</v>
      </c>
      <c r="I1609" s="137" t="s">
        <v>61</v>
      </c>
      <c r="J1609" s="137">
        <v>100</v>
      </c>
      <c r="K1609" s="167">
        <v>78</v>
      </c>
      <c r="L1609" s="167">
        <f>K1609*J1609</f>
        <v>7800</v>
      </c>
      <c r="M1609" s="167">
        <f>L1609/2</f>
        <v>3900</v>
      </c>
      <c r="N1609" s="135">
        <v>46295</v>
      </c>
      <c r="O1609" s="168">
        <f>WEEKNUM(N1609)</f>
        <v>40</v>
      </c>
      <c r="P1609" s="185"/>
      <c r="Q1609" s="132"/>
      <c r="R1609" s="133"/>
      <c r="S1609" s="133"/>
      <c r="T1609" s="133"/>
      <c r="U1609" s="133"/>
      <c r="V1609" s="133"/>
    </row>
    <row r="1610" spans="1:22" s="128" customFormat="1" ht="15" customHeight="1" x14ac:dyDescent="0.3">
      <c r="A1610" s="129" t="s">
        <v>477</v>
      </c>
      <c r="B1610" s="132">
        <v>251</v>
      </c>
      <c r="C1610" s="131">
        <v>46261</v>
      </c>
      <c r="D1610" s="221">
        <v>33</v>
      </c>
      <c r="E1610" s="132" t="s">
        <v>498</v>
      </c>
      <c r="F1610" s="251" t="s">
        <v>459</v>
      </c>
      <c r="G1610" s="250" t="s">
        <v>1086</v>
      </c>
      <c r="H1610" s="252" t="s">
        <v>1087</v>
      </c>
      <c r="I1610" s="252" t="s">
        <v>61</v>
      </c>
      <c r="J1610" s="252">
        <v>20</v>
      </c>
      <c r="K1610" s="253">
        <v>73</v>
      </c>
      <c r="L1610" s="167">
        <f>K1610*J1610</f>
        <v>1460</v>
      </c>
      <c r="M1610" s="167">
        <v>1460</v>
      </c>
      <c r="N1610" s="135">
        <v>46293</v>
      </c>
      <c r="O1610" s="168">
        <f>WEEKNUM(N1610)</f>
        <v>40</v>
      </c>
      <c r="P1610" s="185"/>
      <c r="Q1610" s="132"/>
      <c r="R1610" s="133"/>
      <c r="S1610" s="133"/>
      <c r="T1610" s="133"/>
      <c r="U1610" s="133"/>
      <c r="V1610" s="133"/>
    </row>
    <row r="1611" spans="1:22" s="128" customFormat="1" ht="15" customHeight="1" x14ac:dyDescent="0.3">
      <c r="A1611" s="129" t="s">
        <v>477</v>
      </c>
      <c r="B1611" s="132">
        <v>251</v>
      </c>
      <c r="C1611" s="131">
        <v>46261</v>
      </c>
      <c r="D1611" s="221">
        <v>33</v>
      </c>
      <c r="E1611" s="132" t="s">
        <v>498</v>
      </c>
      <c r="F1611" s="130" t="s">
        <v>459</v>
      </c>
      <c r="G1611" s="250" t="s">
        <v>1086</v>
      </c>
      <c r="H1611" s="132" t="s">
        <v>1087</v>
      </c>
      <c r="I1611" s="132" t="s">
        <v>61</v>
      </c>
      <c r="J1611" s="132">
        <v>20</v>
      </c>
      <c r="K1611" s="133">
        <v>97</v>
      </c>
      <c r="L1611" s="167">
        <f>K1611*J1611</f>
        <v>1940</v>
      </c>
      <c r="M1611" s="167">
        <v>1940</v>
      </c>
      <c r="N1611" s="135">
        <v>46293</v>
      </c>
      <c r="O1611" s="168">
        <f>WEEKNUM(N1611)</f>
        <v>40</v>
      </c>
      <c r="P1611" s="185"/>
      <c r="Q1611" s="132"/>
      <c r="R1611" s="133"/>
      <c r="S1611" s="133"/>
      <c r="T1611" s="133"/>
      <c r="U1611" s="133"/>
      <c r="V1611" s="133"/>
    </row>
    <row r="1612" spans="1:22" s="128" customFormat="1" ht="15" customHeight="1" x14ac:dyDescent="0.3">
      <c r="A1612" s="129" t="s">
        <v>477</v>
      </c>
      <c r="B1612" s="132">
        <v>1155</v>
      </c>
      <c r="C1612" s="131">
        <v>46261</v>
      </c>
      <c r="D1612" s="221">
        <v>33</v>
      </c>
      <c r="E1612" s="132" t="s">
        <v>498</v>
      </c>
      <c r="F1612" s="130" t="s">
        <v>459</v>
      </c>
      <c r="G1612" s="250" t="s">
        <v>1088</v>
      </c>
      <c r="H1612" s="132" t="s">
        <v>1089</v>
      </c>
      <c r="I1612" s="132" t="s">
        <v>61</v>
      </c>
      <c r="J1612" s="132">
        <v>100</v>
      </c>
      <c r="K1612" s="133">
        <v>21.5</v>
      </c>
      <c r="L1612" s="167">
        <f>K1612*J1612</f>
        <v>2150</v>
      </c>
      <c r="M1612" s="167">
        <f>L1612</f>
        <v>2150</v>
      </c>
      <c r="N1612" s="135">
        <v>46295</v>
      </c>
      <c r="O1612" s="168">
        <f>WEEKNUM(N1612)</f>
        <v>40</v>
      </c>
      <c r="P1612" s="185"/>
      <c r="Q1612" s="132"/>
      <c r="R1612" s="133"/>
      <c r="S1612" s="133"/>
      <c r="T1612" s="133"/>
      <c r="U1612" s="133"/>
      <c r="V1612" s="133"/>
    </row>
    <row r="1613" spans="1:22" s="128" customFormat="1" ht="15" customHeight="1" x14ac:dyDescent="0.3">
      <c r="A1613" s="129" t="s">
        <v>509</v>
      </c>
      <c r="B1613" s="132">
        <v>252</v>
      </c>
      <c r="C1613" s="131">
        <v>46262</v>
      </c>
      <c r="D1613" s="221">
        <v>33</v>
      </c>
      <c r="E1613" s="132" t="s">
        <v>498</v>
      </c>
      <c r="F1613" s="130" t="s">
        <v>992</v>
      </c>
      <c r="G1613" s="212" t="s">
        <v>1090</v>
      </c>
      <c r="H1613" s="132" t="s">
        <v>51</v>
      </c>
      <c r="I1613" s="132" t="s">
        <v>46</v>
      </c>
      <c r="J1613" s="132">
        <v>200</v>
      </c>
      <c r="K1613" s="133">
        <v>30</v>
      </c>
      <c r="L1613" s="167">
        <f>K1613*J1613</f>
        <v>6000</v>
      </c>
      <c r="M1613" s="167">
        <v>0</v>
      </c>
      <c r="N1613" s="135">
        <v>46287</v>
      </c>
      <c r="O1613" s="168">
        <f>WEEKNUM(N1613)</f>
        <v>39</v>
      </c>
      <c r="P1613" s="185"/>
      <c r="Q1613" s="132"/>
      <c r="R1613" s="133"/>
      <c r="S1613" s="133"/>
      <c r="T1613" s="133"/>
      <c r="U1613" s="133"/>
      <c r="V1613" s="133"/>
    </row>
    <row r="1614" spans="1:22" s="128" customFormat="1" ht="15" customHeight="1" x14ac:dyDescent="0.3">
      <c r="A1614" s="129" t="s">
        <v>477</v>
      </c>
      <c r="B1614" s="132">
        <v>1159</v>
      </c>
      <c r="C1614" s="131">
        <v>46262</v>
      </c>
      <c r="D1614" s="221">
        <v>33</v>
      </c>
      <c r="E1614" s="132" t="s">
        <v>478</v>
      </c>
      <c r="F1614" s="130" t="s">
        <v>1091</v>
      </c>
      <c r="G1614" s="212" t="s">
        <v>1010</v>
      </c>
      <c r="H1614" s="132" t="s">
        <v>95</v>
      </c>
      <c r="I1614" s="132" t="s">
        <v>61</v>
      </c>
      <c r="J1614" s="132">
        <v>300</v>
      </c>
      <c r="K1614" s="133">
        <v>16.5</v>
      </c>
      <c r="L1614" s="167">
        <f>K1614*J1614</f>
        <v>4950</v>
      </c>
      <c r="M1614" s="167">
        <f>L1614/2</f>
        <v>2475</v>
      </c>
      <c r="N1614" s="135">
        <v>46294</v>
      </c>
      <c r="O1614" s="168">
        <f>WEEKNUM(N1614)</f>
        <v>40</v>
      </c>
      <c r="P1614" s="185"/>
      <c r="Q1614" s="132"/>
      <c r="R1614" s="133"/>
      <c r="S1614" s="133"/>
      <c r="T1614" s="133"/>
      <c r="U1614" s="133"/>
      <c r="V1614" s="133"/>
    </row>
    <row r="1615" spans="1:22" s="128" customFormat="1" ht="15" customHeight="1" x14ac:dyDescent="0.3">
      <c r="A1615" s="129" t="s">
        <v>477</v>
      </c>
      <c r="B1615" s="132">
        <v>1159</v>
      </c>
      <c r="C1615" s="131">
        <v>46262</v>
      </c>
      <c r="D1615" s="221">
        <v>33</v>
      </c>
      <c r="E1615" s="132" t="s">
        <v>478</v>
      </c>
      <c r="F1615" s="130" t="s">
        <v>1091</v>
      </c>
      <c r="G1615" s="212" t="s">
        <v>1010</v>
      </c>
      <c r="H1615" s="132" t="s">
        <v>95</v>
      </c>
      <c r="I1615" s="132" t="s">
        <v>61</v>
      </c>
      <c r="J1615" s="132">
        <v>500</v>
      </c>
      <c r="K1615" s="133">
        <v>2.5</v>
      </c>
      <c r="L1615" s="167">
        <f>K1615*J1615</f>
        <v>1250</v>
      </c>
      <c r="M1615" s="167">
        <f>L1615/2</f>
        <v>625</v>
      </c>
      <c r="N1615" s="135">
        <v>46294</v>
      </c>
      <c r="O1615" s="168">
        <f>WEEKNUM(N1615)</f>
        <v>40</v>
      </c>
      <c r="P1615" s="185"/>
      <c r="Q1615" s="132"/>
      <c r="R1615" s="133"/>
      <c r="S1615" s="133"/>
      <c r="T1615" s="133"/>
      <c r="U1615" s="133"/>
      <c r="V1615" s="133"/>
    </row>
    <row r="1616" spans="1:22" s="128" customFormat="1" ht="15" customHeight="1" x14ac:dyDescent="0.3">
      <c r="A1616" s="129" t="s">
        <v>486</v>
      </c>
      <c r="B1616" s="132">
        <v>1154</v>
      </c>
      <c r="C1616" s="131">
        <v>46265</v>
      </c>
      <c r="D1616" s="221">
        <v>33</v>
      </c>
      <c r="E1616" s="132" t="s">
        <v>1092</v>
      </c>
      <c r="F1616" s="130" t="s">
        <v>1078</v>
      </c>
      <c r="G1616" s="212" t="s">
        <v>218</v>
      </c>
      <c r="H1616" s="132" t="s">
        <v>74</v>
      </c>
      <c r="I1616" s="132" t="s">
        <v>46</v>
      </c>
      <c r="J1616" s="132">
        <v>100</v>
      </c>
      <c r="K1616" s="133">
        <v>22.5</v>
      </c>
      <c r="L1616" s="167">
        <f>K1616*J1616</f>
        <v>2250</v>
      </c>
      <c r="M1616" s="167">
        <f>L1616/2</f>
        <v>1125</v>
      </c>
      <c r="N1616" s="135">
        <v>46290</v>
      </c>
      <c r="O1616" s="168">
        <f>WEEKNUM(N1616)</f>
        <v>39</v>
      </c>
      <c r="P1616" s="185"/>
      <c r="Q1616" s="132"/>
      <c r="R1616" s="133"/>
      <c r="S1616" s="133"/>
      <c r="T1616" s="133"/>
      <c r="U1616" s="133"/>
      <c r="V1616" s="133"/>
    </row>
    <row r="1617" spans="1:27" s="128" customFormat="1" ht="15" customHeight="1" x14ac:dyDescent="0.3">
      <c r="A1617" s="129" t="s">
        <v>486</v>
      </c>
      <c r="B1617" s="132">
        <v>1154</v>
      </c>
      <c r="C1617" s="131">
        <v>46265</v>
      </c>
      <c r="D1617" s="221">
        <v>33</v>
      </c>
      <c r="E1617" s="132" t="s">
        <v>1092</v>
      </c>
      <c r="F1617" s="130" t="s">
        <v>1078</v>
      </c>
      <c r="G1617" s="212" t="s">
        <v>1093</v>
      </c>
      <c r="H1617" s="132" t="s">
        <v>555</v>
      </c>
      <c r="I1617" s="132" t="s">
        <v>46</v>
      </c>
      <c r="J1617" s="132">
        <v>40</v>
      </c>
      <c r="K1617" s="133">
        <v>35</v>
      </c>
      <c r="L1617" s="167">
        <f>K1617*J1617</f>
        <v>1400</v>
      </c>
      <c r="M1617" s="167">
        <f>L1617/2</f>
        <v>700</v>
      </c>
      <c r="N1617" s="135">
        <v>46290</v>
      </c>
      <c r="O1617" s="168">
        <f>WEEKNUM(N1617)</f>
        <v>39</v>
      </c>
      <c r="P1617" s="185"/>
      <c r="Q1617" s="132"/>
      <c r="R1617" s="133"/>
      <c r="S1617" s="133"/>
      <c r="T1617" s="133"/>
      <c r="U1617" s="133"/>
      <c r="V1617" s="133"/>
    </row>
    <row r="1618" spans="1:27" s="128" customFormat="1" ht="15" customHeight="1" x14ac:dyDescent="0.3">
      <c r="A1618" s="129" t="s">
        <v>486</v>
      </c>
      <c r="B1618" s="132">
        <v>253</v>
      </c>
      <c r="C1618" s="131">
        <v>46266</v>
      </c>
      <c r="D1618" s="221">
        <v>33</v>
      </c>
      <c r="E1618" s="132" t="s">
        <v>1092</v>
      </c>
      <c r="F1618" s="130" t="s">
        <v>1094</v>
      </c>
      <c r="G1618" s="212" t="s">
        <v>311</v>
      </c>
      <c r="H1618" s="132" t="s">
        <v>51</v>
      </c>
      <c r="I1618" s="132" t="s">
        <v>46</v>
      </c>
      <c r="J1618" s="132">
        <v>250</v>
      </c>
      <c r="K1618" s="133">
        <v>16.5</v>
      </c>
      <c r="L1618" s="167">
        <f>K1618*J1618</f>
        <v>4125</v>
      </c>
      <c r="M1618" s="167">
        <f>L1618/2</f>
        <v>2062.5</v>
      </c>
      <c r="N1618" s="135">
        <v>46295</v>
      </c>
      <c r="O1618" s="168">
        <f>WEEKNUM(N1618)</f>
        <v>40</v>
      </c>
      <c r="P1618" s="185"/>
      <c r="Q1618" s="132"/>
      <c r="R1618" s="133"/>
      <c r="S1618" s="133"/>
      <c r="T1618" s="133"/>
      <c r="U1618" s="133"/>
      <c r="V1618" s="133"/>
    </row>
    <row r="1619" spans="1:27" s="128" customFormat="1" ht="15" customHeight="1" x14ac:dyDescent="0.3">
      <c r="A1619" s="129" t="s">
        <v>486</v>
      </c>
      <c r="B1619" s="132">
        <v>254</v>
      </c>
      <c r="C1619" s="131">
        <v>46266</v>
      </c>
      <c r="D1619" s="221">
        <v>33</v>
      </c>
      <c r="E1619" s="132" t="s">
        <v>68</v>
      </c>
      <c r="F1619" s="130" t="s">
        <v>379</v>
      </c>
      <c r="G1619" s="212" t="s">
        <v>503</v>
      </c>
      <c r="H1619" s="132" t="s">
        <v>74</v>
      </c>
      <c r="I1619" s="132" t="s">
        <v>46</v>
      </c>
      <c r="J1619" s="132">
        <v>2</v>
      </c>
      <c r="K1619" s="133">
        <v>36.75</v>
      </c>
      <c r="L1619" s="167">
        <f>K1619*J1619</f>
        <v>73.5</v>
      </c>
      <c r="M1619" s="167">
        <f>L1619/2</f>
        <v>36.75</v>
      </c>
      <c r="N1619" s="135">
        <v>46289</v>
      </c>
      <c r="O1619" s="168">
        <f>WEEKNUM(N1619)</f>
        <v>39</v>
      </c>
      <c r="P1619" s="185"/>
      <c r="Q1619" s="132"/>
      <c r="R1619" s="133"/>
      <c r="S1619" s="133"/>
      <c r="T1619" s="133"/>
      <c r="U1619" s="133"/>
      <c r="V1619" s="133"/>
    </row>
    <row r="1620" spans="1:27" s="128" customFormat="1" ht="15" customHeight="1" x14ac:dyDescent="0.3">
      <c r="A1620" s="129" t="s">
        <v>486</v>
      </c>
      <c r="B1620" s="132">
        <v>254</v>
      </c>
      <c r="C1620" s="131">
        <v>46266</v>
      </c>
      <c r="D1620" s="221">
        <v>33</v>
      </c>
      <c r="E1620" s="132" t="s">
        <v>68</v>
      </c>
      <c r="F1620" s="130" t="s">
        <v>379</v>
      </c>
      <c r="G1620" s="212" t="s">
        <v>620</v>
      </c>
      <c r="H1620" s="132" t="s">
        <v>74</v>
      </c>
      <c r="I1620" s="132" t="s">
        <v>46</v>
      </c>
      <c r="J1620" s="132">
        <v>3</v>
      </c>
      <c r="K1620" s="133">
        <v>47.5</v>
      </c>
      <c r="L1620" s="167">
        <f>K1620*J1620</f>
        <v>142.5</v>
      </c>
      <c r="M1620" s="167">
        <f>L1620/2</f>
        <v>71.25</v>
      </c>
      <c r="N1620" s="135">
        <v>46289</v>
      </c>
      <c r="O1620" s="168">
        <f>WEEKNUM(N1620)</f>
        <v>39</v>
      </c>
      <c r="P1620" s="185"/>
      <c r="Q1620" s="132"/>
      <c r="R1620" s="133"/>
      <c r="S1620" s="133"/>
      <c r="T1620" s="133"/>
      <c r="U1620" s="133"/>
      <c r="V1620" s="133"/>
    </row>
    <row r="1621" spans="1:27" s="128" customFormat="1" ht="15" customHeight="1" x14ac:dyDescent="0.3">
      <c r="A1621" s="129" t="s">
        <v>477</v>
      </c>
      <c r="B1621" s="132">
        <v>1163</v>
      </c>
      <c r="C1621" s="131">
        <v>46267</v>
      </c>
      <c r="D1621" s="221">
        <v>33</v>
      </c>
      <c r="E1621" s="132" t="s">
        <v>1092</v>
      </c>
      <c r="F1621" s="130" t="s">
        <v>761</v>
      </c>
      <c r="G1621" s="212" t="s">
        <v>768</v>
      </c>
      <c r="H1621" s="132" t="s">
        <v>769</v>
      </c>
      <c r="I1621" s="132" t="s">
        <v>61</v>
      </c>
      <c r="J1621" s="132">
        <v>500</v>
      </c>
      <c r="K1621" s="133">
        <v>11.5</v>
      </c>
      <c r="L1621" s="167">
        <f>K1621*J1621</f>
        <v>5750</v>
      </c>
      <c r="M1621" s="167">
        <v>0</v>
      </c>
      <c r="N1621" s="135">
        <v>46297</v>
      </c>
      <c r="O1621" s="168">
        <f>WEEKNUM(N1621)</f>
        <v>40</v>
      </c>
      <c r="P1621" s="185"/>
      <c r="Q1621" s="132"/>
      <c r="R1621" s="133"/>
      <c r="S1621" s="133"/>
      <c r="T1621" s="133"/>
      <c r="U1621" s="133"/>
      <c r="V1621" s="133"/>
    </row>
    <row r="1622" spans="1:27" s="128" customFormat="1" ht="15" customHeight="1" x14ac:dyDescent="0.3">
      <c r="A1622" s="129" t="s">
        <v>477</v>
      </c>
      <c r="B1622" s="132">
        <v>1164</v>
      </c>
      <c r="C1622" s="131">
        <v>46268</v>
      </c>
      <c r="D1622" s="221">
        <v>33</v>
      </c>
      <c r="E1622" s="132" t="s">
        <v>498</v>
      </c>
      <c r="F1622" s="130" t="s">
        <v>563</v>
      </c>
      <c r="G1622" s="212" t="s">
        <v>1095</v>
      </c>
      <c r="H1622" s="132" t="s">
        <v>51</v>
      </c>
      <c r="I1622" s="132" t="s">
        <v>46</v>
      </c>
      <c r="J1622" s="132">
        <v>300</v>
      </c>
      <c r="K1622" s="133">
        <v>24.5</v>
      </c>
      <c r="L1622" s="167">
        <f>K1622*J1622</f>
        <v>7350</v>
      </c>
      <c r="M1622" s="167">
        <v>0</v>
      </c>
      <c r="N1622" s="135">
        <v>46290</v>
      </c>
      <c r="O1622" s="168">
        <f>WEEKNUM(N1622)</f>
        <v>39</v>
      </c>
      <c r="P1622" s="185"/>
      <c r="Q1622" s="132"/>
      <c r="R1622" s="133"/>
      <c r="S1622" s="133"/>
      <c r="T1622" s="133"/>
      <c r="U1622" s="133"/>
      <c r="V1622" s="133"/>
    </row>
    <row r="1623" spans="1:27" s="128" customFormat="1" ht="15" customHeight="1" x14ac:dyDescent="0.3">
      <c r="A1623" s="129"/>
      <c r="B1623" s="132"/>
      <c r="C1623" s="131"/>
      <c r="D1623" s="221"/>
      <c r="E1623" s="132"/>
      <c r="F1623" s="130"/>
      <c r="G1623" s="212"/>
      <c r="H1623" s="132"/>
      <c r="I1623" s="132"/>
      <c r="J1623" s="132"/>
      <c r="K1623" s="133"/>
      <c r="L1623" s="167"/>
      <c r="M1623" s="167"/>
      <c r="N1623" s="135"/>
      <c r="O1623" s="168"/>
      <c r="P1623" s="185"/>
      <c r="Q1623" s="132"/>
      <c r="R1623" s="133"/>
      <c r="S1623" s="133"/>
      <c r="T1623" s="133"/>
      <c r="U1623" s="133"/>
      <c r="V1623" s="133"/>
    </row>
    <row r="1624" spans="1:27" s="128" customFormat="1" ht="15" customHeight="1" x14ac:dyDescent="0.3">
      <c r="A1624" s="129"/>
      <c r="B1624" s="132"/>
      <c r="C1624" s="131"/>
      <c r="D1624" s="221"/>
      <c r="E1624" s="132"/>
      <c r="F1624" s="130"/>
      <c r="G1624" s="212"/>
      <c r="H1624" s="132"/>
      <c r="I1624" s="132"/>
      <c r="J1624" s="132"/>
      <c r="K1624" s="133"/>
      <c r="L1624" s="167"/>
      <c r="M1624" s="167"/>
      <c r="N1624" s="135"/>
      <c r="O1624" s="168"/>
      <c r="P1624" s="185"/>
      <c r="Q1624" s="132"/>
      <c r="R1624" s="133"/>
      <c r="S1624" s="133"/>
      <c r="T1624" s="133"/>
      <c r="U1624" s="133"/>
      <c r="V1624" s="133"/>
    </row>
    <row r="1625" spans="1:27" s="128" customFormat="1" ht="15" customHeight="1" x14ac:dyDescent="0.3">
      <c r="A1625" s="129"/>
      <c r="B1625" s="132"/>
      <c r="C1625" s="131"/>
      <c r="D1625" s="221"/>
      <c r="E1625" s="132"/>
      <c r="F1625" s="130"/>
      <c r="G1625" s="212"/>
      <c r="H1625" s="132"/>
      <c r="I1625" s="132"/>
      <c r="J1625" s="132"/>
      <c r="K1625" s="133"/>
      <c r="L1625" s="167"/>
      <c r="M1625" s="167"/>
      <c r="N1625" s="135"/>
      <c r="O1625" s="168"/>
      <c r="P1625" s="185"/>
      <c r="Q1625" s="132"/>
      <c r="R1625" s="133"/>
      <c r="S1625" s="133"/>
      <c r="T1625" s="133"/>
      <c r="U1625" s="133"/>
      <c r="V1625" s="133"/>
    </row>
    <row r="1626" spans="1:27" s="128" customFormat="1" ht="15" customHeight="1" x14ac:dyDescent="0.3">
      <c r="A1626" s="129"/>
      <c r="B1626" s="132"/>
      <c r="C1626" s="131"/>
      <c r="D1626" s="221"/>
      <c r="E1626" s="132"/>
      <c r="F1626" s="130"/>
      <c r="G1626" s="132"/>
      <c r="H1626" s="132"/>
      <c r="I1626" s="132"/>
      <c r="J1626" s="132"/>
      <c r="K1626" s="133"/>
      <c r="L1626" s="167"/>
      <c r="M1626" s="167"/>
      <c r="N1626" s="135"/>
      <c r="O1626" s="168"/>
      <c r="P1626" s="185"/>
      <c r="Q1626" s="132"/>
      <c r="R1626" s="133"/>
      <c r="S1626" s="133"/>
      <c r="T1626" s="133"/>
      <c r="U1626" s="133"/>
      <c r="V1626" s="133"/>
    </row>
    <row r="1627" spans="1:27" s="128" customFormat="1" ht="15" customHeight="1" x14ac:dyDescent="0.3">
      <c r="A1627" s="132"/>
      <c r="B1627" s="132"/>
      <c r="C1627" s="131"/>
      <c r="D1627" s="130"/>
      <c r="E1627" s="132"/>
      <c r="F1627" s="132"/>
      <c r="G1627" s="132"/>
      <c r="H1627" s="132"/>
      <c r="I1627" s="132"/>
      <c r="J1627" s="168"/>
      <c r="K1627" s="133"/>
      <c r="L1627" s="133"/>
      <c r="M1627" s="133"/>
      <c r="N1627" s="131"/>
      <c r="O1627" s="168"/>
      <c r="P1627" s="186"/>
      <c r="Q1627" s="132"/>
      <c r="R1627" s="133"/>
      <c r="S1627" s="133"/>
      <c r="T1627" s="133"/>
      <c r="U1627" s="133"/>
      <c r="V1627" s="133"/>
    </row>
    <row r="1628" spans="1:27" x14ac:dyDescent="0.3">
      <c r="J1628" s="169"/>
      <c r="K1628" s="170"/>
      <c r="L1628" s="170"/>
    </row>
    <row r="1629" spans="1:27" ht="15.6" x14ac:dyDescent="0.3">
      <c r="G1629" s="177"/>
      <c r="H1629" s="180"/>
      <c r="I1629" s="177"/>
      <c r="J1629" s="180">
        <f>SUBTOTAL(9,J1:J1628)</f>
        <v>24489</v>
      </c>
      <c r="K1629" s="176"/>
      <c r="L1629" s="176">
        <f>SUBTOTAL(9,L1:L1628)</f>
        <v>419654.5</v>
      </c>
      <c r="M1629" s="176">
        <f>SUBTOTAL(9,M1:M1628)</f>
        <v>246959.5</v>
      </c>
      <c r="N1629" s="191"/>
      <c r="O1629" s="177"/>
      <c r="Q1629" s="177"/>
      <c r="R1629" s="176">
        <f>SUBTOTAL(9,R977:R1628)</f>
        <v>0</v>
      </c>
      <c r="S1629" s="176">
        <f>SUBTOTAL(9,S977:S1628)</f>
        <v>0</v>
      </c>
      <c r="T1629" s="176">
        <f>SUBTOTAL(9,T904:T1097)</f>
        <v>0</v>
      </c>
      <c r="U1629" s="176">
        <f>SUBTOTAL(9,U1044:U1114)</f>
        <v>0</v>
      </c>
      <c r="V1629" s="176">
        <f>SUM(R1629:U1629)</f>
        <v>0</v>
      </c>
      <c r="W1629" s="179"/>
      <c r="X1629" s="179"/>
      <c r="Y1629" s="179"/>
      <c r="Z1629" s="179"/>
      <c r="AA1629" s="179"/>
    </row>
    <row r="1630" spans="1:27" ht="17.399999999999999" x14ac:dyDescent="0.3">
      <c r="G1630" s="177"/>
      <c r="H1630" s="180"/>
      <c r="I1630" s="177"/>
      <c r="J1630" s="181" t="s">
        <v>234</v>
      </c>
      <c r="K1630" s="176"/>
      <c r="L1630" s="178" t="s">
        <v>1049</v>
      </c>
      <c r="M1630" s="208" t="s">
        <v>1050</v>
      </c>
      <c r="N1630" s="191"/>
      <c r="O1630" s="177"/>
      <c r="Q1630" s="177"/>
      <c r="R1630" s="176"/>
      <c r="S1630" s="176"/>
      <c r="T1630" s="176"/>
      <c r="U1630" s="176"/>
      <c r="V1630" s="176"/>
      <c r="W1630" s="179"/>
      <c r="X1630" s="179"/>
      <c r="Y1630" s="179"/>
      <c r="Z1630" s="179"/>
      <c r="AA1630" s="179"/>
    </row>
    <row r="1631" spans="1:27" ht="15.6" x14ac:dyDescent="0.3">
      <c r="G1631" s="177"/>
      <c r="H1631" s="180"/>
      <c r="I1631" s="177"/>
      <c r="J1631" s="177"/>
      <c r="K1631" s="176"/>
      <c r="L1631" s="176"/>
      <c r="M1631" s="176"/>
      <c r="N1631" s="191"/>
      <c r="O1631" s="177"/>
      <c r="Q1631" s="177"/>
      <c r="R1631" s="176"/>
      <c r="S1631" s="176"/>
      <c r="T1631" s="176"/>
      <c r="U1631" s="176"/>
      <c r="V1631" s="176"/>
      <c r="W1631" s="179"/>
      <c r="X1631" s="179"/>
      <c r="Y1631" s="179"/>
      <c r="Z1631" s="179"/>
      <c r="AA1631" s="179"/>
    </row>
    <row r="1632" spans="1:27" ht="15.6" x14ac:dyDescent="0.3">
      <c r="G1632" s="177"/>
      <c r="H1632" s="180"/>
      <c r="I1632" s="177"/>
      <c r="J1632" s="177"/>
      <c r="K1632" s="176"/>
      <c r="L1632" s="176"/>
      <c r="M1632" s="176"/>
      <c r="N1632" s="191"/>
      <c r="O1632" s="177"/>
      <c r="Q1632" s="177"/>
      <c r="R1632" s="176"/>
      <c r="S1632" s="176"/>
      <c r="T1632" s="176"/>
      <c r="U1632" s="176"/>
      <c r="V1632" s="176"/>
      <c r="W1632" s="179"/>
      <c r="X1632" s="179"/>
      <c r="Y1632" s="179"/>
      <c r="Z1632" s="179"/>
      <c r="AA1632" s="179"/>
    </row>
    <row r="1633" spans="3:27" ht="15.6" x14ac:dyDescent="0.3">
      <c r="C1633" s="171"/>
      <c r="M1633" s="176"/>
      <c r="N1633" s="191"/>
      <c r="O1633" s="177"/>
      <c r="Q1633" s="177"/>
      <c r="R1633" s="176"/>
      <c r="S1633" s="176"/>
      <c r="T1633" s="176"/>
      <c r="U1633" s="176"/>
      <c r="V1633" s="176"/>
      <c r="W1633" s="179"/>
      <c r="X1633" s="179"/>
      <c r="Y1633" s="179"/>
      <c r="Z1633" s="179"/>
      <c r="AA1633" s="179"/>
    </row>
    <row r="1634" spans="3:27" ht="15.6" x14ac:dyDescent="0.3">
      <c r="C1634" s="171"/>
      <c r="M1634" s="176"/>
      <c r="N1634" s="191"/>
      <c r="O1634" s="177"/>
      <c r="Q1634" s="177"/>
      <c r="R1634" s="176"/>
      <c r="S1634" s="176"/>
      <c r="T1634" s="176"/>
      <c r="U1634" s="176"/>
      <c r="V1634" s="176"/>
      <c r="W1634" s="179"/>
      <c r="X1634" s="179"/>
      <c r="Y1634" s="179"/>
      <c r="Z1634" s="179"/>
      <c r="AA1634" s="179"/>
    </row>
    <row r="1635" spans="3:27" ht="15.6" x14ac:dyDescent="0.3">
      <c r="C1635" s="171"/>
      <c r="M1635" s="176"/>
      <c r="N1635" s="191"/>
      <c r="O1635" s="177"/>
      <c r="Q1635" s="177"/>
      <c r="R1635" s="176"/>
      <c r="S1635" s="176"/>
      <c r="T1635" s="176"/>
      <c r="U1635" s="176"/>
      <c r="V1635" s="176"/>
      <c r="W1635" s="179"/>
      <c r="X1635" s="179"/>
      <c r="Y1635" s="179"/>
      <c r="Z1635" s="179"/>
      <c r="AA1635" s="179"/>
    </row>
    <row r="1636" spans="3:27" ht="15.6" x14ac:dyDescent="0.3">
      <c r="C1636" s="171"/>
      <c r="M1636" s="176"/>
      <c r="N1636" s="191"/>
      <c r="O1636" s="177"/>
      <c r="Q1636" s="177"/>
      <c r="R1636" s="176"/>
      <c r="S1636" s="176"/>
      <c r="T1636" s="176"/>
      <c r="U1636" s="176"/>
      <c r="V1636" s="176"/>
      <c r="W1636" s="179"/>
      <c r="X1636" s="179"/>
      <c r="Y1636" s="179"/>
      <c r="Z1636" s="179"/>
      <c r="AA1636" s="179"/>
    </row>
    <row r="1637" spans="3:27" x14ac:dyDescent="0.3">
      <c r="C1637" s="171"/>
    </row>
    <row r="1638" spans="3:27" x14ac:dyDescent="0.3">
      <c r="C1638" s="171"/>
    </row>
    <row r="1639" spans="3:27" x14ac:dyDescent="0.3">
      <c r="C1639" s="171"/>
    </row>
    <row r="1640" spans="3:27" x14ac:dyDescent="0.3">
      <c r="C1640" s="171"/>
    </row>
    <row r="1642" spans="3:27" x14ac:dyDescent="0.3">
      <c r="C1642" s="171"/>
    </row>
  </sheetData>
  <autoFilter ref="A1:V1622" xr:uid="{E82EC67D-167D-4E9A-8617-273F27A28D54}">
    <filterColumn colId="16">
      <filters blank="1"/>
    </filterColumn>
    <sortState xmlns:xlrd2="http://schemas.microsoft.com/office/spreadsheetml/2017/richdata2" ref="A2:V1622">
      <sortCondition descending="1" ref="Q1:Q1622"/>
    </sortState>
  </autoFilter>
  <sortState xmlns:xlrd2="http://schemas.microsoft.com/office/spreadsheetml/2017/richdata2" ref="A2:W1357">
    <sortCondition ref="C2:C1357" customList="Dom,Seg,Ter,Qua,Qui,Sex,Sáb"/>
  </sortState>
  <phoneticPr fontId="15" type="noConversion"/>
  <pageMargins left="0" right="0" top="0" bottom="0" header="0" footer="0"/>
  <pageSetup paperSize="9" fitToHeight="0" orientation="landscape" horizontalDpi="360" verticalDpi="36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BF47-DFBA-48A4-A1A5-4E4BCF6D7DF5}">
  <dimension ref="A1:I21"/>
  <sheetViews>
    <sheetView zoomScaleNormal="100" workbookViewId="0">
      <selection activeCell="E15" sqref="E15"/>
    </sheetView>
  </sheetViews>
  <sheetFormatPr defaultRowHeight="14.4" x14ac:dyDescent="0.3"/>
  <cols>
    <col min="1" max="1" width="10.6640625" bestFit="1" customWidth="1"/>
    <col min="2" max="2" width="14.6640625" bestFit="1" customWidth="1"/>
    <col min="3" max="3" width="14.6640625" customWidth="1"/>
    <col min="4" max="4" width="15.5546875" bestFit="1" customWidth="1"/>
    <col min="5" max="5" width="12.88671875" customWidth="1"/>
  </cols>
  <sheetData>
    <row r="1" spans="1:9" x14ac:dyDescent="0.3">
      <c r="A1" s="270" t="s">
        <v>231</v>
      </c>
      <c r="B1" s="270"/>
      <c r="C1" s="270"/>
      <c r="D1" s="123" t="s">
        <v>1051</v>
      </c>
    </row>
    <row r="2" spans="1:9" x14ac:dyDescent="0.3">
      <c r="A2" s="86" t="s">
        <v>257</v>
      </c>
      <c r="B2" s="272">
        <f>'PCP + MO '!J1629</f>
        <v>24489</v>
      </c>
      <c r="C2" s="272"/>
      <c r="D2" s="312">
        <f>B3/B2</f>
        <v>17.136449017926417</v>
      </c>
    </row>
    <row r="3" spans="1:9" x14ac:dyDescent="0.3">
      <c r="A3" s="86" t="s">
        <v>1052</v>
      </c>
      <c r="B3" s="309">
        <f>'PCP + MO '!L1629</f>
        <v>419654.5</v>
      </c>
      <c r="C3" s="309"/>
      <c r="D3" s="313"/>
      <c r="I3" t="s">
        <v>1053</v>
      </c>
    </row>
    <row r="4" spans="1:9" x14ac:dyDescent="0.3">
      <c r="A4" s="86" t="s">
        <v>1054</v>
      </c>
      <c r="B4" s="309">
        <f>'PCP + MO '!M1629</f>
        <v>246959.5</v>
      </c>
      <c r="C4" s="309"/>
      <c r="D4" s="313"/>
    </row>
    <row r="6" spans="1:9" x14ac:dyDescent="0.3">
      <c r="A6" s="310" t="s">
        <v>1055</v>
      </c>
      <c r="B6" s="311"/>
      <c r="C6" s="311"/>
      <c r="D6" s="311"/>
      <c r="E6" s="311"/>
    </row>
    <row r="7" spans="1:9" x14ac:dyDescent="0.3">
      <c r="A7" s="116" t="s">
        <v>260</v>
      </c>
      <c r="B7" s="116" t="s">
        <v>1056</v>
      </c>
      <c r="C7" s="116" t="s">
        <v>262</v>
      </c>
      <c r="D7" s="116" t="s">
        <v>1057</v>
      </c>
      <c r="E7" s="116" t="s">
        <v>1058</v>
      </c>
    </row>
    <row r="8" spans="1:9" x14ac:dyDescent="0.3">
      <c r="A8" s="115" t="s">
        <v>416</v>
      </c>
      <c r="B8" s="17">
        <v>39</v>
      </c>
      <c r="C8" s="122">
        <v>13275</v>
      </c>
      <c r="D8" s="16">
        <v>257139.20000000001</v>
      </c>
      <c r="E8" s="16">
        <f t="shared" ref="E8:E14" si="0">D8/C8</f>
        <v>19.370184557438794</v>
      </c>
    </row>
    <row r="9" spans="1:9" x14ac:dyDescent="0.3">
      <c r="A9" s="115" t="s">
        <v>417</v>
      </c>
      <c r="B9" s="17">
        <v>39</v>
      </c>
      <c r="C9" s="122">
        <v>12509</v>
      </c>
      <c r="D9" s="16">
        <v>231893.5</v>
      </c>
      <c r="E9" s="16">
        <f t="shared" si="0"/>
        <v>18.538132544567912</v>
      </c>
    </row>
    <row r="10" spans="1:9" x14ac:dyDescent="0.3">
      <c r="A10" s="115" t="s">
        <v>418</v>
      </c>
      <c r="B10" s="17">
        <v>55</v>
      </c>
      <c r="C10" s="122">
        <v>44179</v>
      </c>
      <c r="D10" s="15">
        <v>588929</v>
      </c>
      <c r="E10" s="16">
        <f t="shared" si="0"/>
        <v>13.330519024876072</v>
      </c>
    </row>
    <row r="11" spans="1:9" x14ac:dyDescent="0.3">
      <c r="A11" s="115" t="s">
        <v>264</v>
      </c>
      <c r="B11" s="17">
        <v>31</v>
      </c>
      <c r="C11" s="17">
        <v>13879</v>
      </c>
      <c r="D11" s="190">
        <v>228088.5</v>
      </c>
      <c r="E11" s="15">
        <f t="shared" si="0"/>
        <v>16.434073060018733</v>
      </c>
    </row>
    <row r="12" spans="1:9" x14ac:dyDescent="0.3">
      <c r="A12" s="115" t="s">
        <v>265</v>
      </c>
      <c r="B12" s="17">
        <v>43</v>
      </c>
      <c r="C12" s="17">
        <v>14040</v>
      </c>
      <c r="D12" s="15">
        <v>316137.8</v>
      </c>
      <c r="E12" s="15">
        <f t="shared" si="0"/>
        <v>22.51693732193732</v>
      </c>
    </row>
    <row r="13" spans="1:9" x14ac:dyDescent="0.3">
      <c r="A13" s="115" t="s">
        <v>266</v>
      </c>
      <c r="B13" s="17">
        <v>41</v>
      </c>
      <c r="C13" s="17">
        <v>9241</v>
      </c>
      <c r="D13" s="15">
        <v>160954.25</v>
      </c>
      <c r="E13" s="15">
        <f t="shared" si="0"/>
        <v>17.417406124878259</v>
      </c>
    </row>
    <row r="14" spans="1:9" x14ac:dyDescent="0.3">
      <c r="A14" s="115" t="s">
        <v>267</v>
      </c>
      <c r="B14" s="17">
        <v>51</v>
      </c>
      <c r="C14" s="17">
        <v>23992</v>
      </c>
      <c r="D14" s="15">
        <v>444060.04</v>
      </c>
      <c r="E14" s="15">
        <f t="shared" si="0"/>
        <v>18.508671223741246</v>
      </c>
    </row>
    <row r="15" spans="1:9" x14ac:dyDescent="0.3">
      <c r="A15" s="115" t="s">
        <v>268</v>
      </c>
      <c r="B15" s="17"/>
      <c r="C15" s="17"/>
      <c r="D15" s="17"/>
      <c r="E15" s="17"/>
    </row>
    <row r="16" spans="1:9" x14ac:dyDescent="0.3">
      <c r="A16" s="115" t="s">
        <v>269</v>
      </c>
      <c r="B16" s="17"/>
      <c r="C16" s="17"/>
      <c r="D16" s="17"/>
      <c r="E16" s="17"/>
    </row>
    <row r="17" spans="1:5" x14ac:dyDescent="0.3">
      <c r="A17" s="115" t="s">
        <v>270</v>
      </c>
      <c r="B17" s="17"/>
      <c r="C17" s="17"/>
      <c r="D17" s="17"/>
      <c r="E17" s="17"/>
    </row>
    <row r="18" spans="1:5" x14ac:dyDescent="0.3">
      <c r="A18" s="115" t="s">
        <v>271</v>
      </c>
      <c r="B18" s="17"/>
      <c r="C18" s="17"/>
      <c r="D18" s="17"/>
      <c r="E18" s="17"/>
    </row>
    <row r="19" spans="1:5" x14ac:dyDescent="0.3">
      <c r="A19" s="115" t="s">
        <v>272</v>
      </c>
      <c r="B19" s="17"/>
      <c r="C19" s="17"/>
      <c r="D19" s="17"/>
      <c r="E19" s="17"/>
    </row>
    <row r="20" spans="1:5" x14ac:dyDescent="0.3">
      <c r="A20" s="118" t="s">
        <v>244</v>
      </c>
      <c r="B20" s="118">
        <f>SUM(B8:B19)</f>
        <v>299</v>
      </c>
      <c r="C20" s="119">
        <f>SUM(C8:C19)</f>
        <v>131115</v>
      </c>
      <c r="D20" s="120">
        <f>SUM(D8:D19)</f>
        <v>2227202.29</v>
      </c>
      <c r="E20" s="209"/>
    </row>
    <row r="21" spans="1:5" x14ac:dyDescent="0.3">
      <c r="C21" s="117"/>
    </row>
  </sheetData>
  <mergeCells count="6">
    <mergeCell ref="A1:C1"/>
    <mergeCell ref="B2:C2"/>
    <mergeCell ref="B4:C4"/>
    <mergeCell ref="B3:C3"/>
    <mergeCell ref="A6:E6"/>
    <mergeCell ref="D2:D4"/>
  </mergeCells>
  <phoneticPr fontId="15" type="noConversion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CFAC-89E2-4818-8B03-59E8F2F469AD}">
  <sheetPr>
    <pageSetUpPr fitToPage="1"/>
  </sheetPr>
  <dimension ref="A1:C32"/>
  <sheetViews>
    <sheetView zoomScale="85" zoomScaleNormal="85" workbookViewId="0">
      <selection activeCell="Q33" sqref="Q33"/>
    </sheetView>
  </sheetViews>
  <sheetFormatPr defaultRowHeight="14.4" x14ac:dyDescent="0.3"/>
  <cols>
    <col min="1" max="1" width="24.5546875" customWidth="1"/>
    <col min="2" max="2" width="9" customWidth="1"/>
    <col min="3" max="3" width="11.6640625" customWidth="1"/>
  </cols>
  <sheetData>
    <row r="1" spans="1:3" x14ac:dyDescent="0.3">
      <c r="A1" s="315" t="s">
        <v>1074</v>
      </c>
      <c r="B1" s="316"/>
      <c r="C1" s="317"/>
    </row>
    <row r="2" spans="1:3" x14ac:dyDescent="0.3">
      <c r="A2" s="217" t="s">
        <v>5</v>
      </c>
      <c r="B2" s="217" t="s">
        <v>1059</v>
      </c>
      <c r="C2" s="217" t="s">
        <v>1060</v>
      </c>
    </row>
    <row r="3" spans="1:3" x14ac:dyDescent="0.3">
      <c r="A3" s="318" t="s">
        <v>1064</v>
      </c>
      <c r="B3" s="216" t="s">
        <v>1065</v>
      </c>
      <c r="C3" s="17">
        <v>1</v>
      </c>
    </row>
    <row r="4" spans="1:3" x14ac:dyDescent="0.3">
      <c r="A4" s="318" t="s">
        <v>1064</v>
      </c>
      <c r="B4" s="216" t="s">
        <v>1062</v>
      </c>
      <c r="C4" s="17">
        <v>1</v>
      </c>
    </row>
    <row r="5" spans="1:3" x14ac:dyDescent="0.3">
      <c r="A5" s="318" t="s">
        <v>1064</v>
      </c>
      <c r="B5" s="216" t="s">
        <v>1063</v>
      </c>
      <c r="C5" s="17">
        <v>1</v>
      </c>
    </row>
    <row r="6" spans="1:3" x14ac:dyDescent="0.3">
      <c r="A6" s="318" t="s">
        <v>340</v>
      </c>
      <c r="B6" s="216" t="s">
        <v>1062</v>
      </c>
      <c r="C6" s="17">
        <v>1</v>
      </c>
    </row>
    <row r="8" spans="1:3" x14ac:dyDescent="0.3">
      <c r="A8" s="314" t="s">
        <v>1068</v>
      </c>
      <c r="B8" s="314"/>
      <c r="C8" s="314"/>
    </row>
    <row r="9" spans="1:3" x14ac:dyDescent="0.3">
      <c r="A9" s="217" t="s">
        <v>5</v>
      </c>
      <c r="B9" s="217" t="s">
        <v>1059</v>
      </c>
      <c r="C9" s="217" t="s">
        <v>1060</v>
      </c>
    </row>
    <row r="10" spans="1:3" x14ac:dyDescent="0.3">
      <c r="A10" s="318" t="s">
        <v>36</v>
      </c>
      <c r="B10" s="216" t="s">
        <v>1063</v>
      </c>
      <c r="C10" s="17">
        <v>6</v>
      </c>
    </row>
    <row r="11" spans="1:3" x14ac:dyDescent="0.3">
      <c r="A11" s="318" t="s">
        <v>36</v>
      </c>
      <c r="B11" s="216" t="s">
        <v>1066</v>
      </c>
      <c r="C11" s="17">
        <v>6</v>
      </c>
    </row>
    <row r="12" spans="1:3" x14ac:dyDescent="0.3">
      <c r="A12" s="318" t="s">
        <v>412</v>
      </c>
      <c r="B12" s="216" t="s">
        <v>1063</v>
      </c>
      <c r="C12" s="17">
        <v>1</v>
      </c>
    </row>
    <row r="13" spans="1:3" x14ac:dyDescent="0.3">
      <c r="A13" s="318" t="s">
        <v>412</v>
      </c>
      <c r="B13" s="216" t="s">
        <v>1066</v>
      </c>
      <c r="C13" s="17">
        <v>1</v>
      </c>
    </row>
    <row r="14" spans="1:3" x14ac:dyDescent="0.3">
      <c r="A14" s="318" t="s">
        <v>1067</v>
      </c>
      <c r="B14" s="216" t="s">
        <v>1063</v>
      </c>
      <c r="C14" s="17">
        <v>1</v>
      </c>
    </row>
    <row r="15" spans="1:3" x14ac:dyDescent="0.3">
      <c r="A15" s="318" t="s">
        <v>1067</v>
      </c>
      <c r="B15" s="216" t="s">
        <v>1066</v>
      </c>
      <c r="C15" s="17">
        <v>1</v>
      </c>
    </row>
    <row r="16" spans="1:3" x14ac:dyDescent="0.3">
      <c r="A16" s="318" t="s">
        <v>51</v>
      </c>
      <c r="B16" s="17"/>
      <c r="C16" s="17">
        <v>4</v>
      </c>
    </row>
    <row r="18" spans="1:3" x14ac:dyDescent="0.3">
      <c r="A18" s="314" t="s">
        <v>1073</v>
      </c>
      <c r="B18" s="314"/>
      <c r="C18" s="314"/>
    </row>
    <row r="19" spans="1:3" x14ac:dyDescent="0.3">
      <c r="A19" s="217" t="s">
        <v>5</v>
      </c>
      <c r="B19" s="217" t="s">
        <v>1059</v>
      </c>
      <c r="C19" s="217" t="s">
        <v>1060</v>
      </c>
    </row>
    <row r="20" spans="1:3" x14ac:dyDescent="0.3">
      <c r="A20" s="318" t="s">
        <v>51</v>
      </c>
      <c r="B20" s="216"/>
      <c r="C20" s="17">
        <v>6</v>
      </c>
    </row>
    <row r="21" spans="1:3" x14ac:dyDescent="0.3">
      <c r="A21" s="318" t="s">
        <v>408</v>
      </c>
      <c r="B21" s="216"/>
      <c r="C21" s="17">
        <v>4</v>
      </c>
    </row>
    <row r="22" spans="1:3" x14ac:dyDescent="0.3">
      <c r="A22" s="318" t="s">
        <v>1061</v>
      </c>
      <c r="B22" s="216" t="s">
        <v>1062</v>
      </c>
      <c r="C22" s="17">
        <v>4</v>
      </c>
    </row>
    <row r="23" spans="1:3" x14ac:dyDescent="0.3">
      <c r="A23" s="318" t="s">
        <v>505</v>
      </c>
      <c r="B23" s="216" t="s">
        <v>1065</v>
      </c>
      <c r="C23" s="17">
        <v>2</v>
      </c>
    </row>
    <row r="24" spans="1:3" x14ac:dyDescent="0.3">
      <c r="A24" s="318" t="s">
        <v>505</v>
      </c>
      <c r="B24" s="216" t="s">
        <v>1062</v>
      </c>
      <c r="C24" s="17">
        <v>2</v>
      </c>
    </row>
    <row r="26" spans="1:3" x14ac:dyDescent="0.3">
      <c r="A26" s="315" t="s">
        <v>1096</v>
      </c>
      <c r="B26" s="316"/>
      <c r="C26" s="317"/>
    </row>
    <row r="27" spans="1:3" x14ac:dyDescent="0.3">
      <c r="A27" s="217" t="s">
        <v>5</v>
      </c>
      <c r="B27" s="217" t="s">
        <v>1059</v>
      </c>
      <c r="C27" s="217" t="s">
        <v>1060</v>
      </c>
    </row>
    <row r="28" spans="1:3" x14ac:dyDescent="0.3">
      <c r="A28" s="318" t="s">
        <v>354</v>
      </c>
      <c r="B28" s="216" t="s">
        <v>1062</v>
      </c>
      <c r="C28" s="17">
        <v>2</v>
      </c>
    </row>
    <row r="29" spans="1:3" x14ac:dyDescent="0.3">
      <c r="A29" s="318" t="s">
        <v>1097</v>
      </c>
      <c r="B29" s="216" t="s">
        <v>1062</v>
      </c>
      <c r="C29" s="17">
        <v>1</v>
      </c>
    </row>
    <row r="30" spans="1:3" x14ac:dyDescent="0.3">
      <c r="A30" s="318" t="s">
        <v>1097</v>
      </c>
      <c r="B30" s="216" t="s">
        <v>1063</v>
      </c>
      <c r="C30" s="17">
        <v>1</v>
      </c>
    </row>
    <row r="31" spans="1:3" x14ac:dyDescent="0.3">
      <c r="A31" s="318" t="s">
        <v>1097</v>
      </c>
      <c r="B31" s="216" t="s">
        <v>1066</v>
      </c>
      <c r="C31" s="17">
        <v>1</v>
      </c>
    </row>
    <row r="32" spans="1:3" x14ac:dyDescent="0.3">
      <c r="A32" s="318"/>
      <c r="B32" s="216"/>
      <c r="C32" s="17"/>
    </row>
  </sheetData>
  <mergeCells count="4">
    <mergeCell ref="A1:C1"/>
    <mergeCell ref="A8:C8"/>
    <mergeCell ref="A18:C18"/>
    <mergeCell ref="A26:C26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</vt:i4>
      </vt:variant>
    </vt:vector>
  </HeadingPairs>
  <TitlesOfParts>
    <vt:vector size="11" baseType="lpstr">
      <vt:lpstr>Planilha1</vt:lpstr>
      <vt:lpstr>Planilha2</vt:lpstr>
      <vt:lpstr>TOTAIS (PLANILHA INATIVA)</vt:lpstr>
      <vt:lpstr>VENDAS (PLANILHA INATIVA)</vt:lpstr>
      <vt:lpstr>RELATÓRIO HAVANNA</vt:lpstr>
      <vt:lpstr>VENDAS HAVANNA 2026</vt:lpstr>
      <vt:lpstr>PEDIDOS DO MÊS</vt:lpstr>
      <vt:lpstr>PCP + MO </vt:lpstr>
      <vt:lpstr>VENDAS 2026</vt:lpstr>
      <vt:lpstr>PEDIDOS EM ABERTO HAVANNA</vt:lpstr>
      <vt:lpstr>'PCP + MO 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Sandy Lima</dc:creator>
  <cp:keywords/>
  <dc:description/>
  <cp:lastModifiedBy>Conserv Confecções</cp:lastModifiedBy>
  <cp:revision/>
  <cp:lastPrinted>2026-09-03T12:53:50Z</cp:lastPrinted>
  <dcterms:created xsi:type="dcterms:W3CDTF">2024-10-21T18:27:29Z</dcterms:created>
  <dcterms:modified xsi:type="dcterms:W3CDTF">2026-09-03T16:57:31Z</dcterms:modified>
  <cp:category/>
  <cp:contentStatus/>
</cp:coreProperties>
</file>